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lish Goals" sheetId="1" r:id="rId4"/>
    <sheet state="visible" name="Summary by Sales Channels" sheetId="2" r:id="rId5"/>
    <sheet state="visible" name="Summary by Vendor" sheetId="3" r:id="rId6"/>
    <sheet state="visible" name="Net Margin Summary and Actual" sheetId="4" r:id="rId7"/>
    <sheet state="visible" name="Als  Supply" sheetId="5" r:id="rId8"/>
    <sheet state="visible" name="Fuel Rider" sheetId="6" r:id="rId9"/>
    <sheet state="visible" name="SOT" sheetId="7" r:id="rId10"/>
    <sheet state="visible" name="Covershield" sheetId="8" r:id="rId11"/>
    <sheet state="visible" name="Walmart" sheetId="9" r:id="rId12"/>
  </sheets>
  <definedNames>
    <definedName localSheetId="2" name="PeriodSynch">'Summary by Vendor'!$C$2:$G$3</definedName>
    <definedName name="PeriodSynch">'Summary by Sales Channels'!$C$2:$G$3</definedName>
  </definedNames>
  <calcPr/>
</workbook>
</file>

<file path=xl/sharedStrings.xml><?xml version="1.0" encoding="utf-8"?>
<sst xmlns="http://schemas.openxmlformats.org/spreadsheetml/2006/main" count="105" uniqueCount="58">
  <si>
    <t>Apply per item order actual invoice amount from KS</t>
  </si>
  <si>
    <t>Apply per item order actual invoice amount from TAAS</t>
  </si>
  <si>
    <t>Apply per item order actual invoice amout from Wally's</t>
  </si>
  <si>
    <t>Apply per actual UPS shipping cost amount per item order</t>
  </si>
  <si>
    <t>Add monthly storage charges</t>
  </si>
  <si>
    <t>Report</t>
  </si>
  <si>
    <t>Year to Date</t>
  </si>
  <si>
    <t>Last Month</t>
  </si>
  <si>
    <t>Month to Date</t>
  </si>
  <si>
    <t>This Week</t>
  </si>
  <si>
    <t>Last Week</t>
  </si>
  <si>
    <t>Performance/ Analysis</t>
  </si>
  <si>
    <t>November</t>
  </si>
  <si>
    <t>December</t>
  </si>
  <si>
    <t>Last Year</t>
  </si>
  <si>
    <t>Sales</t>
  </si>
  <si>
    <t>Net Margin</t>
  </si>
  <si>
    <t>All Channels/ Vendor</t>
  </si>
  <si>
    <t>AL's Supply</t>
  </si>
  <si>
    <t>Fuel Rider</t>
  </si>
  <si>
    <t>Growth Sales</t>
  </si>
  <si>
    <t>Growth Net Margin</t>
  </si>
  <si>
    <t>SOT</t>
  </si>
  <si>
    <t>Covershield</t>
  </si>
  <si>
    <t>Walmart</t>
  </si>
  <si>
    <t>By (%)</t>
  </si>
  <si>
    <t>Net Margin By Sales Channels</t>
  </si>
  <si>
    <t>NMDCP</t>
  </si>
  <si>
    <t>All Sales Channels</t>
  </si>
  <si>
    <t>A's Supply</t>
  </si>
  <si>
    <t>Returns</t>
  </si>
  <si>
    <t>Sales Report</t>
  </si>
  <si>
    <t>October</t>
  </si>
  <si>
    <t>Keystone</t>
  </si>
  <si>
    <t>eBay</t>
  </si>
  <si>
    <t>TAAS</t>
  </si>
  <si>
    <t>Wally's</t>
  </si>
  <si>
    <t>NDMCP-FBA</t>
  </si>
  <si>
    <t>RR-FBA</t>
  </si>
  <si>
    <t>TAS- Returns</t>
  </si>
  <si>
    <t>Actual Invoices</t>
  </si>
  <si>
    <t>Purchase Reconciliations</t>
  </si>
  <si>
    <t>Year</t>
  </si>
  <si>
    <t>Month -&gt;</t>
  </si>
  <si>
    <t>YTD</t>
  </si>
  <si>
    <t>AVE MO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</si>
  <si>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</si>
  <si>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</si>
  <si>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</si>
  <si>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</si>
  <si>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</si>
  <si>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</si>
  <si>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</si>
  <si>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</si>
  <si>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</si>
  <si>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Total Net</t>
  </si>
  <si>
    <t>Total Disbursement</t>
  </si>
  <si>
    <t>Total Expenses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</si>
</sst>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####"/>
    <numFmt numFmtId="166" formatCode="m/d/yyyy"/>
    <numFmt numFmtId="167" formatCode="0.0%"/>
    <numFmt numFmtId="168" formatCode="############"/>
  </numFmts>
  <fonts count="7">
    <font>
      <sz val="10.0"/>
      <color rgb="FF000000"/>
      <name val="Arial"/>
      <scheme val="minor"/>
    </font>
    <font>
      <color theme="1"/>
      <name val="Arial Narrow"/>
    </font>
    <font>
      <b/>
      <color theme="1"/>
      <name val="Arial Narrow"/>
    </font>
    <font>
      <b/>
      <color theme="1"/>
      <name val="Arial"/>
    </font>
    <font>
      <color theme="1"/>
      <name val="Arial"/>
      <scheme val="minor"/>
    </font>
    <font/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2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 vertical="bottom"/>
    </xf>
    <xf borderId="2" fillId="2" fontId="2" numFmtId="164" xfId="0" applyAlignment="1" applyBorder="1" applyFont="1" applyNumberFormat="1">
      <alignment vertical="bottom"/>
    </xf>
    <xf borderId="2" fillId="2" fontId="2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4" fillId="2" fontId="2" numFmtId="0" xfId="0" applyAlignment="1" applyBorder="1" applyFont="1">
      <alignment readingOrder="0"/>
    </xf>
    <xf borderId="5" fillId="2" fontId="2" numFmtId="0" xfId="0" applyBorder="1" applyFont="1"/>
    <xf borderId="6" fillId="2" fontId="2" numFmtId="0" xfId="0" applyBorder="1" applyFont="1"/>
    <xf borderId="7" fillId="2" fontId="1" numFmtId="0" xfId="0" applyAlignment="1" applyBorder="1" applyFont="1">
      <alignment readingOrder="0" vertical="bottom"/>
    </xf>
    <xf borderId="0" fillId="2" fontId="2" numFmtId="165" xfId="0" applyAlignment="1" applyFont="1" applyNumberFormat="1">
      <alignment horizontal="right" vertical="bottom"/>
    </xf>
    <xf borderId="0" fillId="2" fontId="2" numFmtId="164" xfId="0" applyAlignment="1" applyFont="1" applyNumberFormat="1">
      <alignment readingOrder="0" vertical="bottom"/>
    </xf>
    <xf borderId="0" fillId="2" fontId="2" numFmtId="166" xfId="0" applyAlignment="1" applyFont="1" applyNumberFormat="1">
      <alignment horizontal="right" readingOrder="0" vertical="bottom"/>
    </xf>
    <xf borderId="8" fillId="2" fontId="2" numFmtId="166" xfId="0" applyAlignment="1" applyBorder="1" applyFont="1" applyNumberFormat="1">
      <alignment horizontal="right" vertical="bottom"/>
    </xf>
    <xf borderId="9" fillId="2" fontId="2" numFmtId="0" xfId="0" applyAlignment="1" applyBorder="1" applyFont="1">
      <alignment readingOrder="0"/>
    </xf>
    <xf borderId="0" fillId="2" fontId="2" numFmtId="164" xfId="0" applyFont="1" applyNumberFormat="1"/>
    <xf borderId="10" fillId="2" fontId="2" numFmtId="164" xfId="0" applyBorder="1" applyFont="1" applyNumberFormat="1"/>
    <xf borderId="9" fillId="2" fontId="2" numFmtId="0" xfId="0" applyBorder="1" applyFont="1"/>
    <xf borderId="11" fillId="2" fontId="2" numFmtId="0" xfId="0" applyAlignment="1" applyBorder="1" applyFont="1">
      <alignment readingOrder="0"/>
    </xf>
    <xf borderId="12" fillId="2" fontId="2" numFmtId="0" xfId="0" applyBorder="1" applyFont="1"/>
    <xf borderId="13" fillId="2" fontId="2" numFmtId="0" xfId="0" applyBorder="1" applyFont="1"/>
    <xf borderId="7" fillId="0" fontId="1" numFmtId="0" xfId="0" applyAlignment="1" applyBorder="1" applyFont="1">
      <alignment readingOrder="0"/>
    </xf>
    <xf borderId="0" fillId="0" fontId="1" numFmtId="164" xfId="0" applyFont="1" applyNumberFormat="1"/>
    <xf borderId="8" fillId="0" fontId="1" numFmtId="164" xfId="0" applyBorder="1" applyFont="1" applyNumberFormat="1"/>
    <xf borderId="14" fillId="0" fontId="1" numFmtId="0" xfId="0" applyAlignment="1" applyBorder="1" applyFont="1">
      <alignment readingOrder="0"/>
    </xf>
    <xf borderId="15" fillId="0" fontId="1" numFmtId="0" xfId="0" applyBorder="1" applyFont="1"/>
    <xf borderId="16" fillId="0" fontId="1" numFmtId="0" xfId="0" applyBorder="1" applyFont="1"/>
    <xf borderId="17" fillId="0" fontId="1" numFmtId="0" xfId="0" applyAlignment="1" applyBorder="1" applyFont="1">
      <alignment readingOrder="0"/>
    </xf>
    <xf borderId="18" fillId="0" fontId="1" numFmtId="0" xfId="0" applyBorder="1" applyFont="1"/>
    <xf borderId="19" fillId="0" fontId="1" numFmtId="0" xfId="0" applyBorder="1" applyFont="1"/>
    <xf borderId="17" fillId="0" fontId="1" numFmtId="0" xfId="0" applyBorder="1" applyFont="1"/>
    <xf borderId="15" fillId="0" fontId="1" numFmtId="164" xfId="0" applyBorder="1" applyFont="1" applyNumberFormat="1"/>
    <xf borderId="16" fillId="0" fontId="1" numFmtId="164" xfId="0" applyBorder="1" applyFont="1" applyNumberFormat="1"/>
    <xf borderId="0" fillId="3" fontId="2" numFmtId="0" xfId="0" applyAlignment="1" applyFill="1" applyFont="1">
      <alignment readingOrder="0" vertical="bottom"/>
    </xf>
    <xf borderId="0" fillId="0" fontId="2" numFmtId="0" xfId="0" applyAlignment="1" applyFont="1">
      <alignment readingOrder="0"/>
    </xf>
    <xf borderId="20" fillId="2" fontId="2" numFmtId="0" xfId="0" applyAlignment="1" applyBorder="1" applyFont="1">
      <alignment readingOrder="0" vertical="bottom"/>
    </xf>
    <xf borderId="21" fillId="2" fontId="2" numFmtId="165" xfId="0" applyAlignment="1" applyBorder="1" applyFont="1" applyNumberFormat="1">
      <alignment readingOrder="0" vertical="bottom"/>
    </xf>
    <xf borderId="21" fillId="2" fontId="2" numFmtId="164" xfId="0" applyAlignment="1" applyBorder="1" applyFont="1" applyNumberFormat="1">
      <alignment readingOrder="0" vertical="bottom"/>
    </xf>
    <xf borderId="21" fillId="2" fontId="2" numFmtId="0" xfId="0" applyAlignment="1" applyBorder="1" applyFont="1">
      <alignment readingOrder="0" vertical="bottom"/>
    </xf>
    <xf borderId="22" fillId="2" fontId="2" numFmtId="0" xfId="0" applyAlignment="1" applyBorder="1" applyFont="1">
      <alignment readingOrder="0" vertical="bottom"/>
    </xf>
    <xf borderId="7" fillId="0" fontId="2" numFmtId="0" xfId="0" applyAlignment="1" applyBorder="1" applyFont="1">
      <alignment readingOrder="0"/>
    </xf>
    <xf borderId="0" fillId="0" fontId="2" numFmtId="164" xfId="0" applyFont="1" applyNumberFormat="1"/>
    <xf borderId="8" fillId="0" fontId="2" numFmtId="164" xfId="0" applyBorder="1" applyFont="1" applyNumberFormat="1"/>
    <xf borderId="0" fillId="0" fontId="2" numFmtId="0" xfId="0" applyFont="1"/>
    <xf borderId="8" fillId="0" fontId="2" numFmtId="0" xfId="0" applyBorder="1" applyFont="1"/>
    <xf borderId="14" fillId="0" fontId="2" numFmtId="0" xfId="0" applyAlignment="1" applyBorder="1" applyFont="1">
      <alignment readingOrder="0"/>
    </xf>
    <xf borderId="15" fillId="0" fontId="2" numFmtId="164" xfId="0" applyBorder="1" applyFont="1" applyNumberFormat="1"/>
    <xf borderId="16" fillId="0" fontId="2" numFmtId="164" xfId="0" applyBorder="1" applyFont="1" applyNumberFormat="1"/>
    <xf borderId="15" fillId="0" fontId="2" numFmtId="9" xfId="0" applyBorder="1" applyFont="1" applyNumberFormat="1"/>
    <xf borderId="16" fillId="0" fontId="2" numFmtId="9" xfId="0" applyBorder="1" applyFont="1" applyNumberFormat="1"/>
    <xf borderId="1" fillId="0" fontId="1" numFmtId="0" xfId="0" applyAlignment="1" applyBorder="1" applyFont="1">
      <alignment readingOrder="0"/>
    </xf>
    <xf borderId="2" fillId="0" fontId="1" numFmtId="164" xfId="0" applyBorder="1" applyFont="1" applyNumberFormat="1"/>
    <xf borderId="3" fillId="0" fontId="1" numFmtId="164" xfId="0" applyBorder="1" applyFont="1" applyNumberFormat="1"/>
    <xf borderId="2" fillId="0" fontId="1" numFmtId="9" xfId="0" applyBorder="1" applyFont="1" applyNumberFormat="1"/>
    <xf borderId="3" fillId="0" fontId="1" numFmtId="9" xfId="0" applyBorder="1" applyFont="1" applyNumberFormat="1"/>
    <xf borderId="0" fillId="0" fontId="1" numFmtId="9" xfId="0" applyFont="1" applyNumberFormat="1"/>
    <xf borderId="8" fillId="0" fontId="1" numFmtId="9" xfId="0" applyBorder="1" applyFont="1" applyNumberFormat="1"/>
    <xf borderId="15" fillId="0" fontId="1" numFmtId="167" xfId="0" applyBorder="1" applyFont="1" applyNumberFormat="1"/>
    <xf borderId="16" fillId="0" fontId="1" numFmtId="167" xfId="0" applyBorder="1" applyFont="1" applyNumberFormat="1"/>
    <xf borderId="2" fillId="3" fontId="2" numFmtId="0" xfId="0" applyAlignment="1" applyBorder="1" applyFont="1">
      <alignment readingOrder="0" vertical="bottom"/>
    </xf>
    <xf borderId="20" fillId="2" fontId="2" numFmtId="0" xfId="0" applyBorder="1" applyFont="1"/>
    <xf borderId="21" fillId="2" fontId="2" numFmtId="165" xfId="0" applyBorder="1" applyFont="1" applyNumberFormat="1"/>
    <xf borderId="21" fillId="2" fontId="2" numFmtId="164" xfId="0" applyBorder="1" applyFont="1" applyNumberFormat="1"/>
    <xf borderId="21" fillId="2" fontId="2" numFmtId="0" xfId="0" applyBorder="1" applyFont="1"/>
    <xf borderId="22" fillId="2" fontId="2" numFmtId="0" xfId="0" applyBorder="1" applyFont="1"/>
    <xf borderId="0" fillId="3" fontId="2" numFmtId="0" xfId="0" applyAlignment="1" applyFont="1">
      <alignment readingOrder="0"/>
    </xf>
    <xf borderId="0" fillId="3" fontId="2" numFmtId="0" xfId="0" applyFont="1"/>
    <xf borderId="0" fillId="3" fontId="1" numFmtId="0" xfId="0" applyFont="1"/>
    <xf borderId="0" fillId="3" fontId="1" numFmtId="0" xfId="0" applyAlignment="1" applyFont="1">
      <alignment readingOrder="0"/>
    </xf>
    <xf borderId="0" fillId="3" fontId="1" numFmtId="4" xfId="0" applyAlignment="1" applyFont="1" applyNumberFormat="1">
      <alignment readingOrder="0"/>
    </xf>
    <xf borderId="20" fillId="2" fontId="1" numFmtId="0" xfId="0" applyAlignment="1" applyBorder="1" applyFont="1">
      <alignment readingOrder="0"/>
    </xf>
    <xf borderId="21" fillId="2" fontId="1" numFmtId="0" xfId="0" applyBorder="1" applyFont="1"/>
    <xf borderId="22" fillId="2" fontId="1" numFmtId="0" xfId="0" applyBorder="1" applyFont="1"/>
    <xf borderId="1" fillId="0" fontId="2" numFmtId="0" xfId="0" applyAlignment="1" applyBorder="1" applyFont="1">
      <alignment vertical="bottom"/>
    </xf>
    <xf borderId="2" fillId="0" fontId="3" numFmtId="168" xfId="0" applyAlignment="1" applyBorder="1" applyFont="1" applyNumberFormat="1">
      <alignment vertical="bottom"/>
    </xf>
    <xf borderId="2" fillId="0" fontId="3" numFmtId="164" xfId="0" applyAlignment="1" applyBorder="1" applyFont="1" applyNumberFormat="1">
      <alignment vertical="bottom"/>
    </xf>
    <xf borderId="3" fillId="0" fontId="3" numFmtId="164" xfId="0" applyAlignment="1" applyBorder="1" applyFont="1" applyNumberFormat="1">
      <alignment vertical="bottom"/>
    </xf>
    <xf borderId="0" fillId="2" fontId="4" numFmtId="0" xfId="0" applyFont="1"/>
    <xf borderId="0" fillId="2" fontId="2" numFmtId="168" xfId="0" applyFont="1" applyNumberFormat="1"/>
    <xf borderId="1" fillId="2" fontId="1" numFmtId="0" xfId="0" applyAlignment="1" applyBorder="1" applyFont="1">
      <alignment vertical="bottom"/>
    </xf>
    <xf borderId="2" fillId="2" fontId="1" numFmtId="164" xfId="0" applyAlignment="1" applyBorder="1" applyFont="1" applyNumberFormat="1">
      <alignment horizontal="right" vertical="bottom"/>
    </xf>
    <xf borderId="3" fillId="2" fontId="1" numFmtId="164" xfId="0" applyAlignment="1" applyBorder="1" applyFont="1" applyNumberFormat="1">
      <alignment horizontal="right" vertical="bottom"/>
    </xf>
    <xf borderId="0" fillId="0" fontId="1" numFmtId="164" xfId="0" applyAlignment="1" applyFont="1" applyNumberFormat="1">
      <alignment readingOrder="0"/>
    </xf>
    <xf borderId="7" fillId="2" fontId="1" numFmtId="0" xfId="0" applyAlignment="1" applyBorder="1" applyFont="1">
      <alignment vertical="bottom"/>
    </xf>
    <xf borderId="0" fillId="2" fontId="1" numFmtId="164" xfId="0" applyAlignment="1" applyFont="1" applyNumberFormat="1">
      <alignment horizontal="right" vertical="bottom"/>
    </xf>
    <xf borderId="8" fillId="2" fontId="1" numFmtId="164" xfId="0" applyAlignment="1" applyBorder="1" applyFont="1" applyNumberFormat="1">
      <alignment horizontal="right" vertical="bottom"/>
    </xf>
    <xf borderId="14" fillId="2" fontId="1" numFmtId="0" xfId="0" applyAlignment="1" applyBorder="1" applyFont="1">
      <alignment readingOrder="0"/>
    </xf>
    <xf borderId="15" fillId="2" fontId="1" numFmtId="164" xfId="0" applyBorder="1" applyFont="1" applyNumberFormat="1"/>
    <xf borderId="16" fillId="2" fontId="1" numFmtId="164" xfId="0" applyBorder="1" applyFont="1" applyNumberFormat="1"/>
    <xf borderId="0" fillId="2" fontId="2" numFmtId="0" xfId="0" applyAlignment="1" applyFont="1">
      <alignment readingOrder="0"/>
    </xf>
    <xf borderId="0" fillId="2" fontId="2" numFmtId="0" xfId="0" applyAlignment="1" applyFont="1">
      <alignment horizontal="center" readingOrder="0" vertical="center"/>
    </xf>
    <xf borderId="0" fillId="4" fontId="1" numFmtId="0" xfId="0" applyAlignment="1" applyFill="1" applyFont="1">
      <alignment readingOrder="0"/>
    </xf>
    <xf borderId="0" fillId="4" fontId="1" numFmtId="164" xfId="0" applyAlignment="1" applyFont="1" applyNumberFormat="1">
      <alignment readingOrder="0"/>
    </xf>
    <xf borderId="4" fillId="2" fontId="2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readingOrder="0"/>
    </xf>
    <xf borderId="5" fillId="0" fontId="1" numFmtId="164" xfId="0" applyAlignment="1" applyBorder="1" applyFont="1" applyNumberFormat="1">
      <alignment readingOrder="0"/>
    </xf>
    <xf borderId="6" fillId="0" fontId="1" numFmtId="164" xfId="0" applyAlignment="1" applyBorder="1" applyFont="1" applyNumberFormat="1">
      <alignment readingOrder="0"/>
    </xf>
    <xf borderId="9" fillId="0" fontId="5" numFmtId="0" xfId="0" applyBorder="1" applyFont="1"/>
    <xf borderId="0" fillId="0" fontId="1" numFmtId="164" xfId="0" applyAlignment="1" applyFont="1" applyNumberFormat="1">
      <alignment readingOrder="0"/>
    </xf>
    <xf borderId="10" fillId="0" fontId="1" numFmtId="164" xfId="0" applyAlignment="1" applyBorder="1" applyFont="1" applyNumberFormat="1">
      <alignment readingOrder="0"/>
    </xf>
    <xf borderId="10" fillId="4" fontId="1" numFmtId="164" xfId="0" applyAlignment="1" applyBorder="1" applyFont="1" applyNumberFormat="1">
      <alignment readingOrder="0"/>
    </xf>
    <xf borderId="11" fillId="0" fontId="5" numFmtId="0" xfId="0" applyBorder="1" applyFont="1"/>
    <xf borderId="12" fillId="0" fontId="1" numFmtId="9" xfId="0" applyAlignment="1" applyBorder="1" applyFont="1" applyNumberFormat="1">
      <alignment readingOrder="0"/>
    </xf>
    <xf borderId="12" fillId="0" fontId="1" numFmtId="164" xfId="0" applyAlignment="1" applyBorder="1" applyFont="1" applyNumberFormat="1">
      <alignment readingOrder="0"/>
    </xf>
    <xf borderId="13" fillId="0" fontId="1" numFmtId="164" xfId="0" applyAlignment="1" applyBorder="1" applyFont="1" applyNumberFormat="1">
      <alignment readingOrder="0"/>
    </xf>
    <xf borderId="5" fillId="0" fontId="1" numFmtId="164" xfId="0" applyBorder="1" applyFont="1" applyNumberFormat="1"/>
    <xf borderId="6" fillId="0" fontId="1" numFmtId="164" xfId="0" applyBorder="1" applyFont="1" applyNumberFormat="1"/>
    <xf borderId="10" fillId="0" fontId="1" numFmtId="164" xfId="0" applyBorder="1" applyFont="1" applyNumberFormat="1"/>
    <xf borderId="0" fillId="4" fontId="1" numFmtId="164" xfId="0" applyFont="1" applyNumberFormat="1"/>
    <xf borderId="10" fillId="4" fontId="1" numFmtId="164" xfId="0" applyBorder="1" applyFont="1" applyNumberFormat="1"/>
    <xf borderId="12" fillId="0" fontId="1" numFmtId="164" xfId="0" applyBorder="1" applyFont="1" applyNumberFormat="1"/>
    <xf borderId="13" fillId="0" fontId="1" numFmtId="164" xfId="0" applyBorder="1" applyFont="1" applyNumberFormat="1"/>
    <xf borderId="12" fillId="5" fontId="1" numFmtId="164" xfId="0" applyAlignment="1" applyBorder="1" applyFill="1" applyFont="1" applyNumberFormat="1">
      <alignment readingOrder="0"/>
    </xf>
    <xf borderId="0" fillId="3" fontId="6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6" numFmtId="164" xfId="0" applyAlignment="1" applyFont="1" applyNumberFormat="1">
      <alignment vertical="bottom"/>
    </xf>
    <xf borderId="0" fillId="0" fontId="6" numFmtId="0" xfId="0" applyAlignment="1" applyFont="1">
      <alignment vertical="bottom"/>
    </xf>
    <xf borderId="1" fillId="2" fontId="2" numFmtId="0" xfId="0" applyAlignment="1" applyBorder="1" applyFont="1">
      <alignment vertical="bottom"/>
    </xf>
    <xf borderId="14" fillId="2" fontId="6" numFmtId="0" xfId="0" applyAlignment="1" applyBorder="1" applyFont="1">
      <alignment vertical="bottom"/>
    </xf>
    <xf borderId="15" fillId="2" fontId="2" numFmtId="165" xfId="0" applyAlignment="1" applyBorder="1" applyFont="1" applyNumberFormat="1">
      <alignment horizontal="right" vertical="bottom"/>
    </xf>
    <xf borderId="15" fillId="2" fontId="2" numFmtId="164" xfId="0" applyAlignment="1" applyBorder="1" applyFont="1" applyNumberFormat="1">
      <alignment vertical="bottom"/>
    </xf>
    <xf borderId="15" fillId="2" fontId="2" numFmtId="166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vertical="bottom"/>
    </xf>
    <xf borderId="2" fillId="0" fontId="1" numFmtId="164" xfId="0" applyAlignment="1" applyBorder="1" applyFont="1" applyNumberFormat="1">
      <alignment horizontal="right" vertical="bottom"/>
    </xf>
    <xf borderId="3" fillId="0" fontId="1" numFmtId="164" xfId="0" applyAlignment="1" applyBorder="1" applyFont="1" applyNumberFormat="1">
      <alignment horizontal="right" vertical="bottom"/>
    </xf>
    <xf borderId="7" fillId="2" fontId="1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0" fillId="0" fontId="1" numFmtId="164" xfId="0" applyAlignment="1" applyFont="1" applyNumberFormat="1">
      <alignment horizontal="right" vertical="bottom"/>
    </xf>
    <xf borderId="8" fillId="0" fontId="1" numFmtId="164" xfId="0" applyAlignment="1" applyBorder="1" applyFont="1" applyNumberFormat="1">
      <alignment horizontal="right" vertical="bottom"/>
    </xf>
    <xf borderId="14" fillId="0" fontId="2" numFmtId="0" xfId="0" applyAlignment="1" applyBorder="1" applyFont="1">
      <alignment vertical="bottom"/>
    </xf>
    <xf borderId="15" fillId="0" fontId="1" numFmtId="164" xfId="0" applyAlignment="1" applyBorder="1" applyFont="1" applyNumberFormat="1">
      <alignment horizontal="right" vertical="bottom"/>
    </xf>
    <xf borderId="16" fillId="0" fontId="1" numFmtId="164" xfId="0" applyAlignment="1" applyBorder="1" applyFont="1" applyNumberFormat="1">
      <alignment horizontal="right" vertical="bottom"/>
    </xf>
    <xf borderId="7" fillId="0" fontId="1" numFmtId="0" xfId="0" applyAlignment="1" applyBorder="1" applyFont="1">
      <alignment vertical="bottom"/>
    </xf>
    <xf borderId="14" fillId="0" fontId="1" numFmtId="0" xfId="0" applyAlignment="1" applyBorder="1" applyFont="1">
      <alignment vertical="bottom"/>
    </xf>
    <xf borderId="20" fillId="0" fontId="2" numFmtId="0" xfId="0" applyAlignment="1" applyBorder="1" applyFont="1">
      <alignment vertical="bottom"/>
    </xf>
    <xf borderId="21" fillId="0" fontId="2" numFmtId="164" xfId="0" applyAlignment="1" applyBorder="1" applyFont="1" applyNumberFormat="1">
      <alignment horizontal="right" vertical="bottom"/>
    </xf>
    <xf borderId="22" fillId="0" fontId="2" numFmtId="164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vertical="bottom"/>
    </xf>
    <xf borderId="2" fillId="0" fontId="6" numFmtId="164" xfId="0" applyAlignment="1" applyBorder="1" applyFont="1" applyNumberFormat="1">
      <alignment vertical="bottom"/>
    </xf>
    <xf borderId="3" fillId="0" fontId="6" numFmtId="0" xfId="0" applyAlignment="1" applyBorder="1" applyFont="1">
      <alignment vertical="bottom"/>
    </xf>
    <xf borderId="14" fillId="2" fontId="1" numFmtId="0" xfId="0" applyAlignment="1" applyBorder="1" applyFont="1">
      <alignment vertical="bottom"/>
    </xf>
    <xf borderId="15" fillId="2" fontId="1" numFmtId="164" xfId="0" applyAlignment="1" applyBorder="1" applyFont="1" applyNumberFormat="1">
      <alignment horizontal="right" vertical="bottom"/>
    </xf>
    <xf borderId="16" fillId="2" fontId="1" numFmtId="164" xfId="0" applyAlignment="1" applyBorder="1" applyFont="1" applyNumberFormat="1">
      <alignment horizontal="right" vertical="bottom"/>
    </xf>
    <xf borderId="16" fillId="2" fontId="2" numFmtId="166" xfId="0" applyAlignment="1" applyBorder="1" applyFont="1" applyNumberFormat="1">
      <alignment horizontal="right" vertical="bottom"/>
    </xf>
    <xf borderId="3" fillId="0" fontId="6" numFmtId="164" xfId="0" applyAlignment="1" applyBorder="1" applyFont="1" applyNumberFormat="1">
      <alignment vertical="bottom"/>
    </xf>
    <xf borderId="0" fillId="2" fontId="2" numFmtId="0" xfId="0" applyAlignment="1" applyFont="1">
      <alignment vertical="bottom"/>
    </xf>
    <xf borderId="0" fillId="2" fontId="6" numFmtId="164" xfId="0" applyAlignment="1" applyFont="1" applyNumberFormat="1">
      <alignment vertical="bottom"/>
    </xf>
    <xf borderId="0" fillId="2" fontId="6" numFmtId="0" xfId="0" applyAlignment="1" applyFont="1">
      <alignment vertical="bottom"/>
    </xf>
    <xf borderId="20" fillId="0" fontId="1" numFmtId="0" xfId="0" applyAlignment="1" applyBorder="1" applyFont="1">
      <alignment vertical="bottom"/>
    </xf>
    <xf borderId="21" fillId="0" fontId="1" numFmtId="164" xfId="0" applyAlignment="1" applyBorder="1" applyFont="1" applyNumberFormat="1">
      <alignment horizontal="right" vertical="bottom"/>
    </xf>
    <xf borderId="22" fillId="0" fontId="1" numFmtId="164" xfId="0" applyAlignment="1" applyBorder="1" applyFont="1" applyNumberFormat="1">
      <alignment horizontal="right" vertical="bottom"/>
    </xf>
    <xf borderId="2" fillId="0" fontId="2" numFmtId="164" xfId="0" applyAlignment="1" applyBorder="1" applyFont="1" applyNumberFormat="1">
      <alignment horizontal="right" vertical="bottom"/>
    </xf>
    <xf borderId="3" fillId="0" fontId="2" numFmtId="164" xfId="0" applyAlignment="1" applyBorder="1" applyFont="1" applyNumberForma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1.0</v>
      </c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>
        <v>2.0</v>
      </c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>
        <v>3.0</v>
      </c>
      <c r="B4" s="2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>
        <v>4.0</v>
      </c>
      <c r="B5" s="2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>
        <v>5.0</v>
      </c>
      <c r="B6" s="2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20.25"/>
    <col customWidth="1" min="8" max="8" width="4.88"/>
    <col customWidth="1" min="9" max="9" width="17.63"/>
    <col customWidth="1" min="12" max="12" width="15.38"/>
  </cols>
  <sheetData>
    <row r="1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5</v>
      </c>
      <c r="C2" s="4" t="s">
        <v>6</v>
      </c>
      <c r="D2" s="4" t="s">
        <v>7</v>
      </c>
      <c r="E2" s="4" t="s">
        <v>8</v>
      </c>
      <c r="F2" s="5" t="s">
        <v>9</v>
      </c>
      <c r="G2" s="6" t="s">
        <v>10</v>
      </c>
      <c r="H2" s="1"/>
      <c r="I2" s="7" t="s">
        <v>11</v>
      </c>
      <c r="J2" s="8"/>
      <c r="K2" s="9"/>
      <c r="L2" s="7"/>
      <c r="M2" s="8"/>
      <c r="N2" s="9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0"/>
      <c r="C3" s="11">
        <v>2025.0</v>
      </c>
      <c r="D3" s="12" t="s">
        <v>12</v>
      </c>
      <c r="E3" s="12" t="s">
        <v>13</v>
      </c>
      <c r="F3" s="13">
        <v>45999.0</v>
      </c>
      <c r="G3" s="14">
        <f>F3-7</f>
        <v>45992</v>
      </c>
      <c r="H3" s="1"/>
      <c r="I3" s="15" t="s">
        <v>14</v>
      </c>
      <c r="J3" s="16" t="str">
        <f t="shared" ref="J3:K3" si="1">D3</f>
        <v>November</v>
      </c>
      <c r="K3" s="17" t="str">
        <f t="shared" si="1"/>
        <v>December</v>
      </c>
      <c r="L3" s="18" t="str">
        <f t="shared" ref="L3:N3" si="2">I3</f>
        <v>Last Year</v>
      </c>
      <c r="M3" s="16" t="str">
        <f t="shared" si="2"/>
        <v>November</v>
      </c>
      <c r="N3" s="17" t="str">
        <f t="shared" si="2"/>
        <v>December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 t="s">
        <v>15</v>
      </c>
      <c r="C4" s="4"/>
      <c r="D4" s="4"/>
      <c r="E4" s="4"/>
      <c r="F4" s="5"/>
      <c r="G4" s="6"/>
      <c r="H4" s="1"/>
      <c r="I4" s="19" t="s">
        <v>15</v>
      </c>
      <c r="J4" s="20"/>
      <c r="K4" s="21"/>
      <c r="L4" s="19" t="s">
        <v>16</v>
      </c>
      <c r="M4" s="20"/>
      <c r="N4" s="2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2" t="s">
        <v>17</v>
      </c>
      <c r="C5" s="23">
        <f t="shared" ref="C5:G5" si="3">SUM(C6:C10)</f>
        <v>1484781.86</v>
      </c>
      <c r="D5" s="23">
        <f t="shared" si="3"/>
        <v>105629.45</v>
      </c>
      <c r="E5" s="23">
        <f t="shared" si="3"/>
        <v>56468.77</v>
      </c>
      <c r="F5" s="23">
        <f t="shared" si="3"/>
        <v>19198.51</v>
      </c>
      <c r="G5" s="24">
        <f t="shared" si="3"/>
        <v>22237.94</v>
      </c>
      <c r="H5" s="1"/>
      <c r="I5" s="25" t="s">
        <v>17</v>
      </c>
      <c r="J5" s="26"/>
      <c r="K5" s="26"/>
      <c r="L5" s="26"/>
      <c r="M5" s="26"/>
      <c r="N5" s="2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2" t="s">
        <v>18</v>
      </c>
      <c r="C6" s="23">
        <f>'Als  Supply'!C36</f>
        <v>1068091.06</v>
      </c>
      <c r="D6" s="23">
        <f>'Als  Supply'!D36</f>
        <v>86933.69</v>
      </c>
      <c r="E6" s="23">
        <f>'Als  Supply'!E36</f>
        <v>50289.99</v>
      </c>
      <c r="F6" s="23">
        <f>'Als  Supply'!F36</f>
        <v>16071.94</v>
      </c>
      <c r="G6" s="24">
        <f>'Als  Supply'!G36</f>
        <v>18873.88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2" t="s">
        <v>19</v>
      </c>
      <c r="C7" s="23">
        <f>'Fuel Rider'!C40</f>
        <v>248984.2</v>
      </c>
      <c r="D7" s="23">
        <f>'Fuel Rider'!D40</f>
        <v>4660.5</v>
      </c>
      <c r="E7" s="23">
        <f>'Fuel Rider'!E40</f>
        <v>3487.34</v>
      </c>
      <c r="F7" s="23">
        <f>'Fuel Rider'!F40</f>
        <v>956.46</v>
      </c>
      <c r="G7" s="24">
        <f>'Fuel Rider'!G40</f>
        <v>717.2</v>
      </c>
      <c r="H7" s="1"/>
      <c r="I7" s="7" t="s">
        <v>20</v>
      </c>
      <c r="J7" s="8"/>
      <c r="K7" s="9"/>
      <c r="L7" s="7" t="s">
        <v>21</v>
      </c>
      <c r="M7" s="8"/>
      <c r="N7" s="9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2" t="s">
        <v>22</v>
      </c>
      <c r="C8" s="23">
        <f>SOT!C40</f>
        <v>21943.89</v>
      </c>
      <c r="D8" s="23">
        <f>SOT!D40</f>
        <v>1061.29</v>
      </c>
      <c r="E8" s="23">
        <f>SOT!E40</f>
        <v>835.1</v>
      </c>
      <c r="F8" s="23">
        <f>SOT!F40</f>
        <v>313.77</v>
      </c>
      <c r="G8" s="24">
        <f>SOT!G40</f>
        <v>678.82</v>
      </c>
      <c r="H8" s="1"/>
      <c r="I8" s="28" t="s">
        <v>17</v>
      </c>
      <c r="J8" s="29"/>
      <c r="K8" s="30"/>
      <c r="L8" s="31"/>
      <c r="M8" s="29"/>
      <c r="N8" s="30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2" t="s">
        <v>23</v>
      </c>
      <c r="C9" s="23">
        <f>Covershield!C26</f>
        <v>112488.71</v>
      </c>
      <c r="D9" s="23">
        <f>Covershield!D26</f>
        <v>8729.17</v>
      </c>
      <c r="E9" s="23">
        <f>Covershield!E26</f>
        <v>1856.34</v>
      </c>
      <c r="F9" s="23">
        <f>Covershield!F26</f>
        <v>1856.34</v>
      </c>
      <c r="G9" s="24">
        <f>Covershield!G26</f>
        <v>1968.04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5" t="s">
        <v>24</v>
      </c>
      <c r="C10" s="32">
        <f>Walmart!C28</f>
        <v>33274</v>
      </c>
      <c r="D10" s="32">
        <f>Walmart!D28</f>
        <v>4244.8</v>
      </c>
      <c r="E10" s="32">
        <f>Walmart!E28</f>
        <v>0</v>
      </c>
      <c r="F10" s="32">
        <f>Walmart!F28</f>
        <v>0</v>
      </c>
      <c r="G10" s="33">
        <f>Walmart!G28</f>
        <v>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4"/>
      <c r="C11" s="34"/>
      <c r="D11" s="34"/>
      <c r="E11" s="34"/>
      <c r="F11" s="34"/>
      <c r="G11" s="34"/>
      <c r="H11" s="1"/>
      <c r="I11" s="35" t="s">
        <v>25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36" t="s">
        <v>26</v>
      </c>
      <c r="C12" s="37">
        <f>$C3</f>
        <v>2025</v>
      </c>
      <c r="D12" s="38" t="str">
        <f>$D3</f>
        <v>November</v>
      </c>
      <c r="E12" s="38" t="str">
        <f>$E3</f>
        <v>December</v>
      </c>
      <c r="F12" s="39" t="s">
        <v>9</v>
      </c>
      <c r="G12" s="40" t="s">
        <v>10</v>
      </c>
      <c r="H12" s="1"/>
      <c r="I12" s="36" t="s">
        <v>26</v>
      </c>
      <c r="J12" s="37">
        <f>$C3</f>
        <v>2025</v>
      </c>
      <c r="K12" s="38" t="str">
        <f>$D3</f>
        <v>November</v>
      </c>
      <c r="L12" s="38" t="str">
        <f>$E3</f>
        <v>December</v>
      </c>
      <c r="M12" s="39" t="s">
        <v>9</v>
      </c>
      <c r="N12" s="40" t="s">
        <v>10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41" t="s">
        <v>27</v>
      </c>
      <c r="C13" s="42">
        <f t="shared" ref="C13:G13" si="4">C14*20%</f>
        <v>78605.78989</v>
      </c>
      <c r="D13" s="42">
        <f t="shared" si="4"/>
        <v>5107.087188</v>
      </c>
      <c r="E13" s="42">
        <f t="shared" si="4"/>
        <v>2645.929344</v>
      </c>
      <c r="F13" s="42">
        <f t="shared" si="4"/>
        <v>694.3873442</v>
      </c>
      <c r="G13" s="43">
        <f t="shared" si="4"/>
        <v>648.0897649</v>
      </c>
      <c r="H13" s="1"/>
      <c r="I13" s="41"/>
      <c r="J13" s="44"/>
      <c r="K13" s="44"/>
      <c r="L13" s="44"/>
      <c r="M13" s="44"/>
      <c r="N13" s="45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46" t="s">
        <v>28</v>
      </c>
      <c r="C14" s="47">
        <f t="shared" ref="C14:G14" si="5">SUM(C15:C19)</f>
        <v>393028.9495</v>
      </c>
      <c r="D14" s="47">
        <f t="shared" si="5"/>
        <v>25535.43594</v>
      </c>
      <c r="E14" s="47">
        <f t="shared" si="5"/>
        <v>13229.64672</v>
      </c>
      <c r="F14" s="47">
        <f t="shared" si="5"/>
        <v>3471.936721</v>
      </c>
      <c r="G14" s="48">
        <f t="shared" si="5"/>
        <v>3240.448825</v>
      </c>
      <c r="H14" s="1"/>
      <c r="I14" s="46" t="s">
        <v>28</v>
      </c>
      <c r="J14" s="49">
        <f t="shared" ref="J14:N14" si="6">iferror(C14/C5,0%)</f>
        <v>0.2647048432</v>
      </c>
      <c r="K14" s="49">
        <f t="shared" si="6"/>
        <v>0.2417454217</v>
      </c>
      <c r="L14" s="49">
        <f t="shared" si="6"/>
        <v>0.2342825374</v>
      </c>
      <c r="M14" s="49">
        <f t="shared" si="6"/>
        <v>0.1808440718</v>
      </c>
      <c r="N14" s="50">
        <f t="shared" si="6"/>
        <v>0.1457171314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51" t="s">
        <v>29</v>
      </c>
      <c r="C15" s="52">
        <f>'Als  Supply'!C5</f>
        <v>286608.72</v>
      </c>
      <c r="D15" s="52">
        <f>'Als  Supply'!D5</f>
        <v>23492.79</v>
      </c>
      <c r="E15" s="52">
        <f>'Als  Supply'!E5</f>
        <v>12933.76</v>
      </c>
      <c r="F15" s="52">
        <f>'Als  Supply'!F5</f>
        <v>3827.08</v>
      </c>
      <c r="G15" s="53">
        <f>'Als  Supply'!G5</f>
        <v>4254.41</v>
      </c>
      <c r="H15" s="1"/>
      <c r="I15" s="51" t="s">
        <v>29</v>
      </c>
      <c r="J15" s="54">
        <f t="shared" ref="J15:N15" si="7">iferror(C15/C6,0%)</f>
        <v>0.2683373457</v>
      </c>
      <c r="K15" s="54">
        <f t="shared" si="7"/>
        <v>0.2702380401</v>
      </c>
      <c r="L15" s="54">
        <f t="shared" si="7"/>
        <v>0.2571835866</v>
      </c>
      <c r="M15" s="54">
        <f t="shared" si="7"/>
        <v>0.2381218447</v>
      </c>
      <c r="N15" s="55">
        <f t="shared" si="7"/>
        <v>0.2254125808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2" t="s">
        <v>19</v>
      </c>
      <c r="C16" s="23">
        <f>'Fuel Rider'!C5</f>
        <v>74647.05</v>
      </c>
      <c r="D16" s="23">
        <f>'Fuel Rider'!D5</f>
        <v>-555.26</v>
      </c>
      <c r="E16" s="23">
        <f>'Fuel Rider'!E5</f>
        <v>-102.95</v>
      </c>
      <c r="F16" s="23">
        <f>'Fuel Rider'!F5</f>
        <v>-873.72</v>
      </c>
      <c r="G16" s="24">
        <f>'Fuel Rider'!G5</f>
        <v>-1401.07</v>
      </c>
      <c r="H16" s="1"/>
      <c r="I16" s="22" t="s">
        <v>19</v>
      </c>
      <c r="J16" s="56">
        <f t="shared" ref="J16:N16" si="8">iferror(C16/C7,0%)</f>
        <v>0.2998063733</v>
      </c>
      <c r="K16" s="56">
        <f t="shared" si="8"/>
        <v>-0.119141723</v>
      </c>
      <c r="L16" s="56">
        <f t="shared" si="8"/>
        <v>-0.02952106763</v>
      </c>
      <c r="M16" s="56">
        <f t="shared" si="8"/>
        <v>-0.9134935073</v>
      </c>
      <c r="N16" s="57">
        <f t="shared" si="8"/>
        <v>-1.953527607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2" t="s">
        <v>22</v>
      </c>
      <c r="C17" s="23">
        <f>SOT!C5</f>
        <v>308.9</v>
      </c>
      <c r="D17" s="23">
        <f>SOT!D5</f>
        <v>-204.26</v>
      </c>
      <c r="E17" s="23">
        <f>SOT!E5</f>
        <v>-211.56</v>
      </c>
      <c r="F17" s="23">
        <f>SOT!F5</f>
        <v>-91.82</v>
      </c>
      <c r="G17" s="24">
        <f>SOT!G5</f>
        <v>-26.67</v>
      </c>
      <c r="H17" s="1"/>
      <c r="I17" s="22" t="s">
        <v>22</v>
      </c>
      <c r="J17" s="56">
        <f t="shared" ref="J17:N17" si="9">iferror(C17/C8,0%)</f>
        <v>0.01407681136</v>
      </c>
      <c r="K17" s="56">
        <f t="shared" si="9"/>
        <v>-0.1924638883</v>
      </c>
      <c r="L17" s="56">
        <f t="shared" si="9"/>
        <v>-0.2533349299</v>
      </c>
      <c r="M17" s="56">
        <f t="shared" si="9"/>
        <v>-0.2926347324</v>
      </c>
      <c r="N17" s="57">
        <f t="shared" si="9"/>
        <v>-0.0392887658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2" t="s">
        <v>23</v>
      </c>
      <c r="C18" s="23">
        <f>Covershield!C5</f>
        <v>23474.51945</v>
      </c>
      <c r="D18" s="23">
        <f>Covershield!D5</f>
        <v>1622.165939</v>
      </c>
      <c r="E18" s="23">
        <f>Covershield!E5</f>
        <v>610.3967209</v>
      </c>
      <c r="F18" s="23">
        <f>Covershield!F5</f>
        <v>610.3967209</v>
      </c>
      <c r="G18" s="24">
        <f>Covershield!G5</f>
        <v>413.7788247</v>
      </c>
      <c r="H18" s="1"/>
      <c r="I18" s="22" t="s">
        <v>23</v>
      </c>
      <c r="J18" s="56">
        <f t="shared" ref="J18:N18" si="10">iferror(C18/C9,0%)</f>
        <v>0.2086833377</v>
      </c>
      <c r="K18" s="56">
        <f t="shared" si="10"/>
        <v>0.1858327812</v>
      </c>
      <c r="L18" s="56">
        <f t="shared" si="10"/>
        <v>0.3288173077</v>
      </c>
      <c r="M18" s="56">
        <f t="shared" si="10"/>
        <v>0.3288173077</v>
      </c>
      <c r="N18" s="57">
        <f t="shared" si="10"/>
        <v>0.2102491945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5" t="s">
        <v>24</v>
      </c>
      <c r="C19" s="32">
        <f>Walmart!C5</f>
        <v>7989.76</v>
      </c>
      <c r="D19" s="32">
        <f>Walmart!D5</f>
        <v>1180</v>
      </c>
      <c r="E19" s="32">
        <f>Walmart!E5</f>
        <v>0</v>
      </c>
      <c r="F19" s="32">
        <f>Walmart!F5</f>
        <v>0</v>
      </c>
      <c r="G19" s="33">
        <f>Walmart!G5</f>
        <v>0</v>
      </c>
      <c r="H19" s="1"/>
      <c r="I19" s="25" t="s">
        <v>24</v>
      </c>
      <c r="J19" s="58">
        <f t="shared" ref="J19:N19" si="11">iferror(C19/C10,0%)</f>
        <v>0.240120214</v>
      </c>
      <c r="K19" s="58">
        <f t="shared" si="11"/>
        <v>0.2779871843</v>
      </c>
      <c r="L19" s="58">
        <f t="shared" si="11"/>
        <v>0</v>
      </c>
      <c r="M19" s="58">
        <f t="shared" si="11"/>
        <v>0</v>
      </c>
      <c r="N19" s="59">
        <f t="shared" si="11"/>
        <v>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60"/>
      <c r="C20" s="60"/>
      <c r="D20" s="60"/>
      <c r="E20" s="60"/>
      <c r="F20" s="60"/>
      <c r="G20" s="60"/>
      <c r="H20" s="1"/>
      <c r="I20" s="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61" t="s">
        <v>30</v>
      </c>
      <c r="C21" s="62">
        <f t="shared" ref="C21:G21" si="12">C12</f>
        <v>2025</v>
      </c>
      <c r="D21" s="63" t="str">
        <f t="shared" si="12"/>
        <v>November</v>
      </c>
      <c r="E21" s="63" t="str">
        <f t="shared" si="12"/>
        <v>December</v>
      </c>
      <c r="F21" s="64" t="str">
        <f t="shared" si="12"/>
        <v>This Week</v>
      </c>
      <c r="G21" s="65" t="str">
        <f t="shared" si="12"/>
        <v>Last Week</v>
      </c>
      <c r="H21" s="1"/>
      <c r="I21" s="66"/>
      <c r="J21" s="67"/>
      <c r="K21" s="67"/>
      <c r="L21" s="67"/>
      <c r="M21" s="67"/>
      <c r="N21" s="67"/>
      <c r="O21" s="68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2" t="s">
        <v>17</v>
      </c>
      <c r="C22" s="23">
        <f t="shared" ref="C22:G22" si="13">SUM(C23:C27)</f>
        <v>-92111.34</v>
      </c>
      <c r="D22" s="23">
        <f t="shared" si="13"/>
        <v>-5445.45</v>
      </c>
      <c r="E22" s="23">
        <f t="shared" si="13"/>
        <v>-3156.75</v>
      </c>
      <c r="F22" s="23">
        <f t="shared" si="13"/>
        <v>-1434.05</v>
      </c>
      <c r="G22" s="24">
        <f t="shared" si="13"/>
        <v>-1279.64</v>
      </c>
      <c r="H22" s="1"/>
      <c r="I22" s="69"/>
      <c r="J22" s="68"/>
      <c r="K22" s="68"/>
      <c r="L22" s="68"/>
      <c r="M22" s="68"/>
      <c r="N22" s="68"/>
      <c r="O22" s="6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2" t="s">
        <v>18</v>
      </c>
      <c r="C23" s="23">
        <f>'Als  Supply'!C14</f>
        <v>-60757.31</v>
      </c>
      <c r="D23" s="23">
        <f>'Als  Supply'!D14</f>
        <v>-3702.38</v>
      </c>
      <c r="E23" s="23">
        <f>'Als  Supply'!E14</f>
        <v>-2665.31</v>
      </c>
      <c r="F23" s="23">
        <f>'Als  Supply'!F14</f>
        <v>-1118.94</v>
      </c>
      <c r="G23" s="24">
        <f>'Als  Supply'!G14</f>
        <v>-1030.49</v>
      </c>
      <c r="H23" s="1"/>
      <c r="I23" s="69"/>
      <c r="J23" s="68"/>
      <c r="K23" s="68"/>
      <c r="L23" s="68"/>
      <c r="M23" s="68"/>
      <c r="N23" s="68"/>
      <c r="O23" s="6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2" t="s">
        <v>19</v>
      </c>
      <c r="C24" s="23">
        <f>'Fuel Rider'!C16</f>
        <v>-14465.01</v>
      </c>
      <c r="D24" s="23">
        <f>'Fuel Rider'!D16</f>
        <v>-258.23</v>
      </c>
      <c r="E24" s="23">
        <f>'Fuel Rider'!E16</f>
        <v>-95.52</v>
      </c>
      <c r="F24" s="23">
        <f>'Fuel Rider'!F16</f>
        <v>-20.83</v>
      </c>
      <c r="G24" s="24">
        <f>'Fuel Rider'!G16</f>
        <v>-42.15</v>
      </c>
      <c r="H24" s="1"/>
      <c r="I24" s="69"/>
      <c r="J24" s="68"/>
      <c r="K24" s="68"/>
      <c r="L24" s="68"/>
      <c r="M24" s="68"/>
      <c r="N24" s="68"/>
      <c r="O24" s="6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2" t="s">
        <v>22</v>
      </c>
      <c r="C25" s="23">
        <f>SOT!C16</f>
        <v>-2922.09</v>
      </c>
      <c r="D25" s="23">
        <f>SOT!D16</f>
        <v>-71.64</v>
      </c>
      <c r="E25" s="23">
        <f>SOT!E16</f>
        <v>-127.65</v>
      </c>
      <c r="F25" s="23">
        <f>SOT!F16</f>
        <v>-26.01</v>
      </c>
      <c r="G25" s="24">
        <f>SOT!G16</f>
        <v>0</v>
      </c>
      <c r="H25" s="1"/>
      <c r="I25" s="69"/>
      <c r="J25" s="68"/>
      <c r="K25" s="68"/>
      <c r="L25" s="68"/>
      <c r="M25" s="68"/>
      <c r="N25" s="70"/>
      <c r="O25" s="68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2" t="s">
        <v>23</v>
      </c>
      <c r="C26" s="23">
        <f>Covershield!C12</f>
        <v>-10237.49</v>
      </c>
      <c r="D26" s="23">
        <f>Covershield!D12</f>
        <v>-1035.66</v>
      </c>
      <c r="E26" s="23">
        <f>Covershield!E12</f>
        <v>-268.27</v>
      </c>
      <c r="F26" s="23">
        <f>Covershield!F12</f>
        <v>-268.27</v>
      </c>
      <c r="G26" s="24">
        <f>Covershield!G12</f>
        <v>-207</v>
      </c>
      <c r="H26" s="1"/>
      <c r="I26" s="69"/>
      <c r="J26" s="68"/>
      <c r="K26" s="68"/>
      <c r="L26" s="68"/>
      <c r="M26" s="68"/>
      <c r="N26" s="68"/>
      <c r="O26" s="68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5" t="s">
        <v>24</v>
      </c>
      <c r="C27" s="32">
        <f>Walmart!C12</f>
        <v>-3729.44</v>
      </c>
      <c r="D27" s="32">
        <f>Walmart!D12</f>
        <v>-377.54</v>
      </c>
      <c r="E27" s="32">
        <f>Walmart!E12</f>
        <v>0</v>
      </c>
      <c r="F27" s="32">
        <f>Walmart!F12</f>
        <v>0</v>
      </c>
      <c r="G27" s="33">
        <f>Walmart!G12</f>
        <v>0</v>
      </c>
      <c r="H27" s="1"/>
      <c r="I27" s="69"/>
      <c r="J27" s="68"/>
      <c r="K27" s="68"/>
      <c r="L27" s="68"/>
      <c r="M27" s="68"/>
      <c r="O27" s="68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68"/>
      <c r="J28" s="68"/>
      <c r="K28" s="68"/>
      <c r="L28" s="68"/>
      <c r="M28" s="68"/>
      <c r="N28" s="68"/>
      <c r="O28" s="68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</sheetData>
  <conditionalFormatting sqref="J14:N19">
    <cfRule type="cellIs" dxfId="0" priority="1" operator="lessThan">
      <formula>0</formula>
    </cfRule>
  </conditionalFormatting>
  <conditionalFormatting sqref="C13:G19">
    <cfRule type="cellIs" dxfId="0" priority="2" operator="lessThan">
      <formula>0</formula>
    </cfRule>
  </conditionalFormatting>
  <dataValidations>
    <dataValidation type="custom" allowBlank="1" showDropDown="1" sqref="F3:G3">
      <formula1>OR(NOT(ISERROR(DATEVALUE(F3))), AND(ISNUMBER(F3), LEFT(CELL("format", F3))="D"))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20.25"/>
    <col customWidth="1" min="8" max="8" width="4.88"/>
    <col customWidth="1" min="9" max="9" width="14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68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31</v>
      </c>
      <c r="C2" s="4" t="s">
        <v>6</v>
      </c>
      <c r="D2" s="4" t="s">
        <v>7</v>
      </c>
      <c r="E2" s="4" t="s">
        <v>8</v>
      </c>
      <c r="F2" s="5" t="s">
        <v>9</v>
      </c>
      <c r="G2" s="6" t="s">
        <v>10</v>
      </c>
      <c r="H2" s="1"/>
      <c r="I2" s="35"/>
      <c r="J2" s="1"/>
      <c r="K2" s="1"/>
      <c r="L2" s="1"/>
      <c r="M2" s="1"/>
      <c r="N2" s="68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0"/>
      <c r="C3" s="11">
        <v>2025.0</v>
      </c>
      <c r="D3" s="12" t="s">
        <v>32</v>
      </c>
      <c r="E3" s="12" t="s">
        <v>12</v>
      </c>
      <c r="F3" s="13">
        <v>45982.0</v>
      </c>
      <c r="G3" s="14">
        <f>F3-7</f>
        <v>45975</v>
      </c>
      <c r="H3" s="1"/>
      <c r="I3" s="2"/>
      <c r="J3" s="1"/>
      <c r="K3" s="1"/>
      <c r="L3" s="1"/>
      <c r="M3" s="1"/>
      <c r="N3" s="6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2" t="s">
        <v>33</v>
      </c>
      <c r="C4" s="23">
        <f>'Als  Supply'!C37+'Fuel Rider'!C41+SOT!C41+Covershield!C27+Walmart!C29</f>
        <v>1369406.02</v>
      </c>
      <c r="D4" s="23">
        <f>'Als  Supply'!D37+'Fuel Rider'!D41+SOT!E41+Covershield!D27+Walmart!D29</f>
        <v>99556.9</v>
      </c>
      <c r="E4" s="23">
        <f>'Als  Supply'!E37+'Fuel Rider'!E41+SOT!E41+Covershield!E27+Walmart!E29</f>
        <v>52419.1</v>
      </c>
      <c r="F4" s="23">
        <f>'Als  Supply'!F37+'Fuel Rider'!F41+SOT!F41+Covershield!F27+Walmart!F29</f>
        <v>17704.49</v>
      </c>
      <c r="G4" s="24">
        <f>'Als  Supply'!G37+'Fuel Rider'!G41+SOT!G41+Covershield!G27+Walmart!G29</f>
        <v>21089.05</v>
      </c>
      <c r="H4" s="1"/>
      <c r="I4" s="1"/>
      <c r="J4" s="1"/>
      <c r="K4" s="1"/>
      <c r="L4" s="1"/>
      <c r="M4" s="1"/>
      <c r="N4" s="6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2" t="s">
        <v>34</v>
      </c>
      <c r="C5" s="23">
        <f>'Als  Supply'!C38+'Fuel Rider'!C42+SOT!C42</f>
        <v>86453.16</v>
      </c>
      <c r="D5" s="23">
        <f>'Als  Supply'!D38+'Fuel Rider'!D42+SOT!D42</f>
        <v>4840.08</v>
      </c>
      <c r="E5" s="23">
        <f>'Als  Supply'!E38+'Fuel Rider'!E42+SOT!E42</f>
        <v>2683.81</v>
      </c>
      <c r="F5" s="23">
        <f>'Als  Supply'!F38+'Fuel Rider'!F42+SOT!F42</f>
        <v>1111.76</v>
      </c>
      <c r="G5" s="24">
        <f>'Als  Supply'!G38+'Fuel Rider'!G42+SOT!G42</f>
        <v>939.95</v>
      </c>
      <c r="H5" s="1"/>
      <c r="I5" s="1"/>
      <c r="J5" s="1"/>
      <c r="K5" s="1"/>
      <c r="L5" s="1"/>
      <c r="M5" s="1"/>
      <c r="N5" s="68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2" t="s">
        <v>35</v>
      </c>
      <c r="C6" s="23">
        <f>'Als  Supply'!C40+'Fuel Rider'!C43+SOT!C43+Covershield!C28</f>
        <v>16868.32</v>
      </c>
      <c r="D6" s="23">
        <f>'Als  Supply'!D40+'Fuel Rider'!D43+SOT!D43+Covershield!D28</f>
        <v>373.78</v>
      </c>
      <c r="E6" s="23">
        <f>'Als  Supply'!E40+'Fuel Rider'!E43+SOT!E43+Covershield!E28</f>
        <v>363.08</v>
      </c>
      <c r="F6" s="23">
        <f>'Als  Supply'!F40+'Fuel Rider'!F43+SOT!F43+Covershield!F28</f>
        <v>156.46</v>
      </c>
      <c r="G6" s="24">
        <f>'Als  Supply'!G40+'Fuel Rider'!G43+SOT!G43+Covershield!G28</f>
        <v>78.23</v>
      </c>
      <c r="H6" s="1"/>
      <c r="I6" s="1"/>
      <c r="J6" s="1"/>
      <c r="K6" s="1"/>
      <c r="L6" s="1"/>
      <c r="M6" s="1"/>
      <c r="N6" s="68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2" t="s">
        <v>36</v>
      </c>
      <c r="C7" s="23">
        <f>'Fuel Rider'!C44+SOT!C44+Covershield!C29</f>
        <v>7295.16</v>
      </c>
      <c r="D7" s="23">
        <f>'Fuel Rider'!D44+SOT!D44+Covershield!D29</f>
        <v>219.74</v>
      </c>
      <c r="E7" s="23">
        <f>'Fuel Rider'!E44+SOT!E44+Covershield!E29</f>
        <v>333.14</v>
      </c>
      <c r="F7" s="23">
        <f>'Fuel Rider'!F44+SOT!F44+Covershield!F29</f>
        <v>69.44</v>
      </c>
      <c r="G7" s="24">
        <f>'Fuel Rider'!G44+SOT!G44+Covershield!G29</f>
        <v>87.9</v>
      </c>
      <c r="H7" s="1"/>
      <c r="I7" s="1"/>
      <c r="J7" s="1"/>
      <c r="K7" s="1"/>
      <c r="L7" s="1"/>
      <c r="M7" s="1"/>
      <c r="N7" s="68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2" t="s">
        <v>37</v>
      </c>
      <c r="C8" s="23">
        <f>'Als  Supply'!C41</f>
        <v>2483.89</v>
      </c>
      <c r="D8" s="23">
        <f>'Als  Supply'!D41</f>
        <v>217.92</v>
      </c>
      <c r="E8" s="23">
        <f>'Als  Supply'!E41</f>
        <v>329.62</v>
      </c>
      <c r="F8" s="23">
        <f>'Als  Supply'!F41</f>
        <v>144.75</v>
      </c>
      <c r="G8" s="24">
        <f>'Als  Supply'!G41</f>
        <v>34.13</v>
      </c>
      <c r="H8" s="1"/>
      <c r="I8" s="1"/>
      <c r="J8" s="1"/>
      <c r="K8" s="1"/>
      <c r="L8" s="1"/>
      <c r="M8" s="1"/>
      <c r="N8" s="68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5" t="s">
        <v>38</v>
      </c>
      <c r="C9" s="32">
        <f>'Als  Supply'!C39+'Fuel Rider'!C45+SOT!C45</f>
        <v>1377.82</v>
      </c>
      <c r="D9" s="32">
        <f>'Als  Supply'!D39+'Fuel Rider'!D45+SOT!D45</f>
        <v>120.22</v>
      </c>
      <c r="E9" s="32">
        <f>'Als  Supply'!E39+'Fuel Rider'!E45+SOT!E45</f>
        <v>340.02</v>
      </c>
      <c r="F9" s="32">
        <f>'Als  Supply'!F39+'Fuel Rider'!F45+SOT!F45</f>
        <v>11.61</v>
      </c>
      <c r="G9" s="33">
        <f>'Als  Supply'!G39+'Fuel Rider'!G45+SOT!G45</f>
        <v>8.68</v>
      </c>
      <c r="H9" s="1"/>
      <c r="I9" s="1"/>
      <c r="J9" s="1"/>
      <c r="K9" s="1"/>
      <c r="L9" s="1"/>
      <c r="M9" s="1"/>
      <c r="N9" s="68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68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71" t="s">
        <v>16</v>
      </c>
      <c r="C11" s="72"/>
      <c r="D11" s="72"/>
      <c r="E11" s="72"/>
      <c r="F11" s="72"/>
      <c r="G11" s="73"/>
      <c r="H11" s="1"/>
      <c r="I11" s="1"/>
      <c r="J11" s="1"/>
      <c r="K11" s="1"/>
      <c r="L11" s="1"/>
      <c r="M11" s="1"/>
      <c r="N11" s="68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2" t="s">
        <v>33</v>
      </c>
      <c r="C12" s="23">
        <f>'Als  Supply'!C8+'Fuel Rider'!C8+SOT!C8+Covershield!C8+Walmart!C8</f>
        <v>471545.0963</v>
      </c>
      <c r="D12" s="23">
        <f>'Als  Supply'!D8+'Fuel Rider'!D8+SOT!D8+Covershield!D8+Walmart!D8</f>
        <v>32535.54594</v>
      </c>
      <c r="E12" s="23">
        <f>'Als  Supply'!E8+'Fuel Rider'!E8+SOT!E8+Covershield!E8+Walmart!E8</f>
        <v>17488.50672</v>
      </c>
      <c r="F12" s="23">
        <f>'Als  Supply'!F8+'Fuel Rider'!F8+SOT!F8+Covershield!F8+Walmart!F8</f>
        <v>6087.896721</v>
      </c>
      <c r="G12" s="24">
        <f>'Als  Supply'!G8+'Fuel Rider'!G8+SOT!G8+Covershield!G8+Walmart!G8</f>
        <v>6318.308825</v>
      </c>
      <c r="H12" s="1"/>
      <c r="I12" s="1"/>
      <c r="J12" s="1"/>
      <c r="K12" s="1"/>
      <c r="L12" s="1"/>
      <c r="M12" s="1"/>
      <c r="N12" s="68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2" t="s">
        <v>34</v>
      </c>
      <c r="C13" s="23">
        <f>'Als  Supply'!C9+'Fuel Rider'!C9+SOT!C9+Walmart!C9</f>
        <v>38125.56</v>
      </c>
      <c r="D13" s="23">
        <f>'Als  Supply'!D9+'Fuel Rider'!D9+SOT!D9+Walmart!D9</f>
        <v>2166.32</v>
      </c>
      <c r="E13" s="23">
        <f>'Als  Supply'!E9+'Fuel Rider'!E9+SOT!E9+Walmart!E9</f>
        <v>1284.83</v>
      </c>
      <c r="F13" s="23">
        <f>'Als  Supply'!F9+'Fuel Rider'!F9+SOT!F9+Walmart!F9</f>
        <v>542.54</v>
      </c>
      <c r="G13" s="24">
        <f>'Als  Supply'!G9+'Fuel Rider'!G9+SOT!G9+Walmart!G9</f>
        <v>352.19</v>
      </c>
      <c r="H13" s="1"/>
      <c r="I13" s="1"/>
      <c r="J13" s="1"/>
      <c r="K13" s="1"/>
      <c r="L13" s="1"/>
      <c r="M13" s="1"/>
      <c r="N13" s="68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2" t="s">
        <v>35</v>
      </c>
      <c r="C14" s="23">
        <f>'Als  Supply'!C11+'Fuel Rider'!C10+SOT!C10+Covershield!C9</f>
        <v>6206.31</v>
      </c>
      <c r="D14" s="23">
        <f>'Als  Supply'!D11+'Fuel Rider'!D10+SOT!D10+Covershield!D9</f>
        <v>0</v>
      </c>
      <c r="E14" s="23">
        <f>'Als  Supply'!E11+'Fuel Rider'!E10+SOT!E10+Covershield!E9</f>
        <v>0</v>
      </c>
      <c r="F14" s="23">
        <f>'Als  Supply'!F11+'Fuel Rider'!F10+SOT!F10+Covershield!F9</f>
        <v>0</v>
      </c>
      <c r="G14" s="24">
        <f>'Als  Supply'!G11+'Fuel Rider'!G10+SOT!G10+Covershield!G9</f>
        <v>0</v>
      </c>
      <c r="H14" s="1"/>
      <c r="I14" s="1"/>
      <c r="J14" s="1"/>
      <c r="K14" s="1"/>
      <c r="L14" s="1"/>
      <c r="M14" s="1"/>
      <c r="N14" s="68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2" t="s">
        <v>39</v>
      </c>
      <c r="C15" s="23">
        <f>'Fuel Rider'!C13+SOT!C13</f>
        <v>596.21</v>
      </c>
      <c r="D15" s="23">
        <f>'Fuel Rider'!D13+SOT!D13</f>
        <v>0</v>
      </c>
      <c r="E15" s="23">
        <f>'Fuel Rider'!E13+SOT!E13</f>
        <v>0</v>
      </c>
      <c r="F15" s="23">
        <f>'Fuel Rider'!F13+SOT!F13</f>
        <v>0</v>
      </c>
      <c r="G15" s="24">
        <f>'Fuel Rider'!G13+SOT!G13</f>
        <v>0</v>
      </c>
      <c r="H15" s="1"/>
      <c r="I15" s="1"/>
      <c r="J15" s="1"/>
      <c r="K15" s="1"/>
      <c r="L15" s="1"/>
      <c r="M15" s="1"/>
      <c r="N15" s="68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2" t="s">
        <v>36</v>
      </c>
      <c r="C16" s="23">
        <f>'Fuel Rider'!C11+SOT!C11+Covershield!C10</f>
        <v>5100.893151</v>
      </c>
      <c r="D16" s="23">
        <f>'Fuel Rider'!D11+SOT!D11+Covershield!D10</f>
        <v>177.74</v>
      </c>
      <c r="E16" s="23">
        <f>'Fuel Rider'!E11+SOT!E11+Covershield!E10</f>
        <v>273.14</v>
      </c>
      <c r="F16" s="23">
        <f>'Fuel Rider'!F11+SOT!F11+Covershield!F10</f>
        <v>57.44</v>
      </c>
      <c r="G16" s="24">
        <f>'Fuel Rider'!G11+SOT!G11+Covershield!G10</f>
        <v>69.9</v>
      </c>
      <c r="H16" s="1"/>
      <c r="I16" s="1"/>
      <c r="J16" s="1"/>
      <c r="K16" s="1"/>
      <c r="L16" s="1"/>
      <c r="M16" s="1"/>
      <c r="N16" s="68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2" t="s">
        <v>37</v>
      </c>
      <c r="C17" s="23">
        <f>'Als  Supply'!C12</f>
        <v>1015.4</v>
      </c>
      <c r="D17" s="23">
        <f>'Als  Supply'!D12</f>
        <v>23.64</v>
      </c>
      <c r="E17" s="23">
        <f>'Als  Supply'!E12</f>
        <v>49.95</v>
      </c>
      <c r="F17" s="23">
        <f>'Als  Supply'!F12</f>
        <v>7.15</v>
      </c>
      <c r="G17" s="24">
        <f>'Als  Supply'!G12</f>
        <v>0</v>
      </c>
      <c r="H17" s="1"/>
      <c r="I17" s="1"/>
      <c r="J17" s="1"/>
      <c r="K17" s="1"/>
      <c r="L17" s="1"/>
      <c r="M17" s="1"/>
      <c r="N17" s="68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5" t="s">
        <v>38</v>
      </c>
      <c r="C18" s="32">
        <f>'Als  Supply'!C10+'Fuel Rider'!C12+SOT!C12</f>
        <v>930.83</v>
      </c>
      <c r="D18" s="32">
        <f>'Als  Supply'!D10+'Fuel Rider'!D12+SOT!D12</f>
        <v>40.52</v>
      </c>
      <c r="E18" s="32">
        <f>'Als  Supply'!E10+'Fuel Rider'!E12+SOT!E12</f>
        <v>171.41</v>
      </c>
      <c r="F18" s="32">
        <f>'Als  Supply'!F10+'Fuel Rider'!F12+SOT!F12</f>
        <v>1.23</v>
      </c>
      <c r="G18" s="33">
        <f>'Als  Supply'!G10+'Fuel Rider'!G12+SOT!G12</f>
        <v>0</v>
      </c>
      <c r="H18" s="1"/>
      <c r="I18" s="1"/>
      <c r="J18" s="1"/>
      <c r="K18" s="1"/>
      <c r="L18" s="1"/>
      <c r="M18" s="1"/>
      <c r="N18" s="68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"/>
      <c r="C19" s="1"/>
      <c r="D19" s="1"/>
      <c r="E19" s="1"/>
      <c r="F19" s="1"/>
      <c r="G19" s="1"/>
      <c r="H19" s="1"/>
      <c r="I19" s="35" t="s">
        <v>40</v>
      </c>
      <c r="J19" s="1"/>
      <c r="K19" s="1"/>
      <c r="L19" s="1"/>
      <c r="M19" s="1"/>
      <c r="N19" s="68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74" t="s">
        <v>41</v>
      </c>
      <c r="C20" s="75">
        <f t="shared" ref="C20:E20" si="1">C3</f>
        <v>2025</v>
      </c>
      <c r="D20" s="76" t="str">
        <f t="shared" si="1"/>
        <v>October</v>
      </c>
      <c r="E20" s="76" t="str">
        <f t="shared" si="1"/>
        <v>November</v>
      </c>
      <c r="F20" s="76" t="str">
        <f t="shared" ref="F20:G20" si="2">F2</f>
        <v>This Week</v>
      </c>
      <c r="G20" s="77" t="str">
        <f t="shared" si="2"/>
        <v>Last Week</v>
      </c>
      <c r="H20" s="1"/>
      <c r="I20" s="78"/>
      <c r="J20" s="79">
        <f t="shared" ref="J20:N20" si="3">C20</f>
        <v>2025</v>
      </c>
      <c r="K20" s="16" t="str">
        <f t="shared" si="3"/>
        <v>October</v>
      </c>
      <c r="L20" s="16" t="str">
        <f t="shared" si="3"/>
        <v>November</v>
      </c>
      <c r="M20" s="16" t="str">
        <f t="shared" si="3"/>
        <v>This Week</v>
      </c>
      <c r="N20" s="16" t="str">
        <f t="shared" si="3"/>
        <v>Last Week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80" t="s">
        <v>33</v>
      </c>
      <c r="C21" s="81">
        <f>'Als  Supply'!C31+'Fuel Rider'!C35+SOT!C35+Covershield!C21+Walmart!C22</f>
        <v>869553</v>
      </c>
      <c r="D21" s="81">
        <f>'Als  Supply'!D31+'Fuel Rider'!D35+SOT!D35+Covershield!D21+Walmart!D22</f>
        <v>62550.56</v>
      </c>
      <c r="E21" s="81">
        <f>'Als  Supply'!E31+'Fuel Rider'!E35+SOT!E35+Covershield!E21+Walmart!E22</f>
        <v>32865.92</v>
      </c>
      <c r="F21" s="81">
        <f>'Als  Supply'!F31+'Fuel Rider'!F35+SOT!F35+Covershield!F21+Walmart!F22</f>
        <v>10851.38</v>
      </c>
      <c r="G21" s="82">
        <f>'Als  Supply'!G31+'Fuel Rider'!G35+SOT!G35+Covershield!G21+Walmart!G22</f>
        <v>12981.46</v>
      </c>
      <c r="H21" s="1"/>
      <c r="I21" s="1"/>
      <c r="J21" s="83"/>
      <c r="K21" s="83">
        <v>-102033.48</v>
      </c>
      <c r="L21" s="1"/>
      <c r="M21" s="1"/>
      <c r="N21" s="68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84" t="s">
        <v>34</v>
      </c>
      <c r="C22" s="85">
        <f>'Als  Supply'!C32+'Fuel Rider'!C36+SOT!C36</f>
        <v>46159.34</v>
      </c>
      <c r="D22" s="85">
        <f>'Als  Supply'!D32+'Fuel Rider'!D36+SOT!D36</f>
        <v>2225.13</v>
      </c>
      <c r="E22" s="85">
        <f>'Als  Supply'!E32+'Fuel Rider'!E36+SOT!E36</f>
        <v>1249.95</v>
      </c>
      <c r="F22" s="85">
        <f>'Als  Supply'!F32+'Fuel Rider'!F36+SOT!F36</f>
        <v>0</v>
      </c>
      <c r="G22" s="86">
        <f>'Als  Supply'!G32+'Fuel Rider'!G36+SOT!G36</f>
        <v>0</v>
      </c>
      <c r="H22" s="1"/>
      <c r="I22" s="1"/>
      <c r="J22" s="1"/>
      <c r="K22" s="1"/>
      <c r="L22" s="1"/>
      <c r="M22" s="1"/>
      <c r="N22" s="68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87" t="s">
        <v>35</v>
      </c>
      <c r="C23" s="88">
        <f>'Als  Supply'!C40+'Fuel Rider'!C43+'Fuel Rider'!C46+SOT!C43+SOT!C45</f>
        <v>17678.27</v>
      </c>
      <c r="D23" s="88">
        <f>'Als  Supply'!D40+'Fuel Rider'!D43+'Fuel Rider'!D46+SOT!D43+SOT!D46</f>
        <v>373.78</v>
      </c>
      <c r="E23" s="88">
        <f>'Als  Supply'!E40+'Fuel Rider'!E43+'Fuel Rider'!E46+SOT!E43+SOT!E46+Covershield!F22</f>
        <v>363.08</v>
      </c>
      <c r="F23" s="88">
        <f>'Als  Supply'!F40+'Fuel Rider'!F43+'Fuel Rider'!F46+SOT!F43+SOT!F46</f>
        <v>156.46</v>
      </c>
      <c r="G23" s="89">
        <f>'Als  Supply'!G40+'Fuel Rider'!G43+'Fuel Rider'!G46+SOT!G43+SOT!G46+Covershield!G22</f>
        <v>78.23</v>
      </c>
      <c r="H23" s="1"/>
      <c r="I23" s="1"/>
      <c r="J23" s="1"/>
      <c r="K23" s="1"/>
      <c r="L23" s="1"/>
      <c r="M23" s="1"/>
      <c r="N23" s="68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68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68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68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68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68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68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68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68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68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68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68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68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68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68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68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68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68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68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68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68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68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68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68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68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68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68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68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68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68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68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68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68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68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68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68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68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68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68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68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68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68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68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68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68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68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68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68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68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68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68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68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68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68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68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68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68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68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68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68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68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68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68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68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68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68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68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68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68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68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68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68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68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68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68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68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68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68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6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6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6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68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68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68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68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68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68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68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68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68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68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68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68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68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68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68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68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68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68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68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68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68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6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6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6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6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6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6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68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68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68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68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68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68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68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68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68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68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68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68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68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68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68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68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68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68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68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68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68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68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68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68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68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68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68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68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68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68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68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68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68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68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68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68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68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68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68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68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68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68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68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68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68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68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68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68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68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68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68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68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68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68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68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68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68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68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68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68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68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68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68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68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68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68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68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68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68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68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68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68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68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68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68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68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68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68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68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68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68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68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68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68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68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68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68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68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68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68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68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68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68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68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68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68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68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68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68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68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68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68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68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68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68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68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68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68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68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68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68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68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68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68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68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68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68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68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68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68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68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68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68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68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68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68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68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68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68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68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68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68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68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68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68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68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68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68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68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68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68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68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68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68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68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68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68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68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68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68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68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68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68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68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68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68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68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68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68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68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68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68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68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68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68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68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68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68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68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68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68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68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68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68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68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68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68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68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68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68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68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68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68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68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68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68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68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68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68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68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68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68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68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68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68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68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68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68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68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68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68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68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68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68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68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68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68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68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68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68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68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68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68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68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68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68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68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68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68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68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68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68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68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68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68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68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68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68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68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68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68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68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68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68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68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68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68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68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68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68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68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68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68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68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68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68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68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68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68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68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68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68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68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68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68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68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68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68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68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68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68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68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68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68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68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68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68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68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68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68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68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68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68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68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68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68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68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68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68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68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68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68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68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68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68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68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68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68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68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68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68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68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68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68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68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68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68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68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68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68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68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68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68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68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68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68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68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68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68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68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68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68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68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68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68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68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68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68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68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68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68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68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68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68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68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68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68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68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68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68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68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68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68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68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68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68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68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68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68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68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68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68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68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68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68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68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68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68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68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68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68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68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68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68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68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68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68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68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68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68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68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68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68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68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68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68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68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68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68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68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68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68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68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68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68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68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68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68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68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68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68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68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68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68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68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68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68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68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68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68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68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68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68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68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68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68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68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68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68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68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68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68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68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68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68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68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68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68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68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68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68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68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68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68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68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68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68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68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68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68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68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68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68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68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68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68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68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68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68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68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68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68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68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68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68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68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68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68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68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68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68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68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68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68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68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68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68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68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68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68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68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68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68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68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68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68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68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68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68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68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68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68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68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68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68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68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68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68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68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68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68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68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68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68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68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68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68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68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68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68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68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68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68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68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68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68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68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68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68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68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68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68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68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68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68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68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68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68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68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68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68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68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68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68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68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68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68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68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68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68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68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68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68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68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68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68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68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68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68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68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68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68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68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68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68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68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68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68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68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68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68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68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68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68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68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68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68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68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68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68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68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68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68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68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68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68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68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68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68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68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68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68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68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68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68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68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68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68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68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68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68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68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68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68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68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68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68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68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68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68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68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68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68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68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68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68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68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68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68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68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68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68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68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68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68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68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68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68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68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68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68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68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68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68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68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68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68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68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68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68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68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68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68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68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68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68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68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68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68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68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68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68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68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68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68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68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68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68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68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68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68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68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68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68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68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68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68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68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68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68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68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68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68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68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68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68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68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68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68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68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68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68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68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68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68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68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68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68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68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68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68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68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68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68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68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68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68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68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68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68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68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68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68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68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68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68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68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68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68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68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68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68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68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68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68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68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68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68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68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68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68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68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68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68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68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68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68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68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68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68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68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68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68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68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68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68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68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68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68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68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68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68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68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68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68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68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68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68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68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68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68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68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68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68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68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68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68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68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68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68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68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68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68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68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68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68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68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68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68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68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68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68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68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68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68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68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68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68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68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68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68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68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68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68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68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68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68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68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68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68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68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68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68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68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68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68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68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68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68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68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68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68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68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68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68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68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68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68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68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68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68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68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68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68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68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68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68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68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68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68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68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68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68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68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68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68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68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68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68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68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68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68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68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68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68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68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68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68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68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68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68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68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68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68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68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68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68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68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68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68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68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68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68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68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68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68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68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68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68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68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68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68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68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68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68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68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68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68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68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68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68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68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68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68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68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68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68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68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68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68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68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68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68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68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68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68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68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68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68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68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68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</sheetData>
  <dataValidations>
    <dataValidation type="custom" allowBlank="1" showDropDown="1" sqref="F3:G3">
      <formula1>OR(NOT(ISERROR(DATEVALUE(F3))), AND(ISNUMBER(F3), LEFT(CELL("format", F3))="D"))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22.38"/>
  </cols>
  <sheetData>
    <row r="1">
      <c r="A1" s="90" t="s">
        <v>42</v>
      </c>
      <c r="B1" s="90" t="s">
        <v>43</v>
      </c>
      <c r="C1" s="90" t="s">
        <v>44</v>
      </c>
      <c r="D1" s="90" t="s">
        <v>45</v>
      </c>
      <c r="E1" s="90" t="s">
        <v>46</v>
      </c>
      <c r="F1" s="90" t="s">
        <v>47</v>
      </c>
      <c r="G1" s="90" t="s">
        <v>48</v>
      </c>
      <c r="H1" s="90" t="s">
        <v>49</v>
      </c>
      <c r="I1" s="90" t="s">
        <v>50</v>
      </c>
      <c r="J1" s="90" t="s">
        <v>51</v>
      </c>
      <c r="K1" s="90" t="s">
        <v>52</v>
      </c>
      <c r="L1" s="90" t="s">
        <v>53</v>
      </c>
      <c r="M1" s="90" t="s">
        <v>54</v>
      </c>
      <c r="N1" s="90" t="s">
        <v>32</v>
      </c>
      <c r="O1" s="90" t="s">
        <v>12</v>
      </c>
      <c r="P1" s="90" t="s">
        <v>13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91">
        <v>2023.0</v>
      </c>
      <c r="B2" s="92" t="s">
        <v>55</v>
      </c>
      <c r="C2" s="93">
        <f t="shared" ref="C2:C10" si="1">SUM(E2:P2)</f>
        <v>454505.01</v>
      </c>
      <c r="D2" s="93">
        <f t="shared" ref="D2:D3" si="2">AVERAGE(E2:P2)</f>
        <v>37875.4175</v>
      </c>
      <c r="E2" s="93">
        <v>5894.55</v>
      </c>
      <c r="F2" s="93">
        <v>12178.45</v>
      </c>
      <c r="G2" s="93">
        <v>16096.24</v>
      </c>
      <c r="H2" s="93">
        <v>19744.5</v>
      </c>
      <c r="I2" s="93">
        <v>49416.57</v>
      </c>
      <c r="J2" s="93">
        <v>34363.85</v>
      </c>
      <c r="K2" s="93">
        <v>59455.81</v>
      </c>
      <c r="L2" s="93">
        <v>83334.73</v>
      </c>
      <c r="M2" s="93">
        <v>72073.85</v>
      </c>
      <c r="N2" s="93">
        <v>37482.92</v>
      </c>
      <c r="O2" s="93">
        <v>26202.21</v>
      </c>
      <c r="P2" s="93">
        <v>38261.33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94">
        <v>2024.0</v>
      </c>
      <c r="B3" s="95" t="s">
        <v>56</v>
      </c>
      <c r="C3" s="96">
        <f t="shared" si="1"/>
        <v>2338353.06</v>
      </c>
      <c r="D3" s="96">
        <f t="shared" si="2"/>
        <v>194862.755</v>
      </c>
      <c r="E3" s="96">
        <v>161702.98</v>
      </c>
      <c r="F3" s="96">
        <v>212072.77</v>
      </c>
      <c r="G3" s="96">
        <v>269701.4</v>
      </c>
      <c r="H3" s="96">
        <v>242356.69</v>
      </c>
      <c r="I3" s="96">
        <v>225137.47</v>
      </c>
      <c r="J3" s="96">
        <v>199686.88</v>
      </c>
      <c r="K3" s="96">
        <v>171930.53</v>
      </c>
      <c r="L3" s="96">
        <v>199386.99</v>
      </c>
      <c r="M3" s="96">
        <v>159803.11</v>
      </c>
      <c r="N3" s="96">
        <v>171207.23</v>
      </c>
      <c r="O3" s="96">
        <v>171207.23</v>
      </c>
      <c r="P3" s="97">
        <v>154159.78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98"/>
      <c r="B4" s="2" t="s">
        <v>57</v>
      </c>
      <c r="C4" s="99">
        <f t="shared" si="1"/>
        <v>-1850274.93</v>
      </c>
      <c r="D4" s="99"/>
      <c r="E4" s="99">
        <v>-126158.49</v>
      </c>
      <c r="F4" s="99">
        <v>-183929.07</v>
      </c>
      <c r="G4" s="99">
        <v>-239393.35</v>
      </c>
      <c r="H4" s="99">
        <v>-181980.05</v>
      </c>
      <c r="I4" s="99">
        <v>-208540.04</v>
      </c>
      <c r="J4" s="99">
        <v>-144181.89</v>
      </c>
      <c r="K4" s="99">
        <v>-124392.42</v>
      </c>
      <c r="L4" s="99">
        <v>-165856.07</v>
      </c>
      <c r="M4" s="99">
        <v>-101348.98</v>
      </c>
      <c r="N4" s="99">
        <v>-120621.85</v>
      </c>
      <c r="O4" s="99">
        <v>-118039.32</v>
      </c>
      <c r="P4" s="100">
        <v>-135833.4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98"/>
      <c r="B5" s="92" t="s">
        <v>55</v>
      </c>
      <c r="C5" s="93">
        <f t="shared" si="1"/>
        <v>493789.19</v>
      </c>
      <c r="D5" s="93">
        <f t="shared" ref="D5:D7" si="3">AVERAGE(E5:P5)</f>
        <v>41149.09917</v>
      </c>
      <c r="E5" s="93">
        <v>35544.49</v>
      </c>
      <c r="F5" s="93">
        <v>31847.12</v>
      </c>
      <c r="G5" s="93">
        <v>32026.72</v>
      </c>
      <c r="H5" s="93">
        <v>60665.61</v>
      </c>
      <c r="I5" s="93">
        <v>16597.43</v>
      </c>
      <c r="J5" s="93">
        <v>55504.99</v>
      </c>
      <c r="K5" s="93">
        <v>47538.11</v>
      </c>
      <c r="L5" s="93">
        <v>33530.92</v>
      </c>
      <c r="M5" s="93">
        <v>58454.13</v>
      </c>
      <c r="N5" s="93">
        <v>50585.38</v>
      </c>
      <c r="O5" s="93">
        <v>53167.91</v>
      </c>
      <c r="P5" s="101">
        <v>18326.38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02"/>
      <c r="B6" s="103">
        <v>0.2</v>
      </c>
      <c r="C6" s="104">
        <f t="shared" si="1"/>
        <v>98757.84</v>
      </c>
      <c r="D6" s="104">
        <f t="shared" si="3"/>
        <v>8229.82</v>
      </c>
      <c r="E6" s="104">
        <v>7108.9</v>
      </c>
      <c r="F6" s="104">
        <v>6369.42</v>
      </c>
      <c r="G6" s="104">
        <v>6405.34</v>
      </c>
      <c r="H6" s="104">
        <v>12133.12</v>
      </c>
      <c r="I6" s="104">
        <v>3319.49</v>
      </c>
      <c r="J6" s="104">
        <v>11101.0</v>
      </c>
      <c r="K6" s="104">
        <v>9507.62</v>
      </c>
      <c r="L6" s="104">
        <v>6706.18</v>
      </c>
      <c r="M6" s="104">
        <v>11690.83</v>
      </c>
      <c r="N6" s="104">
        <v>10117.08</v>
      </c>
      <c r="O6" s="104">
        <v>10633.58</v>
      </c>
      <c r="P6" s="105">
        <v>3665.28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94">
        <v>2025.0</v>
      </c>
      <c r="B7" s="95" t="s">
        <v>56</v>
      </c>
      <c r="C7" s="96">
        <f t="shared" si="1"/>
        <v>588365.53</v>
      </c>
      <c r="D7" s="96">
        <f t="shared" si="3"/>
        <v>117673.106</v>
      </c>
      <c r="E7" s="96">
        <v>95578.89</v>
      </c>
      <c r="F7" s="96">
        <v>89875.62</v>
      </c>
      <c r="G7" s="96">
        <v>132309.72</v>
      </c>
      <c r="H7" s="96">
        <v>131539.43</v>
      </c>
      <c r="I7" s="96">
        <v>139061.87</v>
      </c>
      <c r="J7" s="106"/>
      <c r="K7" s="106"/>
      <c r="L7" s="106"/>
      <c r="M7" s="106"/>
      <c r="N7" s="106"/>
      <c r="O7" s="106"/>
      <c r="P7" s="107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98"/>
      <c r="B8" s="2" t="s">
        <v>57</v>
      </c>
      <c r="C8" s="99">
        <f t="shared" si="1"/>
        <v>-504791.29</v>
      </c>
      <c r="D8" s="99"/>
      <c r="E8" s="99">
        <v>-82812.64</v>
      </c>
      <c r="F8" s="99">
        <v>-80380.09</v>
      </c>
      <c r="G8" s="99">
        <v>-121198.95</v>
      </c>
      <c r="H8" s="99">
        <v>-106768.27</v>
      </c>
      <c r="I8" s="99">
        <v>-113631.34000000001</v>
      </c>
      <c r="J8" s="23"/>
      <c r="K8" s="23"/>
      <c r="L8" s="23"/>
      <c r="M8" s="23"/>
      <c r="N8" s="23"/>
      <c r="O8" s="23"/>
      <c r="P8" s="108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98"/>
      <c r="B9" s="92" t="s">
        <v>55</v>
      </c>
      <c r="C9" s="93">
        <f t="shared" si="1"/>
        <v>83574.24</v>
      </c>
      <c r="D9" s="93">
        <f t="shared" ref="D9:D10" si="4">AVERAGE(E9:P9)</f>
        <v>16714.848</v>
      </c>
      <c r="E9" s="93">
        <v>12766.25</v>
      </c>
      <c r="F9" s="93">
        <v>9495.53</v>
      </c>
      <c r="G9" s="93">
        <v>11110.77</v>
      </c>
      <c r="H9" s="93">
        <v>24771.16</v>
      </c>
      <c r="I9" s="93">
        <v>25430.529999999984</v>
      </c>
      <c r="J9" s="109"/>
      <c r="K9" s="109"/>
      <c r="L9" s="109"/>
      <c r="M9" s="109"/>
      <c r="N9" s="109"/>
      <c r="O9" s="109"/>
      <c r="P9" s="110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02"/>
      <c r="B10" s="103">
        <v>0.2</v>
      </c>
      <c r="C10" s="104">
        <f t="shared" si="1"/>
        <v>16714.846</v>
      </c>
      <c r="D10" s="104">
        <f t="shared" si="4"/>
        <v>3342.9692</v>
      </c>
      <c r="E10" s="104">
        <v>2553.25</v>
      </c>
      <c r="F10" s="104">
        <v>1899.11</v>
      </c>
      <c r="G10" s="104">
        <v>2222.15</v>
      </c>
      <c r="H10" s="104">
        <v>4954.23</v>
      </c>
      <c r="I10" s="104">
        <f>I9*0.2</f>
        <v>5086.106</v>
      </c>
      <c r="J10" s="111"/>
      <c r="K10" s="111"/>
      <c r="L10" s="111"/>
      <c r="M10" s="111"/>
      <c r="N10" s="111"/>
      <c r="O10" s="111"/>
      <c r="P10" s="112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2"/>
      <c r="B11" s="2"/>
      <c r="C11" s="2"/>
      <c r="D11" s="2"/>
      <c r="E11" s="2"/>
      <c r="F11" s="2"/>
      <c r="G11" s="1"/>
      <c r="H11" s="1"/>
      <c r="I11" s="11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2"/>
      <c r="B12" s="2"/>
      <c r="C12" s="2"/>
      <c r="D12" s="2"/>
      <c r="E12" s="2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2"/>
      <c r="B13" s="2"/>
      <c r="C13" s="2"/>
      <c r="D13" s="2"/>
      <c r="E13" s="2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2"/>
      <c r="B14" s="2"/>
      <c r="C14" s="2"/>
      <c r="D14" s="2"/>
      <c r="E14" s="2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2"/>
      <c r="B15" s="2"/>
      <c r="C15" s="2"/>
      <c r="D15" s="2"/>
      <c r="E15" s="2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2"/>
      <c r="B16" s="2"/>
      <c r="C16" s="2"/>
      <c r="D16" s="2"/>
      <c r="E16" s="2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2"/>
      <c r="B17" s="2"/>
      <c r="C17" s="1"/>
      <c r="D17" s="1"/>
      <c r="E17" s="1"/>
      <c r="F17" s="8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2"/>
      <c r="B18" s="2"/>
      <c r="C18" s="1"/>
      <c r="D18" s="1"/>
      <c r="E18" s="1"/>
      <c r="F18" s="8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2"/>
      <c r="B19" s="2"/>
      <c r="C19" s="1"/>
      <c r="D19" s="1"/>
      <c r="E19" s="1"/>
      <c r="F19" s="8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2"/>
      <c r="B20" s="2"/>
      <c r="C20" s="1"/>
      <c r="D20" s="1"/>
      <c r="E20" s="1"/>
      <c r="F20" s="8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2"/>
      <c r="B21" s="2"/>
      <c r="C21" s="1"/>
      <c r="D21" s="1"/>
      <c r="E21" s="1"/>
      <c r="F21" s="8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2"/>
      <c r="B22" s="2"/>
      <c r="C22" s="1"/>
      <c r="D22" s="1"/>
      <c r="E22" s="1"/>
      <c r="F22" s="8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2"/>
      <c r="B23" s="2"/>
      <c r="C23" s="1"/>
      <c r="D23" s="1"/>
      <c r="E23" s="1"/>
      <c r="F23" s="8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2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2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2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2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2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2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</sheetData>
  <mergeCells count="2">
    <mergeCell ref="A3:A6"/>
    <mergeCell ref="A7:A1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4.63"/>
  </cols>
  <sheetData>
    <row r="1">
      <c r="A1" s="114" t="str">
        <f>IFERROR(__xludf.DUMMYFUNCTION("importrange(""https://docs.google.com/spreadsheets/d/1uDBYp-3aTlfiMQ7ZzS-0EHO4IrHZRSRphZz4VDj1_ws/edit?gid=907455009#gid=907455009"",""AlsSupply"")"),"")</f>
        <v/>
      </c>
      <c r="B1" s="115" t="str">
        <f>IFERROR(__xludf.DUMMYFUNCTION("""COMPUTED_VALUE"""),"Al's Supply Profitability Report")</f>
        <v>Al's Supply Profitability Report</v>
      </c>
      <c r="C1" s="116"/>
      <c r="D1" s="116"/>
      <c r="E1" s="116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</row>
    <row r="2">
      <c r="A2" s="114"/>
      <c r="B2" s="118" t="str">
        <f>IFERROR(__xludf.DUMMYFUNCTION("""COMPUTED_VALUE"""),"Net Margins")</f>
        <v>Net Margins</v>
      </c>
      <c r="C2" s="4" t="str">
        <f>IFERROR(__xludf.DUMMYFUNCTION("""COMPUTED_VALUE"""),"Year to Date")</f>
        <v>Year to Date</v>
      </c>
      <c r="D2" s="4" t="str">
        <f>IFERROR(__xludf.DUMMYFUNCTION("""COMPUTED_VALUE"""),"Last Month")</f>
        <v>Last Month</v>
      </c>
      <c r="E2" s="4" t="str">
        <f>IFERROR(__xludf.DUMMYFUNCTION("""COMPUTED_VALUE"""),"Month to Date")</f>
        <v>Month to Date</v>
      </c>
      <c r="F2" s="5" t="str">
        <f>IFERROR(__xludf.DUMMYFUNCTION("""COMPUTED_VALUE"""),"This Week")</f>
        <v>This Week</v>
      </c>
      <c r="G2" s="6" t="str">
        <f>IFERROR(__xludf.DUMMYFUNCTION("""COMPUTED_VALUE"""),"Last Week")</f>
        <v>Last Week</v>
      </c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</row>
    <row r="3">
      <c r="A3" s="114"/>
      <c r="B3" s="119"/>
      <c r="C3" s="120">
        <f>IFERROR(__xludf.DUMMYFUNCTION("""COMPUTED_VALUE"""),2025.0)</f>
        <v>2025</v>
      </c>
      <c r="D3" s="121" t="str">
        <f>IFERROR(__xludf.DUMMYFUNCTION("""COMPUTED_VALUE"""),"November")</f>
        <v>November</v>
      </c>
      <c r="E3" s="121" t="str">
        <f>IFERROR(__xludf.DUMMYFUNCTION("""COMPUTED_VALUE"""),"December")</f>
        <v>December</v>
      </c>
      <c r="F3" s="122">
        <f>IFERROR(__xludf.DUMMYFUNCTION("""COMPUTED_VALUE"""),45999.0)</f>
        <v>45999</v>
      </c>
      <c r="G3" s="122">
        <f>IFERROR(__xludf.DUMMYFUNCTION("""COMPUTED_VALUE"""),45992.0)</f>
        <v>45992</v>
      </c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</row>
    <row r="4">
      <c r="A4" s="114"/>
      <c r="B4" s="123" t="str">
        <f>IFERROR(__xludf.DUMMYFUNCTION("""COMPUTED_VALUE"""),"20% Projection")</f>
        <v>20% Projection</v>
      </c>
      <c r="C4" s="124">
        <f>IFERROR(__xludf.DUMMYFUNCTION("""COMPUTED_VALUE"""),57321.744000001374)</f>
        <v>57321.744</v>
      </c>
      <c r="D4" s="124">
        <f>IFERROR(__xludf.DUMMYFUNCTION("""COMPUTED_VALUE"""),4698.558000000017)</f>
        <v>4698.558</v>
      </c>
      <c r="E4" s="124">
        <f>IFERROR(__xludf.DUMMYFUNCTION("""COMPUTED_VALUE"""),2586.7520000000086)</f>
        <v>2586.752</v>
      </c>
      <c r="F4" s="124">
        <f>IFERROR(__xludf.DUMMYFUNCTION("""COMPUTED_VALUE"""),765.4160000000006)</f>
        <v>765.416</v>
      </c>
      <c r="G4" s="125">
        <f>IFERROR(__xludf.DUMMYFUNCTION("""COMPUTED_VALUE"""),850.8820000000002)</f>
        <v>850.882</v>
      </c>
      <c r="H4" s="117" t="str">
        <f>IFERROR(__xludf.DUMMYFUNCTION("""COMPUTED_VALUE"""),"x")</f>
        <v>x</v>
      </c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</row>
    <row r="5">
      <c r="A5" s="114"/>
      <c r="B5" s="126" t="str">
        <f>IFERROR(__xludf.DUMMYFUNCTION("""COMPUTED_VALUE"""),"Net Profit Al's Supply")</f>
        <v>Net Profit Al's Supply</v>
      </c>
      <c r="C5" s="85">
        <f>IFERROR(__xludf.DUMMYFUNCTION("""COMPUTED_VALUE"""),286608.72000000684)</f>
        <v>286608.72</v>
      </c>
      <c r="D5" s="85">
        <f>IFERROR(__xludf.DUMMYFUNCTION("""COMPUTED_VALUE"""),23492.790000000085)</f>
        <v>23492.79</v>
      </c>
      <c r="E5" s="85">
        <f>IFERROR(__xludf.DUMMYFUNCTION("""COMPUTED_VALUE"""),12933.760000000042)</f>
        <v>12933.76</v>
      </c>
      <c r="F5" s="85">
        <f>IFERROR(__xludf.DUMMYFUNCTION("""COMPUTED_VALUE"""),3827.0800000000027)</f>
        <v>3827.08</v>
      </c>
      <c r="G5" s="86">
        <f>IFERROR(__xludf.DUMMYFUNCTION("""COMPUTED_VALUE"""),4254.410000000001)</f>
        <v>4254.41</v>
      </c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</row>
    <row r="6">
      <c r="A6" s="114"/>
      <c r="B6" s="127" t="str">
        <f>IFERROR(__xludf.DUMMYFUNCTION("""COMPUTED_VALUE"""),"Item Profit Vs. Returned Items")</f>
        <v>Item Profit Vs. Returned Items</v>
      </c>
      <c r="C6" s="128">
        <f>IFERROR(__xludf.DUMMYFUNCTION("""COMPUTED_VALUE"""),310837.66000000667)</f>
        <v>310837.66</v>
      </c>
      <c r="D6" s="128">
        <f>IFERROR(__xludf.DUMMYFUNCTION("""COMPUTED_VALUE"""),25260.190000000082)</f>
        <v>25260.19</v>
      </c>
      <c r="E6" s="128">
        <f>IFERROR(__xludf.DUMMYFUNCTION("""COMPUTED_VALUE"""),14043.180000000042)</f>
        <v>14043.18</v>
      </c>
      <c r="F6" s="128">
        <f>IFERROR(__xludf.DUMMYFUNCTION("""COMPUTED_VALUE"""),4303.650000000002)</f>
        <v>4303.65</v>
      </c>
      <c r="G6" s="129">
        <f>IFERROR(__xludf.DUMMYFUNCTION("""COMPUTED_VALUE"""),4778.460000000001)</f>
        <v>4778.46</v>
      </c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</row>
    <row r="7">
      <c r="A7" s="114"/>
      <c r="B7" s="130" t="str">
        <f>IFERROR(__xludf.DUMMYFUNCTION("""COMPUTED_VALUE"""),"Al's Supply Item Sales Profit")</f>
        <v>Al's Supply Item Sales Profit</v>
      </c>
      <c r="C7" s="131">
        <f>IFERROR(__xludf.DUMMYFUNCTION("""COMPUTED_VALUE"""),371594.9700000066)</f>
        <v>371594.97</v>
      </c>
      <c r="D7" s="131">
        <f>IFERROR(__xludf.DUMMYFUNCTION("""COMPUTED_VALUE"""),28962.570000000083)</f>
        <v>28962.57</v>
      </c>
      <c r="E7" s="131">
        <f>IFERROR(__xludf.DUMMYFUNCTION("""COMPUTED_VALUE"""),16708.49000000004)</f>
        <v>16708.49</v>
      </c>
      <c r="F7" s="131">
        <f>IFERROR(__xludf.DUMMYFUNCTION("""COMPUTED_VALUE"""),5422.590000000002)</f>
        <v>5422.59</v>
      </c>
      <c r="G7" s="132">
        <f>IFERROR(__xludf.DUMMYFUNCTION("""COMPUTED_VALUE"""),5808.950000000001)</f>
        <v>5808.95</v>
      </c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</row>
    <row r="8">
      <c r="A8" s="114"/>
      <c r="B8" s="133" t="str">
        <f>IFERROR(__xludf.DUMMYFUNCTION("""COMPUTED_VALUE"""),"Keystone")</f>
        <v>Keystone</v>
      </c>
      <c r="C8" s="128">
        <f>IFERROR(__xludf.DUMMYFUNCTION("""COMPUTED_VALUE"""),328029.41000000655)</f>
        <v>328029.41</v>
      </c>
      <c r="D8" s="128">
        <f>IFERROR(__xludf.DUMMYFUNCTION("""COMPUTED_VALUE"""),26754.860000000084)</f>
        <v>26754.86</v>
      </c>
      <c r="E8" s="128">
        <f>IFERROR(__xludf.DUMMYFUNCTION("""COMPUTED_VALUE"""),15202.300000000041)</f>
        <v>15202.3</v>
      </c>
      <c r="F8" s="128">
        <f>IFERROR(__xludf.DUMMYFUNCTION("""COMPUTED_VALUE"""),4871.670000000003)</f>
        <v>4871.67</v>
      </c>
      <c r="G8" s="129">
        <f>IFERROR(__xludf.DUMMYFUNCTION("""COMPUTED_VALUE"""),5479.530000000001)</f>
        <v>5479.53</v>
      </c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</row>
    <row r="9">
      <c r="A9" s="114"/>
      <c r="B9" s="133" t="str">
        <f>IFERROR(__xludf.DUMMYFUNCTION("""COMPUTED_VALUE"""),"eBay")</f>
        <v>eBay</v>
      </c>
      <c r="C9" s="128">
        <f>IFERROR(__xludf.DUMMYFUNCTION("""COMPUTED_VALUE"""),37705.31000000007)</f>
        <v>37705.31</v>
      </c>
      <c r="D9" s="128">
        <f>IFERROR(__xludf.DUMMYFUNCTION("""COMPUTED_VALUE"""),2143.55)</f>
        <v>2143.55</v>
      </c>
      <c r="E9" s="128">
        <f>IFERROR(__xludf.DUMMYFUNCTION("""COMPUTED_VALUE"""),1284.83)</f>
        <v>1284.83</v>
      </c>
      <c r="F9" s="128">
        <f>IFERROR(__xludf.DUMMYFUNCTION("""COMPUTED_VALUE"""),542.54)</f>
        <v>542.54</v>
      </c>
      <c r="G9" s="129">
        <f>IFERROR(__xludf.DUMMYFUNCTION("""COMPUTED_VALUE"""),329.42000000000013)</f>
        <v>329.42</v>
      </c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</row>
    <row r="10">
      <c r="A10" s="114"/>
      <c r="B10" s="133" t="str">
        <f>IFERROR(__xludf.DUMMYFUNCTION("""COMPUTED_VALUE"""),"RR-FBA")</f>
        <v>RR-FBA</v>
      </c>
      <c r="C10" s="128">
        <f>IFERROR(__xludf.DUMMYFUNCTION("""COMPUTED_VALUE"""),712.860000000001)</f>
        <v>712.86</v>
      </c>
      <c r="D10" s="128">
        <f>IFERROR(__xludf.DUMMYFUNCTION("""COMPUTED_VALUE"""),40.52)</f>
        <v>40.52</v>
      </c>
      <c r="E10" s="128">
        <f>IFERROR(__xludf.DUMMYFUNCTION("""COMPUTED_VALUE"""),171.40999999999997)</f>
        <v>171.41</v>
      </c>
      <c r="F10" s="128">
        <f>IFERROR(__xludf.DUMMYFUNCTION("""COMPUTED_VALUE"""),1.23)</f>
        <v>1.23</v>
      </c>
      <c r="G10" s="129">
        <f>IFERROR(__xludf.DUMMYFUNCTION("""COMPUTED_VALUE"""),0.0)</f>
        <v>0</v>
      </c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</row>
    <row r="11">
      <c r="A11" s="114"/>
      <c r="B11" s="133" t="str">
        <f>IFERROR(__xludf.DUMMYFUNCTION("""COMPUTED_VALUE"""),"TAAS")</f>
        <v>TAAS</v>
      </c>
      <c r="C11" s="128">
        <f>IFERROR(__xludf.DUMMYFUNCTION("""COMPUTED_VALUE"""),4131.989999999998)</f>
        <v>4131.99</v>
      </c>
      <c r="D11" s="128">
        <f>IFERROR(__xludf.DUMMYFUNCTION("""COMPUTED_VALUE"""),0.0)</f>
        <v>0</v>
      </c>
      <c r="E11" s="128">
        <f>IFERROR(__xludf.DUMMYFUNCTION("""COMPUTED_VALUE"""),0.0)</f>
        <v>0</v>
      </c>
      <c r="F11" s="128">
        <f>IFERROR(__xludf.DUMMYFUNCTION("""COMPUTED_VALUE"""),0.0)</f>
        <v>0</v>
      </c>
      <c r="G11" s="129">
        <f>IFERROR(__xludf.DUMMYFUNCTION("""COMPUTED_VALUE"""),0.0)</f>
        <v>0</v>
      </c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</row>
    <row r="12">
      <c r="A12" s="114"/>
      <c r="B12" s="134" t="str">
        <f>IFERROR(__xludf.DUMMYFUNCTION("""COMPUTED_VALUE"""),"Nomadic-FBA")</f>
        <v>Nomadic-FBA</v>
      </c>
      <c r="C12" s="131">
        <f>IFERROR(__xludf.DUMMYFUNCTION("""COMPUTED_VALUE"""),1015.4000000000007)</f>
        <v>1015.4</v>
      </c>
      <c r="D12" s="131">
        <f>IFERROR(__xludf.DUMMYFUNCTION("""COMPUTED_VALUE"""),23.64)</f>
        <v>23.64</v>
      </c>
      <c r="E12" s="131">
        <f>IFERROR(__xludf.DUMMYFUNCTION("""COMPUTED_VALUE"""),49.95000000000002)</f>
        <v>49.95</v>
      </c>
      <c r="F12" s="131">
        <f>IFERROR(__xludf.DUMMYFUNCTION("""COMPUTED_VALUE"""),7.15)</f>
        <v>7.15</v>
      </c>
      <c r="G12" s="132">
        <f>IFERROR(__xludf.DUMMYFUNCTION("""COMPUTED_VALUE"""),0.0)</f>
        <v>0</v>
      </c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</row>
    <row r="13">
      <c r="A13" s="114"/>
      <c r="B13" s="117"/>
      <c r="C13" s="116"/>
      <c r="D13" s="116"/>
      <c r="E13" s="116"/>
      <c r="F13" s="116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</row>
    <row r="14">
      <c r="A14" s="114"/>
      <c r="B14" s="135" t="str">
        <f>IFERROR(__xludf.DUMMYFUNCTION("""COMPUTED_VALUE"""),"Returns")</f>
        <v>Returns</v>
      </c>
      <c r="C14" s="136">
        <f>IFERROR(__xludf.DUMMYFUNCTION("""COMPUTED_VALUE"""),-60757.309999999954)</f>
        <v>-60757.31</v>
      </c>
      <c r="D14" s="136">
        <f>IFERROR(__xludf.DUMMYFUNCTION("""COMPUTED_VALUE"""),-3702.3799999999997)</f>
        <v>-3702.38</v>
      </c>
      <c r="E14" s="136">
        <f>IFERROR(__xludf.DUMMYFUNCTION("""COMPUTED_VALUE"""),-2665.31)</f>
        <v>-2665.31</v>
      </c>
      <c r="F14" s="136">
        <f>IFERROR(__xludf.DUMMYFUNCTION("""COMPUTED_VALUE"""),-1118.9399999999996)</f>
        <v>-1118.94</v>
      </c>
      <c r="G14" s="137">
        <f>IFERROR(__xludf.DUMMYFUNCTION("""COMPUTED_VALUE"""),-1030.49)</f>
        <v>-1030.49</v>
      </c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</row>
    <row r="15">
      <c r="A15" s="114"/>
      <c r="B15" s="138" t="str">
        <f>IFERROR(__xludf.DUMMYFUNCTION("""COMPUTED_VALUE"""),"Keystone")</f>
        <v>Keystone</v>
      </c>
      <c r="C15" s="124">
        <f>IFERROR(__xludf.DUMMYFUNCTION("""COMPUTED_VALUE"""),-54822.11999999996)</f>
        <v>-54822.12</v>
      </c>
      <c r="D15" s="124">
        <f>IFERROR(__xludf.DUMMYFUNCTION("""COMPUTED_VALUE"""),-3401.8999999999996)</f>
        <v>-3401.9</v>
      </c>
      <c r="E15" s="124">
        <f>IFERROR(__xludf.DUMMYFUNCTION("""COMPUTED_VALUE"""),-2551.37)</f>
        <v>-2551.37</v>
      </c>
      <c r="F15" s="124">
        <f>IFERROR(__xludf.DUMMYFUNCTION("""COMPUTED_VALUE"""),-1107.5799999999997)</f>
        <v>-1107.58</v>
      </c>
      <c r="G15" s="125">
        <f>IFERROR(__xludf.DUMMYFUNCTION("""COMPUTED_VALUE"""),-814.4799999999999)</f>
        <v>-814.48</v>
      </c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</row>
    <row r="16">
      <c r="A16" s="114"/>
      <c r="B16" s="133" t="str">
        <f>IFERROR(__xludf.DUMMYFUNCTION("""COMPUTED_VALUE"""),"eBay")</f>
        <v>eBay</v>
      </c>
      <c r="C16" s="128">
        <f>IFERROR(__xludf.DUMMYFUNCTION("""COMPUTED_VALUE"""),-5421.369999999995)</f>
        <v>-5421.37</v>
      </c>
      <c r="D16" s="128">
        <f>IFERROR(__xludf.DUMMYFUNCTION("""COMPUTED_VALUE"""),-296.53000000000003)</f>
        <v>-296.53</v>
      </c>
      <c r="E16" s="128">
        <f>IFERROR(__xludf.DUMMYFUNCTION("""COMPUTED_VALUE"""),-113.94000000000001)</f>
        <v>-113.94</v>
      </c>
      <c r="F16" s="128">
        <f>IFERROR(__xludf.DUMMYFUNCTION("""COMPUTED_VALUE"""),-11.36)</f>
        <v>-11.36</v>
      </c>
      <c r="G16" s="129">
        <f>IFERROR(__xludf.DUMMYFUNCTION("""COMPUTED_VALUE"""),-216.01000000000002)</f>
        <v>-216.01</v>
      </c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</row>
    <row r="17">
      <c r="A17" s="114"/>
      <c r="B17" s="133" t="str">
        <f>IFERROR(__xludf.DUMMYFUNCTION("""COMPUTED_VALUE"""),"RR-FBA")</f>
        <v>RR-FBA</v>
      </c>
      <c r="C17" s="128">
        <f>IFERROR(__xludf.DUMMYFUNCTION("""COMPUTED_VALUE"""),-3.95)</f>
        <v>-3.95</v>
      </c>
      <c r="D17" s="128">
        <f>IFERROR(__xludf.DUMMYFUNCTION("""COMPUTED_VALUE"""),-3.95)</f>
        <v>-3.95</v>
      </c>
      <c r="E17" s="128">
        <f>IFERROR(__xludf.DUMMYFUNCTION("""COMPUTED_VALUE"""),0.0)</f>
        <v>0</v>
      </c>
      <c r="F17" s="128">
        <f>IFERROR(__xludf.DUMMYFUNCTION("""COMPUTED_VALUE"""),0.0)</f>
        <v>0</v>
      </c>
      <c r="G17" s="129">
        <f>IFERROR(__xludf.DUMMYFUNCTION("""COMPUTED_VALUE"""),0.0)</f>
        <v>0</v>
      </c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</row>
    <row r="18">
      <c r="A18" s="114"/>
      <c r="B18" s="133" t="str">
        <f>IFERROR(__xludf.DUMMYFUNCTION("""COMPUTED_VALUE"""),"TAAS")</f>
        <v>TAAS</v>
      </c>
      <c r="C18" s="128">
        <f>IFERROR(__xludf.DUMMYFUNCTION("""COMPUTED_VALUE"""),-503.87)</f>
        <v>-503.87</v>
      </c>
      <c r="D18" s="128">
        <f>IFERROR(__xludf.DUMMYFUNCTION("""COMPUTED_VALUE"""),0.0)</f>
        <v>0</v>
      </c>
      <c r="E18" s="128">
        <f>IFERROR(__xludf.DUMMYFUNCTION("""COMPUTED_VALUE"""),0.0)</f>
        <v>0</v>
      </c>
      <c r="F18" s="128">
        <f>IFERROR(__xludf.DUMMYFUNCTION("""COMPUTED_VALUE"""),0.0)</f>
        <v>0</v>
      </c>
      <c r="G18" s="129">
        <f>IFERROR(__xludf.DUMMYFUNCTION("""COMPUTED_VALUE"""),0.0)</f>
        <v>0</v>
      </c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</row>
    <row r="19">
      <c r="A19" s="114"/>
      <c r="B19" s="134" t="str">
        <f>IFERROR(__xludf.DUMMYFUNCTION("""COMPUTED_VALUE"""),"Nomadic-FBA")</f>
        <v>Nomadic-FBA</v>
      </c>
      <c r="C19" s="131">
        <f>IFERROR(__xludf.DUMMYFUNCTION("""COMPUTED_VALUE"""),-6.0)</f>
        <v>-6</v>
      </c>
      <c r="D19" s="131">
        <f>IFERROR(__xludf.DUMMYFUNCTION("""COMPUTED_VALUE"""),0.0)</f>
        <v>0</v>
      </c>
      <c r="E19" s="131">
        <f>IFERROR(__xludf.DUMMYFUNCTION("""COMPUTED_VALUE"""),0.0)</f>
        <v>0</v>
      </c>
      <c r="F19" s="131">
        <f>IFERROR(__xludf.DUMMYFUNCTION("""COMPUTED_VALUE"""),0.0)</f>
        <v>0</v>
      </c>
      <c r="G19" s="132">
        <f>IFERROR(__xludf.DUMMYFUNCTION("""COMPUTED_VALUE"""),0.0)</f>
        <v>0</v>
      </c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</row>
    <row r="20">
      <c r="A20" s="114"/>
      <c r="B20" s="117"/>
      <c r="C20" s="116"/>
      <c r="D20" s="116"/>
      <c r="E20" s="116"/>
      <c r="F20" s="116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</row>
    <row r="21">
      <c r="A21" s="114"/>
      <c r="B21" s="135" t="str">
        <f>IFERROR(__xludf.DUMMYFUNCTION("""COMPUTED_VALUE"""),"Other Fees")</f>
        <v>Other Fees</v>
      </c>
      <c r="C21" s="136">
        <f>IFERROR(__xludf.DUMMYFUNCTION("""COMPUTED_VALUE"""),-24228.939999999842)</f>
        <v>-24228.94</v>
      </c>
      <c r="D21" s="136">
        <f>IFERROR(__xludf.DUMMYFUNCTION("""COMPUTED_VALUE"""),-1767.3999999999999)</f>
        <v>-1767.4</v>
      </c>
      <c r="E21" s="136">
        <f>IFERROR(__xludf.DUMMYFUNCTION("""COMPUTED_VALUE"""),-1109.4199999999994)</f>
        <v>-1109.42</v>
      </c>
      <c r="F21" s="136">
        <f>IFERROR(__xludf.DUMMYFUNCTION("""COMPUTED_VALUE"""),-476.56999999999994)</f>
        <v>-476.57</v>
      </c>
      <c r="G21" s="137">
        <f>IFERROR(__xludf.DUMMYFUNCTION("""COMPUTED_VALUE"""),-524.0499999999998)</f>
        <v>-524.05</v>
      </c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</row>
    <row r="22">
      <c r="A22" s="114"/>
      <c r="B22" s="138" t="str">
        <f>IFERROR(__xludf.DUMMYFUNCTION("""COMPUTED_VALUE"""),"Shipping Services")</f>
        <v>Shipping Services</v>
      </c>
      <c r="C22" s="124">
        <f>IFERROR(__xludf.DUMMYFUNCTION("""COMPUTED_VALUE"""),-20935.039999999844)</f>
        <v>-20935.04</v>
      </c>
      <c r="D22" s="124">
        <f>IFERROR(__xludf.DUMMYFUNCTION("""COMPUTED_VALUE"""),-1691.3899999999999)</f>
        <v>-1691.39</v>
      </c>
      <c r="E22" s="124">
        <f>IFERROR(__xludf.DUMMYFUNCTION("""COMPUTED_VALUE"""),-952.3999999999996)</f>
        <v>-952.4</v>
      </c>
      <c r="F22" s="124">
        <f>IFERROR(__xludf.DUMMYFUNCTION("""COMPUTED_VALUE"""),-476.56999999999994)</f>
        <v>-476.57</v>
      </c>
      <c r="G22" s="125">
        <f>IFERROR(__xludf.DUMMYFUNCTION("""COMPUTED_VALUE"""),-524.0499999999998)</f>
        <v>-524.05</v>
      </c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</row>
    <row r="23">
      <c r="A23" s="114"/>
      <c r="B23" s="133" t="str">
        <f>IFERROR(__xludf.DUMMYFUNCTION("""COMPUTED_VALUE"""),"FBA Inventory Fee")</f>
        <v>FBA Inventory Fee</v>
      </c>
      <c r="C23" s="128">
        <f>IFERROR(__xludf.DUMMYFUNCTION("""COMPUTED_VALUE"""),-836.5699999999999)</f>
        <v>-836.57</v>
      </c>
      <c r="D23" s="128">
        <f>IFERROR(__xludf.DUMMYFUNCTION("""COMPUTED_VALUE"""),-39.58)</f>
        <v>-39.58</v>
      </c>
      <c r="E23" s="128">
        <f>IFERROR(__xludf.DUMMYFUNCTION("""COMPUTED_VALUE"""),-59.93)</f>
        <v>-59.93</v>
      </c>
      <c r="F23" s="128">
        <f>IFERROR(__xludf.DUMMYFUNCTION("""COMPUTED_VALUE"""),0.0)</f>
        <v>0</v>
      </c>
      <c r="G23" s="129">
        <f>IFERROR(__xludf.DUMMYFUNCTION("""COMPUTED_VALUE"""),0.0)</f>
        <v>0</v>
      </c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</row>
    <row r="24">
      <c r="A24" s="114"/>
      <c r="B24" s="133" t="str">
        <f>IFERROR(__xludf.DUMMYFUNCTION("""COMPUTED_VALUE"""),"Service Fee")</f>
        <v>Service Fee</v>
      </c>
      <c r="C24" s="128">
        <f>IFERROR(__xludf.DUMMYFUNCTION("""COMPUTED_VALUE"""),-2564.889999999999)</f>
        <v>-2564.89</v>
      </c>
      <c r="D24" s="128">
        <f>IFERROR(__xludf.DUMMYFUNCTION("""COMPUTED_VALUE"""),-39.99)</f>
        <v>-39.99</v>
      </c>
      <c r="E24" s="128">
        <f>IFERROR(__xludf.DUMMYFUNCTION("""COMPUTED_VALUE"""),-39.99)</f>
        <v>-39.99</v>
      </c>
      <c r="F24" s="128">
        <f>IFERROR(__xludf.DUMMYFUNCTION("""COMPUTED_VALUE"""),0.0)</f>
        <v>0</v>
      </c>
      <c r="G24" s="129">
        <f>IFERROR(__xludf.DUMMYFUNCTION("""COMPUTED_VALUE"""),0.0)</f>
        <v>0</v>
      </c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</row>
    <row r="25">
      <c r="A25" s="114"/>
      <c r="B25" s="133" t="str">
        <f>IFERROR(__xludf.DUMMYFUNCTION("""COMPUTED_VALUE"""),"SAFE-T reimbursement")</f>
        <v>SAFE-T reimbursement</v>
      </c>
      <c r="C25" s="128">
        <f>IFERROR(__xludf.DUMMYFUNCTION("""COMPUTED_VALUE"""),1079.55)</f>
        <v>1079.55</v>
      </c>
      <c r="D25" s="128">
        <f>IFERROR(__xludf.DUMMYFUNCTION("""COMPUTED_VALUE"""),0.0)</f>
        <v>0</v>
      </c>
      <c r="E25" s="128">
        <f>IFERROR(__xludf.DUMMYFUNCTION("""COMPUTED_VALUE"""),0.0)</f>
        <v>0</v>
      </c>
      <c r="F25" s="128">
        <f>IFERROR(__xludf.DUMMYFUNCTION("""COMPUTED_VALUE"""),0.0)</f>
        <v>0</v>
      </c>
      <c r="G25" s="129">
        <f>IFERROR(__xludf.DUMMYFUNCTION("""COMPUTED_VALUE"""),0.0)</f>
        <v>0</v>
      </c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</row>
    <row r="26">
      <c r="A26" s="114"/>
      <c r="B26" s="133" t="str">
        <f>IFERROR(__xludf.DUMMYFUNCTION("""COMPUTED_VALUE"""),"Liquidations Adjustments")</f>
        <v>Liquidations Adjustments</v>
      </c>
      <c r="C26" s="128">
        <f>IFERROR(__xludf.DUMMYFUNCTION("""COMPUTED_VALUE"""),0.0)</f>
        <v>0</v>
      </c>
      <c r="D26" s="128">
        <f>IFERROR(__xludf.DUMMYFUNCTION("""COMPUTED_VALUE"""),0.0)</f>
        <v>0</v>
      </c>
      <c r="E26" s="128">
        <f>IFERROR(__xludf.DUMMYFUNCTION("""COMPUTED_VALUE"""),0.0)</f>
        <v>0</v>
      </c>
      <c r="F26" s="128">
        <f>IFERROR(__xludf.DUMMYFUNCTION("""COMPUTED_VALUE"""),0.0)</f>
        <v>0</v>
      </c>
      <c r="G26" s="129">
        <f>IFERROR(__xludf.DUMMYFUNCTION("""COMPUTED_VALUE"""),0.0)</f>
        <v>0</v>
      </c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</row>
    <row r="27">
      <c r="A27" s="114"/>
      <c r="B27" s="133" t="str">
        <f>IFERROR(__xludf.DUMMYFUNCTION("""COMPUTED_VALUE"""),"Adjustment")</f>
        <v>Adjustment</v>
      </c>
      <c r="C27" s="128">
        <f>IFERROR(__xludf.DUMMYFUNCTION("""COMPUTED_VALUE"""),112.22)</f>
        <v>112.22</v>
      </c>
      <c r="D27" s="128">
        <f>IFERROR(__xludf.DUMMYFUNCTION("""COMPUTED_VALUE"""),3.56)</f>
        <v>3.56</v>
      </c>
      <c r="E27" s="128">
        <f>IFERROR(__xludf.DUMMYFUNCTION("""COMPUTED_VALUE"""),5.18)</f>
        <v>5.18</v>
      </c>
      <c r="F27" s="128">
        <f>IFERROR(__xludf.DUMMYFUNCTION("""COMPUTED_VALUE"""),0.0)</f>
        <v>0</v>
      </c>
      <c r="G27" s="129">
        <f>IFERROR(__xludf.DUMMYFUNCTION("""COMPUTED_VALUE"""),0.0)</f>
        <v>0</v>
      </c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</row>
    <row r="28">
      <c r="A28" s="114"/>
      <c r="B28" s="134" t="str">
        <f>IFERROR(__xludf.DUMMYFUNCTION("""COMPUTED_VALUE"""),"A-to-z Guarantee Claim")</f>
        <v>A-to-z Guarantee Claim</v>
      </c>
      <c r="C28" s="131">
        <f>IFERROR(__xludf.DUMMYFUNCTION("""COMPUTED_VALUE"""),-1084.21)</f>
        <v>-1084.21</v>
      </c>
      <c r="D28" s="131">
        <f>IFERROR(__xludf.DUMMYFUNCTION("""COMPUTED_VALUE"""),0.0)</f>
        <v>0</v>
      </c>
      <c r="E28" s="131">
        <f>IFERROR(__xludf.DUMMYFUNCTION("""COMPUTED_VALUE"""),-62.28)</f>
        <v>-62.28</v>
      </c>
      <c r="F28" s="131">
        <f>IFERROR(__xludf.DUMMYFUNCTION("""COMPUTED_VALUE"""),0.0)</f>
        <v>0</v>
      </c>
      <c r="G28" s="132">
        <f>IFERROR(__xludf.DUMMYFUNCTION("""COMPUTED_VALUE"""),0.0)</f>
        <v>0</v>
      </c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</row>
    <row r="29">
      <c r="A29" s="114"/>
      <c r="B29" s="117"/>
      <c r="C29" s="116"/>
      <c r="D29" s="116"/>
      <c r="E29" s="116"/>
      <c r="F29" s="116"/>
      <c r="G29" s="116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</row>
    <row r="30">
      <c r="A30" s="114"/>
      <c r="B30" s="123" t="str">
        <f>IFERROR(__xludf.DUMMYFUNCTION("""COMPUTED_VALUE"""),"Purchase Reconciliations")</f>
        <v>Purchase Reconciliations</v>
      </c>
      <c r="C30" s="139"/>
      <c r="D30" s="139"/>
      <c r="E30" s="139"/>
      <c r="F30" s="139"/>
      <c r="G30" s="140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</row>
    <row r="31">
      <c r="A31" s="114"/>
      <c r="B31" s="126" t="str">
        <f>IFERROR(__xludf.DUMMYFUNCTION("""COMPUTED_VALUE"""),"Keystone")</f>
        <v>Keystone</v>
      </c>
      <c r="C31" s="85">
        <f>IFERROR(__xludf.DUMMYFUNCTION("""COMPUTED_VALUE"""),630369.2600000004)</f>
        <v>630369.26</v>
      </c>
      <c r="D31" s="85">
        <f>IFERROR(__xludf.DUMMYFUNCTION("""COMPUTED_VALUE"""),52228.75000000013)</f>
        <v>52228.75</v>
      </c>
      <c r="E31" s="85">
        <f>IFERROR(__xludf.DUMMYFUNCTION("""COMPUTED_VALUE"""),30366.989999999998)</f>
        <v>30366.99</v>
      </c>
      <c r="F31" s="85">
        <f>IFERROR(__xludf.DUMMYFUNCTION("""COMPUTED_VALUE"""),9549.650000000009)</f>
        <v>9549.65</v>
      </c>
      <c r="G31" s="86">
        <f>IFERROR(__xludf.DUMMYFUNCTION("""COMPUTED_VALUE"""),11514.040000000005)</f>
        <v>11514.04</v>
      </c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</row>
    <row r="32">
      <c r="A32" s="114"/>
      <c r="B32" s="141" t="str">
        <f>IFERROR(__xludf.DUMMYFUNCTION("""COMPUTED_VALUE"""),"eBay")</f>
        <v>eBay</v>
      </c>
      <c r="C32" s="142">
        <f>IFERROR(__xludf.DUMMYFUNCTION("""COMPUTED_VALUE"""),45240.11999999946)</f>
        <v>45240.12</v>
      </c>
      <c r="D32" s="142">
        <f>IFERROR(__xludf.DUMMYFUNCTION("""COMPUTED_VALUE"""),2195.1599999999985)</f>
        <v>2195.16</v>
      </c>
      <c r="E32" s="142">
        <f>IFERROR(__xludf.DUMMYFUNCTION("""COMPUTED_VALUE"""),1249.9499999999998)</f>
        <v>1249.95</v>
      </c>
      <c r="F32" s="142">
        <f>IFERROR(__xludf.DUMMYFUNCTION("""COMPUTED_VALUE"""),0.0)</f>
        <v>0</v>
      </c>
      <c r="G32" s="143">
        <f>IFERROR(__xludf.DUMMYFUNCTION("""COMPUTED_VALUE"""),0.0)</f>
        <v>0</v>
      </c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</row>
    <row r="33">
      <c r="A33" s="114"/>
      <c r="B33" s="117"/>
      <c r="C33" s="116"/>
      <c r="D33" s="116"/>
      <c r="E33" s="116"/>
      <c r="F33" s="116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</row>
    <row r="34">
      <c r="A34" s="114"/>
      <c r="B34" s="118" t="str">
        <f>IFERROR(__xludf.DUMMYFUNCTION("""COMPUTED_VALUE"""),"Sales")</f>
        <v>Sales</v>
      </c>
      <c r="C34" s="4" t="str">
        <f>IFERROR(__xludf.DUMMYFUNCTION("""COMPUTED_VALUE"""),"Year to Date")</f>
        <v>Year to Date</v>
      </c>
      <c r="D34" s="4" t="str">
        <f>IFERROR(__xludf.DUMMYFUNCTION("""COMPUTED_VALUE"""),"Last Month")</f>
        <v>Last Month</v>
      </c>
      <c r="E34" s="4" t="str">
        <f>IFERROR(__xludf.DUMMYFUNCTION("""COMPUTED_VALUE"""),"Month to Date")</f>
        <v>Month to Date</v>
      </c>
      <c r="F34" s="5" t="str">
        <f>IFERROR(__xludf.DUMMYFUNCTION("""COMPUTED_VALUE"""),"This Week")</f>
        <v>This Week</v>
      </c>
      <c r="G34" s="6" t="str">
        <f>IFERROR(__xludf.DUMMYFUNCTION("""COMPUTED_VALUE"""),"Last Week")</f>
        <v>Last Week</v>
      </c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</row>
    <row r="35">
      <c r="A35" s="114"/>
      <c r="B35" s="119"/>
      <c r="C35" s="120">
        <f>IFERROR(__xludf.DUMMYFUNCTION("""COMPUTED_VALUE"""),2025.0)</f>
        <v>2025</v>
      </c>
      <c r="D35" s="121" t="str">
        <f>IFERROR(__xludf.DUMMYFUNCTION("""COMPUTED_VALUE"""),"November")</f>
        <v>November</v>
      </c>
      <c r="E35" s="121" t="str">
        <f>IFERROR(__xludf.DUMMYFUNCTION("""COMPUTED_VALUE"""),"December")</f>
        <v>December</v>
      </c>
      <c r="F35" s="122">
        <f>IFERROR(__xludf.DUMMYFUNCTION("""COMPUTED_VALUE"""),45999.0)</f>
        <v>45999</v>
      </c>
      <c r="G35" s="144">
        <f>IFERROR(__xludf.DUMMYFUNCTION("""COMPUTED_VALUE"""),45992.0)</f>
        <v>45992</v>
      </c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</row>
    <row r="36">
      <c r="A36" s="114"/>
      <c r="B36" s="138" t="str">
        <f>IFERROR(__xludf.DUMMYFUNCTION("""COMPUTED_VALUE"""),"All Vendors")</f>
        <v>All Vendors</v>
      </c>
      <c r="C36" s="139">
        <f>IFERROR(__xludf.DUMMYFUNCTION("""COMPUTED_VALUE"""),1068091.0600000336)</f>
        <v>1068091.06</v>
      </c>
      <c r="D36" s="139">
        <f>IFERROR(__xludf.DUMMYFUNCTION("""COMPUTED_VALUE"""),86933.69000000002)</f>
        <v>86933.69</v>
      </c>
      <c r="E36" s="139">
        <f>IFERROR(__xludf.DUMMYFUNCTION("""COMPUTED_VALUE"""),50289.99000000002)</f>
        <v>50289.99</v>
      </c>
      <c r="F36" s="139">
        <f>IFERROR(__xludf.DUMMYFUNCTION("""COMPUTED_VALUE"""),16071.940000000002)</f>
        <v>16071.94</v>
      </c>
      <c r="G36" s="145">
        <f>IFERROR(__xludf.DUMMYFUNCTION("""COMPUTED_VALUE"""),18873.879999999997)</f>
        <v>18873.88</v>
      </c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</row>
    <row r="37">
      <c r="A37" s="114"/>
      <c r="B37" s="133" t="str">
        <f>IFERROR(__xludf.DUMMYFUNCTION("""COMPUTED_VALUE"""),"Keystone")</f>
        <v>Keystone</v>
      </c>
      <c r="C37" s="128">
        <f>IFERROR(__xludf.DUMMYFUNCTION("""COMPUTED_VALUE"""),966647.7500000336)</f>
        <v>966647.75</v>
      </c>
      <c r="D37" s="128">
        <f>IFERROR(__xludf.DUMMYFUNCTION("""COMPUTED_VALUE"""),81434.43000000002)</f>
        <v>81434.43</v>
      </c>
      <c r="E37" s="128">
        <f>IFERROR(__xludf.DUMMYFUNCTION("""COMPUTED_VALUE"""),46648.080000000016)</f>
        <v>46648.08</v>
      </c>
      <c r="F37" s="128">
        <f>IFERROR(__xludf.DUMMYFUNCTION("""COMPUTED_VALUE"""),14721.980000000003)</f>
        <v>14721.98</v>
      </c>
      <c r="G37" s="129">
        <f>IFERROR(__xludf.DUMMYFUNCTION("""COMPUTED_VALUE"""),17865.629999999997)</f>
        <v>17865.63</v>
      </c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117"/>
    </row>
    <row r="38">
      <c r="A38" s="114"/>
      <c r="B38" s="133" t="str">
        <f>IFERROR(__xludf.DUMMYFUNCTION("""COMPUTED_VALUE"""),"eBay")</f>
        <v>eBay</v>
      </c>
      <c r="C38" s="128">
        <f>IFERROR(__xludf.DUMMYFUNCTION("""COMPUTED_VALUE"""),85039.07000000002)</f>
        <v>85039.07</v>
      </c>
      <c r="D38" s="128">
        <f>IFERROR(__xludf.DUMMYFUNCTION("""COMPUTED_VALUE"""),4787.340000000001)</f>
        <v>4787.34</v>
      </c>
      <c r="E38" s="128">
        <f>IFERROR(__xludf.DUMMYFUNCTION("""COMPUTED_VALUE"""),2609.1899999999996)</f>
        <v>2609.19</v>
      </c>
      <c r="F38" s="128">
        <f>IFERROR(__xludf.DUMMYFUNCTION("""COMPUTED_VALUE"""),1037.14)</f>
        <v>1037.14</v>
      </c>
      <c r="G38" s="129">
        <f>IFERROR(__xludf.DUMMYFUNCTION("""COMPUTED_VALUE"""),887.2099999999999)</f>
        <v>887.21</v>
      </c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</row>
    <row r="39">
      <c r="A39" s="114"/>
      <c r="B39" s="133" t="str">
        <f>IFERROR(__xludf.DUMMYFUNCTION("""COMPUTED_VALUE"""),"RR-FBA")</f>
        <v>RR-FBA</v>
      </c>
      <c r="C39" s="128">
        <f>IFERROR(__xludf.DUMMYFUNCTION("""COMPUTED_VALUE"""),1057.3499999999997)</f>
        <v>1057.35</v>
      </c>
      <c r="D39" s="128">
        <f>IFERROR(__xludf.DUMMYFUNCTION("""COMPUTED_VALUE"""),120.22)</f>
        <v>120.22</v>
      </c>
      <c r="E39" s="128">
        <f>IFERROR(__xludf.DUMMYFUNCTION("""COMPUTED_VALUE"""),340.02000000000015)</f>
        <v>340.02</v>
      </c>
      <c r="F39" s="128">
        <f>IFERROR(__xludf.DUMMYFUNCTION("""COMPUTED_VALUE"""),11.610000000000001)</f>
        <v>11.61</v>
      </c>
      <c r="G39" s="129">
        <f>IFERROR(__xludf.DUMMYFUNCTION("""COMPUTED_VALUE"""),8.68)</f>
        <v>8.68</v>
      </c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A39" s="117"/>
      <c r="AB39" s="117"/>
    </row>
    <row r="40">
      <c r="A40" s="114"/>
      <c r="B40" s="133" t="str">
        <f>IFERROR(__xludf.DUMMYFUNCTION("""COMPUTED_VALUE"""),"TAAS")</f>
        <v>TAAS</v>
      </c>
      <c r="C40" s="128">
        <f>IFERROR(__xludf.DUMMYFUNCTION("""COMPUTED_VALUE"""),12863.00000000001)</f>
        <v>12863</v>
      </c>
      <c r="D40" s="128">
        <f>IFERROR(__xludf.DUMMYFUNCTION("""COMPUTED_VALUE"""),373.78000000000003)</f>
        <v>373.78</v>
      </c>
      <c r="E40" s="128">
        <f>IFERROR(__xludf.DUMMYFUNCTION("""COMPUTED_VALUE"""),363.08000000000004)</f>
        <v>363.08</v>
      </c>
      <c r="F40" s="128">
        <f>IFERROR(__xludf.DUMMYFUNCTION("""COMPUTED_VALUE"""),156.46)</f>
        <v>156.46</v>
      </c>
      <c r="G40" s="129">
        <f>IFERROR(__xludf.DUMMYFUNCTION("""COMPUTED_VALUE"""),78.23)</f>
        <v>78.23</v>
      </c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</row>
    <row r="41">
      <c r="A41" s="114"/>
      <c r="B41" s="134" t="str">
        <f>IFERROR(__xludf.DUMMYFUNCTION("""COMPUTED_VALUE"""),"Nomadic-FBA")</f>
        <v>Nomadic-FBA</v>
      </c>
      <c r="C41" s="131">
        <f>IFERROR(__xludf.DUMMYFUNCTION("""COMPUTED_VALUE"""),2483.890000000004)</f>
        <v>2483.89</v>
      </c>
      <c r="D41" s="131">
        <f>IFERROR(__xludf.DUMMYFUNCTION("""COMPUTED_VALUE"""),217.92000000000007)</f>
        <v>217.92</v>
      </c>
      <c r="E41" s="131">
        <f>IFERROR(__xludf.DUMMYFUNCTION("""COMPUTED_VALUE"""),329.62)</f>
        <v>329.62</v>
      </c>
      <c r="F41" s="131">
        <f>IFERROR(__xludf.DUMMYFUNCTION("""COMPUTED_VALUE"""),144.75000000000003)</f>
        <v>144.75</v>
      </c>
      <c r="G41" s="132">
        <f>IFERROR(__xludf.DUMMYFUNCTION("""COMPUTED_VALUE"""),34.129999999999995)</f>
        <v>34.13</v>
      </c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7"/>
      <c r="AB41" s="117"/>
    </row>
    <row r="42">
      <c r="A42" s="114"/>
      <c r="B42" s="117"/>
      <c r="C42" s="116"/>
      <c r="D42" s="116"/>
      <c r="E42" s="116"/>
      <c r="F42" s="116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17"/>
    </row>
    <row r="43">
      <c r="A43" s="114"/>
      <c r="B43" s="146" t="str">
        <f>IFERROR(__xludf.DUMMYFUNCTION("""COMPUTED_VALUE"""),"Ads and Campaigns")</f>
        <v>Ads and Campaigns</v>
      </c>
      <c r="C43" s="147"/>
      <c r="D43" s="147"/>
      <c r="E43" s="147"/>
      <c r="F43" s="147"/>
      <c r="G43" s="148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117"/>
      <c r="AB43" s="117"/>
    </row>
    <row r="44">
      <c r="A44" s="114"/>
      <c r="B44" s="117"/>
      <c r="C44" s="116"/>
      <c r="D44" s="116"/>
      <c r="E44" s="116"/>
      <c r="F44" s="116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</row>
    <row r="45">
      <c r="A45" s="114"/>
      <c r="B45" s="117"/>
      <c r="C45" s="116"/>
      <c r="D45" s="116"/>
      <c r="E45" s="116"/>
      <c r="F45" s="116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117"/>
    </row>
    <row r="46">
      <c r="A46" s="114"/>
      <c r="B46" s="117"/>
      <c r="C46" s="116"/>
      <c r="D46" s="116"/>
      <c r="E46" s="116"/>
      <c r="F46" s="116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/>
      <c r="AB46" s="117"/>
    </row>
    <row r="47">
      <c r="A47" s="114"/>
      <c r="B47" s="117"/>
      <c r="C47" s="116"/>
      <c r="D47" s="116"/>
      <c r="E47" s="116"/>
      <c r="F47" s="116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117"/>
      <c r="AB47" s="117"/>
    </row>
    <row r="48">
      <c r="A48" s="114"/>
      <c r="B48" s="117"/>
      <c r="C48" s="116"/>
      <c r="D48" s="116"/>
      <c r="E48" s="116"/>
      <c r="F48" s="116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  <c r="AA48" s="117"/>
      <c r="AB48" s="117"/>
    </row>
    <row r="49">
      <c r="A49" s="114"/>
      <c r="B49" s="117"/>
      <c r="C49" s="116"/>
      <c r="D49" s="116"/>
      <c r="E49" s="116"/>
      <c r="F49" s="116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  <c r="AA49" s="117"/>
      <c r="AB49" s="117"/>
    </row>
    <row r="50">
      <c r="A50" s="114"/>
      <c r="B50" s="117"/>
      <c r="C50" s="116"/>
      <c r="D50" s="116"/>
      <c r="E50" s="116"/>
      <c r="F50" s="116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  <c r="AA50" s="117"/>
      <c r="AB50" s="117"/>
    </row>
    <row r="51">
      <c r="A51" s="114"/>
      <c r="B51" s="117"/>
      <c r="C51" s="116"/>
      <c r="D51" s="116"/>
      <c r="E51" s="116"/>
      <c r="F51" s="116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  <c r="AA51" s="117"/>
      <c r="AB51" s="117"/>
    </row>
    <row r="52">
      <c r="A52" s="114"/>
      <c r="B52" s="117"/>
      <c r="C52" s="116"/>
      <c r="D52" s="116"/>
      <c r="E52" s="116"/>
      <c r="F52" s="116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  <c r="AA52" s="117"/>
      <c r="AB52" s="117"/>
    </row>
    <row r="53">
      <c r="A53" s="114"/>
      <c r="B53" s="117"/>
      <c r="C53" s="116"/>
      <c r="D53" s="116"/>
      <c r="E53" s="116"/>
      <c r="F53" s="116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  <c r="AA53" s="117"/>
      <c r="AB53" s="117"/>
    </row>
    <row r="54">
      <c r="A54" s="114"/>
      <c r="B54" s="117"/>
      <c r="C54" s="116"/>
      <c r="D54" s="116"/>
      <c r="E54" s="116"/>
      <c r="F54" s="116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/>
      <c r="AB54" s="117"/>
    </row>
    <row r="55">
      <c r="A55" s="114"/>
      <c r="B55" s="117"/>
      <c r="C55" s="116"/>
      <c r="D55" s="116"/>
      <c r="E55" s="116"/>
      <c r="F55" s="116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  <c r="AA55" s="117"/>
      <c r="AB55" s="117"/>
    </row>
    <row r="56">
      <c r="A56" s="114"/>
      <c r="B56" s="117"/>
      <c r="C56" s="116"/>
      <c r="D56" s="116"/>
      <c r="E56" s="116"/>
      <c r="F56" s="116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  <c r="AA56" s="117"/>
      <c r="AB56" s="117"/>
    </row>
    <row r="57">
      <c r="A57" s="114"/>
      <c r="B57" s="117"/>
      <c r="C57" s="116"/>
      <c r="D57" s="116"/>
      <c r="E57" s="116"/>
      <c r="F57" s="116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  <c r="AA57" s="117"/>
      <c r="AB57" s="117"/>
    </row>
    <row r="58">
      <c r="A58" s="114"/>
      <c r="B58" s="117"/>
      <c r="C58" s="116"/>
      <c r="D58" s="116"/>
      <c r="E58" s="116"/>
      <c r="F58" s="116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  <c r="AA58" s="117"/>
      <c r="AB58" s="117"/>
    </row>
    <row r="59">
      <c r="A59" s="114"/>
      <c r="B59" s="117"/>
      <c r="C59" s="116"/>
      <c r="D59" s="116"/>
      <c r="E59" s="116"/>
      <c r="F59" s="116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  <c r="AA59" s="117"/>
      <c r="AB59" s="117"/>
    </row>
    <row r="60">
      <c r="A60" s="114"/>
      <c r="B60" s="117"/>
      <c r="C60" s="116"/>
      <c r="D60" s="116"/>
      <c r="E60" s="116"/>
      <c r="F60" s="116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117"/>
      <c r="AB60" s="117"/>
    </row>
    <row r="61">
      <c r="A61" s="114"/>
      <c r="B61" s="117"/>
      <c r="C61" s="116"/>
      <c r="D61" s="116"/>
      <c r="E61" s="116"/>
      <c r="F61" s="116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</row>
    <row r="62">
      <c r="A62" s="114"/>
      <c r="B62" s="117"/>
      <c r="C62" s="116"/>
      <c r="D62" s="116"/>
      <c r="E62" s="116"/>
      <c r="F62" s="116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</row>
    <row r="63">
      <c r="A63" s="114"/>
      <c r="B63" s="117"/>
      <c r="C63" s="116"/>
      <c r="D63" s="116"/>
      <c r="E63" s="116"/>
      <c r="F63" s="116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</row>
    <row r="64">
      <c r="A64" s="114"/>
      <c r="B64" s="117"/>
      <c r="C64" s="116"/>
      <c r="D64" s="116"/>
      <c r="E64" s="116"/>
      <c r="F64" s="116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</row>
    <row r="65">
      <c r="A65" s="114"/>
      <c r="B65" s="117"/>
      <c r="C65" s="116"/>
      <c r="D65" s="116"/>
      <c r="E65" s="116"/>
      <c r="F65" s="116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  <c r="AA65" s="117"/>
      <c r="AB65" s="117"/>
    </row>
    <row r="66">
      <c r="A66" s="114"/>
      <c r="B66" s="117"/>
      <c r="C66" s="116"/>
      <c r="D66" s="116"/>
      <c r="E66" s="116"/>
      <c r="F66" s="116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  <c r="AA66" s="117"/>
      <c r="AB66" s="117"/>
    </row>
    <row r="67">
      <c r="A67" s="114"/>
      <c r="B67" s="117"/>
      <c r="C67" s="116"/>
      <c r="D67" s="116"/>
      <c r="E67" s="116"/>
      <c r="F67" s="116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</row>
    <row r="68">
      <c r="A68" s="114"/>
      <c r="B68" s="117"/>
      <c r="C68" s="116"/>
      <c r="D68" s="116"/>
      <c r="E68" s="116"/>
      <c r="F68" s="116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  <c r="AA68" s="117"/>
      <c r="AB68" s="117"/>
    </row>
    <row r="69">
      <c r="A69" s="114"/>
      <c r="B69" s="117"/>
      <c r="C69" s="116"/>
      <c r="D69" s="116"/>
      <c r="E69" s="116"/>
      <c r="F69" s="116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  <c r="AA69" s="117"/>
      <c r="AB69" s="117"/>
    </row>
    <row r="70">
      <c r="A70" s="114"/>
      <c r="B70" s="117"/>
      <c r="C70" s="116"/>
      <c r="D70" s="116"/>
      <c r="E70" s="116"/>
      <c r="F70" s="116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</row>
    <row r="71">
      <c r="A71" s="114"/>
      <c r="B71" s="117"/>
      <c r="C71" s="116"/>
      <c r="D71" s="116"/>
      <c r="E71" s="116"/>
      <c r="F71" s="116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7"/>
      <c r="AB71" s="117"/>
    </row>
    <row r="72">
      <c r="A72" s="114"/>
      <c r="B72" s="117"/>
      <c r="C72" s="116"/>
      <c r="D72" s="116"/>
      <c r="E72" s="116"/>
      <c r="F72" s="116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  <c r="AB72" s="117"/>
    </row>
    <row r="73">
      <c r="A73" s="114"/>
      <c r="B73" s="117"/>
      <c r="C73" s="116"/>
      <c r="D73" s="116"/>
      <c r="E73" s="116"/>
      <c r="F73" s="116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  <c r="AA73" s="117"/>
      <c r="AB73" s="117"/>
    </row>
    <row r="74">
      <c r="A74" s="114"/>
      <c r="B74" s="117"/>
      <c r="C74" s="116"/>
      <c r="D74" s="116"/>
      <c r="E74" s="116"/>
      <c r="F74" s="116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  <c r="AB74" s="117"/>
    </row>
    <row r="75">
      <c r="A75" s="114"/>
      <c r="B75" s="117"/>
      <c r="C75" s="116"/>
      <c r="D75" s="116"/>
      <c r="E75" s="116"/>
      <c r="F75" s="116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  <c r="AA75" s="117"/>
      <c r="AB75" s="117"/>
    </row>
    <row r="76">
      <c r="A76" s="114"/>
      <c r="B76" s="117"/>
      <c r="C76" s="116"/>
      <c r="D76" s="116"/>
      <c r="E76" s="116"/>
      <c r="F76" s="116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</row>
    <row r="77">
      <c r="A77" s="114"/>
      <c r="B77" s="117"/>
      <c r="C77" s="116"/>
      <c r="D77" s="116"/>
      <c r="E77" s="116"/>
      <c r="F77" s="116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  <c r="AA77" s="117"/>
      <c r="AB77" s="117"/>
    </row>
    <row r="78">
      <c r="A78" s="114"/>
      <c r="B78" s="117"/>
      <c r="C78" s="116"/>
      <c r="D78" s="116"/>
      <c r="E78" s="116"/>
      <c r="F78" s="116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</row>
    <row r="79">
      <c r="A79" s="114"/>
      <c r="B79" s="117"/>
      <c r="C79" s="116"/>
      <c r="D79" s="116"/>
      <c r="E79" s="116"/>
      <c r="F79" s="116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  <c r="AA79" s="117"/>
      <c r="AB79" s="117"/>
    </row>
    <row r="80">
      <c r="A80" s="114"/>
      <c r="B80" s="117"/>
      <c r="C80" s="116"/>
      <c r="D80" s="116"/>
      <c r="E80" s="116"/>
      <c r="F80" s="116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</row>
    <row r="81">
      <c r="A81" s="114"/>
      <c r="B81" s="117"/>
      <c r="C81" s="116"/>
      <c r="D81" s="116"/>
      <c r="E81" s="116"/>
      <c r="F81" s="116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  <c r="AB81" s="117"/>
    </row>
    <row r="82">
      <c r="A82" s="114"/>
      <c r="B82" s="117"/>
      <c r="C82" s="116"/>
      <c r="D82" s="116"/>
      <c r="E82" s="116"/>
      <c r="F82" s="116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</row>
    <row r="83">
      <c r="A83" s="114"/>
      <c r="B83" s="117"/>
      <c r="C83" s="116"/>
      <c r="D83" s="116"/>
      <c r="E83" s="116"/>
      <c r="F83" s="116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  <c r="AA83" s="117"/>
      <c r="AB83" s="117"/>
    </row>
    <row r="84">
      <c r="A84" s="114"/>
      <c r="B84" s="117"/>
      <c r="C84" s="116"/>
      <c r="D84" s="116"/>
      <c r="E84" s="116"/>
      <c r="F84" s="116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</row>
    <row r="85">
      <c r="A85" s="114"/>
      <c r="B85" s="117"/>
      <c r="C85" s="116"/>
      <c r="D85" s="116"/>
      <c r="E85" s="116"/>
      <c r="F85" s="116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  <c r="AA85" s="117"/>
      <c r="AB85" s="117"/>
    </row>
    <row r="86">
      <c r="A86" s="114"/>
      <c r="B86" s="117"/>
      <c r="C86" s="116"/>
      <c r="D86" s="116"/>
      <c r="E86" s="116"/>
      <c r="F86" s="116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</row>
    <row r="87">
      <c r="A87" s="114"/>
      <c r="B87" s="117"/>
      <c r="C87" s="116"/>
      <c r="D87" s="116"/>
      <c r="E87" s="116"/>
      <c r="F87" s="116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  <c r="AA87" s="117"/>
      <c r="AB87" s="117"/>
    </row>
    <row r="88">
      <c r="A88" s="114"/>
      <c r="B88" s="117"/>
      <c r="C88" s="116"/>
      <c r="D88" s="116"/>
      <c r="E88" s="116"/>
      <c r="F88" s="116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</row>
    <row r="89">
      <c r="A89" s="114"/>
      <c r="B89" s="117"/>
      <c r="C89" s="116"/>
      <c r="D89" s="116"/>
      <c r="E89" s="116"/>
      <c r="F89" s="116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  <c r="AB89" s="117"/>
    </row>
    <row r="90">
      <c r="A90" s="114"/>
      <c r="B90" s="117"/>
      <c r="C90" s="116"/>
      <c r="D90" s="116"/>
      <c r="E90" s="116"/>
      <c r="F90" s="116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</row>
    <row r="91">
      <c r="A91" s="114"/>
      <c r="B91" s="117"/>
      <c r="C91" s="116"/>
      <c r="D91" s="116"/>
      <c r="E91" s="116"/>
      <c r="F91" s="116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  <c r="AA91" s="117"/>
      <c r="AB91" s="117"/>
    </row>
    <row r="92">
      <c r="A92" s="114"/>
      <c r="B92" s="117"/>
      <c r="C92" s="116"/>
      <c r="D92" s="116"/>
      <c r="E92" s="116"/>
      <c r="F92" s="116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</row>
    <row r="93">
      <c r="A93" s="114"/>
      <c r="B93" s="117"/>
      <c r="C93" s="116"/>
      <c r="D93" s="116"/>
      <c r="E93" s="116"/>
      <c r="F93" s="116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117"/>
      <c r="AB93" s="117"/>
    </row>
    <row r="94">
      <c r="A94" s="114"/>
      <c r="B94" s="117"/>
      <c r="C94" s="116"/>
      <c r="D94" s="116"/>
      <c r="E94" s="116"/>
      <c r="F94" s="116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</row>
    <row r="95">
      <c r="A95" s="114"/>
      <c r="B95" s="117"/>
      <c r="C95" s="116"/>
      <c r="D95" s="116"/>
      <c r="E95" s="116"/>
      <c r="F95" s="116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  <c r="AA95" s="117"/>
      <c r="AB95" s="117"/>
    </row>
    <row r="96">
      <c r="A96" s="114"/>
      <c r="B96" s="117"/>
      <c r="C96" s="116"/>
      <c r="D96" s="116"/>
      <c r="E96" s="116"/>
      <c r="F96" s="116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</row>
    <row r="97">
      <c r="A97" s="114"/>
      <c r="B97" s="117"/>
      <c r="C97" s="116"/>
      <c r="D97" s="116"/>
      <c r="E97" s="116"/>
      <c r="F97" s="116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  <c r="AA97" s="117"/>
      <c r="AB97" s="117"/>
    </row>
    <row r="98">
      <c r="A98" s="114"/>
      <c r="B98" s="117"/>
      <c r="C98" s="116"/>
      <c r="D98" s="116"/>
      <c r="E98" s="116"/>
      <c r="F98" s="116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117"/>
      <c r="AB98" s="117"/>
    </row>
    <row r="99">
      <c r="A99" s="114"/>
      <c r="B99" s="117"/>
      <c r="C99" s="116"/>
      <c r="D99" s="116"/>
      <c r="E99" s="116"/>
      <c r="F99" s="116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  <c r="AA99" s="117"/>
      <c r="AB99" s="117"/>
    </row>
    <row r="100">
      <c r="A100" s="114"/>
      <c r="B100" s="117"/>
      <c r="C100" s="116"/>
      <c r="D100" s="116"/>
      <c r="E100" s="116"/>
      <c r="F100" s="116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  <c r="AB100" s="117"/>
    </row>
    <row r="101">
      <c r="A101" s="114"/>
      <c r="B101" s="117"/>
      <c r="C101" s="116"/>
      <c r="D101" s="116"/>
      <c r="E101" s="116"/>
      <c r="F101" s="116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</row>
    <row r="102">
      <c r="A102" s="114"/>
      <c r="B102" s="117"/>
      <c r="C102" s="116"/>
      <c r="D102" s="116"/>
      <c r="E102" s="116"/>
      <c r="F102" s="116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117"/>
      <c r="AB102" s="117"/>
    </row>
    <row r="103">
      <c r="A103" s="114"/>
      <c r="B103" s="117"/>
      <c r="C103" s="116"/>
      <c r="D103" s="116"/>
      <c r="E103" s="116"/>
      <c r="F103" s="116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  <c r="AA103" s="117"/>
      <c r="AB103" s="117"/>
    </row>
    <row r="104">
      <c r="A104" s="114"/>
      <c r="B104" s="117"/>
      <c r="C104" s="116"/>
      <c r="D104" s="116"/>
      <c r="E104" s="116"/>
      <c r="F104" s="116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  <c r="AA104" s="117"/>
      <c r="AB104" s="117"/>
    </row>
    <row r="105">
      <c r="A105" s="114"/>
      <c r="B105" s="117"/>
      <c r="C105" s="116"/>
      <c r="D105" s="116"/>
      <c r="E105" s="116"/>
      <c r="F105" s="116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  <c r="AA105" s="117"/>
      <c r="AB105" s="117"/>
    </row>
    <row r="106">
      <c r="A106" s="114"/>
      <c r="B106" s="117"/>
      <c r="C106" s="116"/>
      <c r="D106" s="116"/>
      <c r="E106" s="116"/>
      <c r="F106" s="116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  <c r="AA106" s="117"/>
      <c r="AB106" s="117"/>
    </row>
    <row r="107">
      <c r="A107" s="114"/>
      <c r="B107" s="117"/>
      <c r="C107" s="116"/>
      <c r="D107" s="116"/>
      <c r="E107" s="116"/>
      <c r="F107" s="116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  <c r="AA107" s="117"/>
      <c r="AB107" s="117"/>
    </row>
    <row r="108">
      <c r="A108" s="114"/>
      <c r="B108" s="117"/>
      <c r="C108" s="116"/>
      <c r="D108" s="116"/>
      <c r="E108" s="116"/>
      <c r="F108" s="116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  <c r="AA108" s="117"/>
      <c r="AB108" s="117"/>
    </row>
    <row r="109">
      <c r="A109" s="114"/>
      <c r="B109" s="117"/>
      <c r="C109" s="116"/>
      <c r="D109" s="116"/>
      <c r="E109" s="116"/>
      <c r="F109" s="116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  <c r="AA109" s="117"/>
      <c r="AB109" s="117"/>
    </row>
    <row r="110">
      <c r="A110" s="114"/>
      <c r="B110" s="117"/>
      <c r="C110" s="116"/>
      <c r="D110" s="116"/>
      <c r="E110" s="116"/>
      <c r="F110" s="116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  <c r="AA110" s="117"/>
      <c r="AB110" s="117"/>
    </row>
    <row r="111">
      <c r="A111" s="114"/>
      <c r="B111" s="117"/>
      <c r="C111" s="116"/>
      <c r="D111" s="116"/>
      <c r="E111" s="116"/>
      <c r="F111" s="116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  <c r="AA111" s="117"/>
      <c r="AB111" s="117"/>
    </row>
    <row r="112">
      <c r="A112" s="114"/>
      <c r="B112" s="117"/>
      <c r="C112" s="116"/>
      <c r="D112" s="116"/>
      <c r="E112" s="116"/>
      <c r="F112" s="116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  <c r="AA112" s="117"/>
      <c r="AB112" s="117"/>
    </row>
    <row r="113">
      <c r="A113" s="114"/>
      <c r="B113" s="117"/>
      <c r="C113" s="116"/>
      <c r="D113" s="116"/>
      <c r="E113" s="116"/>
      <c r="F113" s="116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  <c r="AB113" s="117"/>
    </row>
    <row r="114">
      <c r="A114" s="114"/>
      <c r="B114" s="117"/>
      <c r="C114" s="116"/>
      <c r="D114" s="116"/>
      <c r="E114" s="116"/>
      <c r="F114" s="116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  <c r="AA114" s="117"/>
      <c r="AB114" s="117"/>
    </row>
    <row r="115">
      <c r="A115" s="114"/>
      <c r="B115" s="117"/>
      <c r="C115" s="116"/>
      <c r="D115" s="116"/>
      <c r="E115" s="116"/>
      <c r="F115" s="116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</row>
    <row r="116">
      <c r="A116" s="114"/>
      <c r="B116" s="117"/>
      <c r="C116" s="116"/>
      <c r="D116" s="116"/>
      <c r="E116" s="116"/>
      <c r="F116" s="116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  <c r="AA116" s="117"/>
      <c r="AB116" s="117"/>
    </row>
    <row r="117">
      <c r="A117" s="114"/>
      <c r="B117" s="117"/>
      <c r="C117" s="116"/>
      <c r="D117" s="116"/>
      <c r="E117" s="116"/>
      <c r="F117" s="116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  <c r="AA117" s="117"/>
      <c r="AB117" s="117"/>
    </row>
    <row r="118">
      <c r="A118" s="114"/>
      <c r="B118" s="117"/>
      <c r="C118" s="116"/>
      <c r="D118" s="116"/>
      <c r="E118" s="116"/>
      <c r="F118" s="116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  <c r="AA118" s="117"/>
      <c r="AB118" s="117"/>
    </row>
    <row r="119">
      <c r="A119" s="114"/>
      <c r="B119" s="117"/>
      <c r="C119" s="116"/>
      <c r="D119" s="116"/>
      <c r="E119" s="116"/>
      <c r="F119" s="116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  <c r="AA119" s="117"/>
      <c r="AB119" s="117"/>
    </row>
    <row r="120">
      <c r="A120" s="114"/>
      <c r="B120" s="117"/>
      <c r="C120" s="116"/>
      <c r="D120" s="116"/>
      <c r="E120" s="116"/>
      <c r="F120" s="116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  <c r="AA120" s="117"/>
      <c r="AB120" s="117"/>
    </row>
    <row r="121">
      <c r="A121" s="114"/>
      <c r="B121" s="117"/>
      <c r="C121" s="116"/>
      <c r="D121" s="116"/>
      <c r="E121" s="116"/>
      <c r="F121" s="116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  <c r="AA121" s="117"/>
      <c r="AB121" s="117"/>
    </row>
    <row r="122">
      <c r="A122" s="114"/>
      <c r="B122" s="117"/>
      <c r="C122" s="116"/>
      <c r="D122" s="116"/>
      <c r="E122" s="116"/>
      <c r="F122" s="116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</row>
    <row r="123">
      <c r="A123" s="114"/>
      <c r="B123" s="117"/>
      <c r="C123" s="116"/>
      <c r="D123" s="116"/>
      <c r="E123" s="116"/>
      <c r="F123" s="116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  <c r="AA123" s="117"/>
      <c r="AB123" s="117"/>
    </row>
    <row r="124">
      <c r="A124" s="114"/>
      <c r="B124" s="117"/>
      <c r="C124" s="116"/>
      <c r="D124" s="116"/>
      <c r="E124" s="116"/>
      <c r="F124" s="116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  <c r="AA124" s="117"/>
      <c r="AB124" s="117"/>
    </row>
    <row r="125">
      <c r="A125" s="114"/>
      <c r="B125" s="117"/>
      <c r="C125" s="116"/>
      <c r="D125" s="116"/>
      <c r="E125" s="116"/>
      <c r="F125" s="116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  <c r="AA125" s="117"/>
      <c r="AB125" s="117"/>
    </row>
    <row r="126">
      <c r="A126" s="114"/>
      <c r="B126" s="117"/>
      <c r="C126" s="116"/>
      <c r="D126" s="116"/>
      <c r="E126" s="116"/>
      <c r="F126" s="116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  <c r="AB126" s="117"/>
    </row>
    <row r="127">
      <c r="A127" s="114"/>
      <c r="B127" s="117"/>
      <c r="C127" s="116"/>
      <c r="D127" s="116"/>
      <c r="E127" s="116"/>
      <c r="F127" s="116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</row>
    <row r="128">
      <c r="A128" s="114"/>
      <c r="B128" s="117"/>
      <c r="C128" s="116"/>
      <c r="D128" s="116"/>
      <c r="E128" s="116"/>
      <c r="F128" s="116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</row>
    <row r="129">
      <c r="A129" s="114"/>
      <c r="B129" s="117"/>
      <c r="C129" s="116"/>
      <c r="D129" s="116"/>
      <c r="E129" s="116"/>
      <c r="F129" s="116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</row>
    <row r="130">
      <c r="A130" s="114"/>
      <c r="B130" s="117"/>
      <c r="C130" s="116"/>
      <c r="D130" s="116"/>
      <c r="E130" s="116"/>
      <c r="F130" s="116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</row>
    <row r="131">
      <c r="A131" s="114"/>
      <c r="B131" s="117"/>
      <c r="C131" s="116"/>
      <c r="D131" s="116"/>
      <c r="E131" s="116"/>
      <c r="F131" s="116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</row>
    <row r="132">
      <c r="A132" s="114"/>
      <c r="B132" s="117"/>
      <c r="C132" s="116"/>
      <c r="D132" s="116"/>
      <c r="E132" s="116"/>
      <c r="F132" s="116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</row>
    <row r="133">
      <c r="A133" s="114"/>
      <c r="B133" s="117"/>
      <c r="C133" s="116"/>
      <c r="D133" s="116"/>
      <c r="E133" s="116"/>
      <c r="F133" s="116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</row>
    <row r="134">
      <c r="A134" s="114"/>
      <c r="B134" s="117"/>
      <c r="C134" s="116"/>
      <c r="D134" s="116"/>
      <c r="E134" s="116"/>
      <c r="F134" s="116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</row>
    <row r="135">
      <c r="A135" s="114"/>
      <c r="B135" s="117"/>
      <c r="C135" s="116"/>
      <c r="D135" s="116"/>
      <c r="E135" s="116"/>
      <c r="F135" s="116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</row>
    <row r="136">
      <c r="A136" s="114"/>
      <c r="B136" s="117"/>
      <c r="C136" s="116"/>
      <c r="D136" s="116"/>
      <c r="E136" s="116"/>
      <c r="F136" s="116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</row>
    <row r="137">
      <c r="A137" s="114"/>
      <c r="B137" s="117"/>
      <c r="C137" s="116"/>
      <c r="D137" s="116"/>
      <c r="E137" s="116"/>
      <c r="F137" s="116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</row>
    <row r="138">
      <c r="A138" s="114"/>
      <c r="B138" s="117"/>
      <c r="C138" s="116"/>
      <c r="D138" s="116"/>
      <c r="E138" s="116"/>
      <c r="F138" s="116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</row>
    <row r="139">
      <c r="A139" s="114"/>
      <c r="B139" s="117"/>
      <c r="C139" s="116"/>
      <c r="D139" s="116"/>
      <c r="E139" s="116"/>
      <c r="F139" s="116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</row>
    <row r="140">
      <c r="A140" s="114"/>
      <c r="B140" s="117"/>
      <c r="C140" s="116"/>
      <c r="D140" s="116"/>
      <c r="E140" s="116"/>
      <c r="F140" s="116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</row>
    <row r="141">
      <c r="A141" s="114"/>
      <c r="B141" s="117"/>
      <c r="C141" s="116"/>
      <c r="D141" s="116"/>
      <c r="E141" s="116"/>
      <c r="F141" s="116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</row>
    <row r="142">
      <c r="A142" s="114"/>
      <c r="B142" s="117"/>
      <c r="C142" s="116"/>
      <c r="D142" s="116"/>
      <c r="E142" s="116"/>
      <c r="F142" s="116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</row>
    <row r="143">
      <c r="A143" s="114"/>
      <c r="B143" s="117"/>
      <c r="C143" s="116"/>
      <c r="D143" s="116"/>
      <c r="E143" s="116"/>
      <c r="F143" s="116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</row>
    <row r="144">
      <c r="A144" s="114"/>
      <c r="B144" s="117"/>
      <c r="C144" s="116"/>
      <c r="D144" s="116"/>
      <c r="E144" s="116"/>
      <c r="F144" s="116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</row>
    <row r="145">
      <c r="A145" s="114"/>
      <c r="B145" s="117"/>
      <c r="C145" s="116"/>
      <c r="D145" s="116"/>
      <c r="E145" s="116"/>
      <c r="F145" s="116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</row>
    <row r="146">
      <c r="A146" s="114"/>
      <c r="B146" s="117"/>
      <c r="C146" s="116"/>
      <c r="D146" s="116"/>
      <c r="E146" s="116"/>
      <c r="F146" s="116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</row>
    <row r="147">
      <c r="A147" s="114"/>
      <c r="B147" s="117"/>
      <c r="C147" s="116"/>
      <c r="D147" s="116"/>
      <c r="E147" s="116"/>
      <c r="F147" s="116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</row>
    <row r="148">
      <c r="A148" s="114"/>
      <c r="B148" s="117"/>
      <c r="C148" s="116"/>
      <c r="D148" s="116"/>
      <c r="E148" s="116"/>
      <c r="F148" s="116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</row>
    <row r="149">
      <c r="A149" s="114"/>
      <c r="B149" s="117"/>
      <c r="C149" s="116"/>
      <c r="D149" s="116"/>
      <c r="E149" s="116"/>
      <c r="F149" s="116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</row>
    <row r="150">
      <c r="A150" s="114"/>
      <c r="B150" s="117"/>
      <c r="C150" s="116"/>
      <c r="D150" s="116"/>
      <c r="E150" s="116"/>
      <c r="F150" s="116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</row>
    <row r="151">
      <c r="A151" s="114"/>
      <c r="B151" s="117"/>
      <c r="C151" s="116"/>
      <c r="D151" s="116"/>
      <c r="E151" s="116"/>
      <c r="F151" s="116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</row>
    <row r="152">
      <c r="A152" s="114"/>
      <c r="B152" s="117"/>
      <c r="C152" s="116"/>
      <c r="D152" s="116"/>
      <c r="E152" s="116"/>
      <c r="F152" s="116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</row>
    <row r="153">
      <c r="A153" s="114"/>
      <c r="B153" s="117"/>
      <c r="C153" s="116"/>
      <c r="D153" s="116"/>
      <c r="E153" s="116"/>
      <c r="F153" s="116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</row>
    <row r="154">
      <c r="A154" s="114"/>
      <c r="B154" s="117"/>
      <c r="C154" s="116"/>
      <c r="D154" s="116"/>
      <c r="E154" s="116"/>
      <c r="F154" s="116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</row>
    <row r="155">
      <c r="A155" s="114"/>
      <c r="B155" s="117"/>
      <c r="C155" s="116"/>
      <c r="D155" s="116"/>
      <c r="E155" s="116"/>
      <c r="F155" s="116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</row>
    <row r="156">
      <c r="A156" s="114"/>
      <c r="B156" s="117"/>
      <c r="C156" s="116"/>
      <c r="D156" s="116"/>
      <c r="E156" s="116"/>
      <c r="F156" s="116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</row>
    <row r="157">
      <c r="A157" s="114"/>
      <c r="B157" s="117"/>
      <c r="C157" s="116"/>
      <c r="D157" s="116"/>
      <c r="E157" s="116"/>
      <c r="F157" s="116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</row>
    <row r="158">
      <c r="A158" s="114"/>
      <c r="B158" s="117"/>
      <c r="C158" s="116"/>
      <c r="D158" s="116"/>
      <c r="E158" s="116"/>
      <c r="F158" s="116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</row>
    <row r="159">
      <c r="A159" s="114"/>
      <c r="B159" s="117"/>
      <c r="C159" s="116"/>
      <c r="D159" s="116"/>
      <c r="E159" s="116"/>
      <c r="F159" s="116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</row>
    <row r="160">
      <c r="A160" s="114"/>
      <c r="B160" s="117"/>
      <c r="C160" s="116"/>
      <c r="D160" s="116"/>
      <c r="E160" s="116"/>
      <c r="F160" s="116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</row>
    <row r="161">
      <c r="A161" s="114"/>
      <c r="B161" s="117"/>
      <c r="C161" s="116"/>
      <c r="D161" s="116"/>
      <c r="E161" s="116"/>
      <c r="F161" s="116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</row>
    <row r="162">
      <c r="A162" s="114"/>
      <c r="B162" s="117"/>
      <c r="C162" s="116"/>
      <c r="D162" s="116"/>
      <c r="E162" s="116"/>
      <c r="F162" s="116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</row>
    <row r="163">
      <c r="A163" s="114"/>
      <c r="B163" s="117"/>
      <c r="C163" s="116"/>
      <c r="D163" s="116"/>
      <c r="E163" s="116"/>
      <c r="F163" s="116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</row>
    <row r="164">
      <c r="A164" s="114"/>
      <c r="B164" s="117"/>
      <c r="C164" s="116"/>
      <c r="D164" s="116"/>
      <c r="E164" s="116"/>
      <c r="F164" s="116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</row>
    <row r="165">
      <c r="A165" s="114"/>
      <c r="B165" s="117"/>
      <c r="C165" s="116"/>
      <c r="D165" s="116"/>
      <c r="E165" s="116"/>
      <c r="F165" s="116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</row>
    <row r="166">
      <c r="A166" s="114"/>
      <c r="B166" s="117"/>
      <c r="C166" s="116"/>
      <c r="D166" s="116"/>
      <c r="E166" s="116"/>
      <c r="F166" s="116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</row>
    <row r="167">
      <c r="A167" s="114"/>
      <c r="B167" s="117"/>
      <c r="C167" s="116"/>
      <c r="D167" s="116"/>
      <c r="E167" s="116"/>
      <c r="F167" s="116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</row>
    <row r="168">
      <c r="A168" s="114"/>
      <c r="B168" s="117"/>
      <c r="C168" s="116"/>
      <c r="D168" s="116"/>
      <c r="E168" s="116"/>
      <c r="F168" s="116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</row>
    <row r="169">
      <c r="A169" s="114"/>
      <c r="B169" s="117"/>
      <c r="C169" s="116"/>
      <c r="D169" s="116"/>
      <c r="E169" s="116"/>
      <c r="F169" s="116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</row>
    <row r="170">
      <c r="A170" s="114"/>
      <c r="B170" s="117"/>
      <c r="C170" s="116"/>
      <c r="D170" s="116"/>
      <c r="E170" s="116"/>
      <c r="F170" s="116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</row>
    <row r="171">
      <c r="A171" s="114"/>
      <c r="B171" s="117"/>
      <c r="C171" s="116"/>
      <c r="D171" s="116"/>
      <c r="E171" s="116"/>
      <c r="F171" s="116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</row>
    <row r="172">
      <c r="A172" s="114"/>
      <c r="B172" s="117"/>
      <c r="C172" s="116"/>
      <c r="D172" s="116"/>
      <c r="E172" s="116"/>
      <c r="F172" s="116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</row>
    <row r="173">
      <c r="A173" s="114"/>
      <c r="B173" s="117"/>
      <c r="C173" s="116"/>
      <c r="D173" s="116"/>
      <c r="E173" s="116"/>
      <c r="F173" s="116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</row>
    <row r="174">
      <c r="A174" s="114"/>
      <c r="B174" s="117"/>
      <c r="C174" s="116"/>
      <c r="D174" s="116"/>
      <c r="E174" s="116"/>
      <c r="F174" s="116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</row>
    <row r="175">
      <c r="A175" s="114"/>
      <c r="B175" s="117"/>
      <c r="C175" s="116"/>
      <c r="D175" s="116"/>
      <c r="E175" s="116"/>
      <c r="F175" s="116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</row>
    <row r="176">
      <c r="A176" s="114"/>
      <c r="B176" s="117"/>
      <c r="C176" s="116"/>
      <c r="D176" s="116"/>
      <c r="E176" s="116"/>
      <c r="F176" s="116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</row>
    <row r="177">
      <c r="A177" s="114"/>
      <c r="B177" s="117"/>
      <c r="C177" s="116"/>
      <c r="D177" s="116"/>
      <c r="E177" s="116"/>
      <c r="F177" s="116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</row>
    <row r="178">
      <c r="A178" s="114"/>
      <c r="B178" s="117"/>
      <c r="C178" s="116"/>
      <c r="D178" s="116"/>
      <c r="E178" s="116"/>
      <c r="F178" s="116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</row>
    <row r="179">
      <c r="A179" s="114"/>
      <c r="B179" s="117"/>
      <c r="C179" s="116"/>
      <c r="D179" s="116"/>
      <c r="E179" s="116"/>
      <c r="F179" s="116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</row>
    <row r="180">
      <c r="A180" s="114"/>
      <c r="B180" s="117"/>
      <c r="C180" s="116"/>
      <c r="D180" s="116"/>
      <c r="E180" s="116"/>
      <c r="F180" s="116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</row>
    <row r="181">
      <c r="A181" s="114"/>
      <c r="B181" s="117"/>
      <c r="C181" s="116"/>
      <c r="D181" s="116"/>
      <c r="E181" s="116"/>
      <c r="F181" s="116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</row>
    <row r="182">
      <c r="A182" s="114"/>
      <c r="B182" s="117"/>
      <c r="C182" s="116"/>
      <c r="D182" s="116"/>
      <c r="E182" s="116"/>
      <c r="F182" s="116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</row>
    <row r="183">
      <c r="A183" s="114"/>
      <c r="B183" s="117"/>
      <c r="C183" s="116"/>
      <c r="D183" s="116"/>
      <c r="E183" s="116"/>
      <c r="F183" s="116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</row>
    <row r="184">
      <c r="A184" s="114"/>
      <c r="B184" s="117"/>
      <c r="C184" s="116"/>
      <c r="D184" s="116"/>
      <c r="E184" s="116"/>
      <c r="F184" s="116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</row>
    <row r="185">
      <c r="A185" s="114"/>
      <c r="B185" s="117"/>
      <c r="C185" s="116"/>
      <c r="D185" s="116"/>
      <c r="E185" s="116"/>
      <c r="F185" s="116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</row>
    <row r="186">
      <c r="A186" s="114"/>
      <c r="B186" s="117"/>
      <c r="C186" s="116"/>
      <c r="D186" s="116"/>
      <c r="E186" s="116"/>
      <c r="F186" s="116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</row>
    <row r="187">
      <c r="A187" s="114"/>
      <c r="B187" s="117"/>
      <c r="C187" s="116"/>
      <c r="D187" s="116"/>
      <c r="E187" s="116"/>
      <c r="F187" s="116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</row>
    <row r="188">
      <c r="A188" s="114"/>
      <c r="B188" s="117"/>
      <c r="C188" s="116"/>
      <c r="D188" s="116"/>
      <c r="E188" s="116"/>
      <c r="F188" s="116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</row>
    <row r="189">
      <c r="A189" s="114"/>
      <c r="B189" s="117"/>
      <c r="C189" s="116"/>
      <c r="D189" s="116"/>
      <c r="E189" s="116"/>
      <c r="F189" s="116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</row>
    <row r="190">
      <c r="A190" s="114"/>
      <c r="B190" s="117"/>
      <c r="C190" s="116"/>
      <c r="D190" s="116"/>
      <c r="E190" s="116"/>
      <c r="F190" s="116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</row>
    <row r="191">
      <c r="A191" s="114"/>
      <c r="B191" s="117"/>
      <c r="C191" s="116"/>
      <c r="D191" s="116"/>
      <c r="E191" s="116"/>
      <c r="F191" s="116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</row>
    <row r="192">
      <c r="A192" s="114"/>
      <c r="B192" s="117"/>
      <c r="C192" s="116"/>
      <c r="D192" s="116"/>
      <c r="E192" s="116"/>
      <c r="F192" s="116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</row>
    <row r="193">
      <c r="A193" s="114"/>
      <c r="B193" s="117"/>
      <c r="C193" s="116"/>
      <c r="D193" s="116"/>
      <c r="E193" s="116"/>
      <c r="F193" s="116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</row>
    <row r="194">
      <c r="A194" s="114"/>
      <c r="B194" s="117"/>
      <c r="C194" s="116"/>
      <c r="D194" s="116"/>
      <c r="E194" s="116"/>
      <c r="F194" s="116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</row>
    <row r="195">
      <c r="A195" s="114"/>
      <c r="B195" s="117"/>
      <c r="C195" s="116"/>
      <c r="D195" s="116"/>
      <c r="E195" s="116"/>
      <c r="F195" s="116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</row>
    <row r="196">
      <c r="A196" s="114"/>
      <c r="B196" s="117"/>
      <c r="C196" s="116"/>
      <c r="D196" s="116"/>
      <c r="E196" s="116"/>
      <c r="F196" s="116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</row>
    <row r="197">
      <c r="A197" s="114"/>
      <c r="B197" s="117"/>
      <c r="C197" s="116"/>
      <c r="D197" s="116"/>
      <c r="E197" s="116"/>
      <c r="F197" s="116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</row>
    <row r="198">
      <c r="A198" s="114"/>
      <c r="B198" s="117"/>
      <c r="C198" s="116"/>
      <c r="D198" s="116"/>
      <c r="E198" s="116"/>
      <c r="F198" s="116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</row>
    <row r="199">
      <c r="A199" s="114"/>
      <c r="B199" s="117"/>
      <c r="C199" s="116"/>
      <c r="D199" s="116"/>
      <c r="E199" s="116"/>
      <c r="F199" s="116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</row>
    <row r="200">
      <c r="A200" s="114"/>
      <c r="B200" s="117"/>
      <c r="C200" s="116"/>
      <c r="D200" s="116"/>
      <c r="E200" s="116"/>
      <c r="F200" s="116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</row>
    <row r="201">
      <c r="A201" s="114"/>
      <c r="B201" s="117"/>
      <c r="C201" s="116"/>
      <c r="D201" s="116"/>
      <c r="E201" s="116"/>
      <c r="F201" s="116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</row>
    <row r="202">
      <c r="A202" s="114"/>
      <c r="B202" s="117"/>
      <c r="C202" s="116"/>
      <c r="D202" s="116"/>
      <c r="E202" s="116"/>
      <c r="F202" s="116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</row>
    <row r="203">
      <c r="A203" s="114"/>
      <c r="B203" s="117"/>
      <c r="C203" s="116"/>
      <c r="D203" s="116"/>
      <c r="E203" s="116"/>
      <c r="F203" s="116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</row>
    <row r="204">
      <c r="A204" s="114"/>
      <c r="B204" s="117"/>
      <c r="C204" s="116"/>
      <c r="D204" s="116"/>
      <c r="E204" s="116"/>
      <c r="F204" s="116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</row>
    <row r="205">
      <c r="A205" s="114"/>
      <c r="B205" s="117"/>
      <c r="C205" s="116"/>
      <c r="D205" s="116"/>
      <c r="E205" s="116"/>
      <c r="F205" s="116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</row>
    <row r="206">
      <c r="A206" s="114"/>
      <c r="B206" s="117"/>
      <c r="C206" s="116"/>
      <c r="D206" s="116"/>
      <c r="E206" s="116"/>
      <c r="F206" s="116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</row>
    <row r="207">
      <c r="A207" s="114"/>
      <c r="B207" s="117"/>
      <c r="C207" s="116"/>
      <c r="D207" s="116"/>
      <c r="E207" s="116"/>
      <c r="F207" s="116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</row>
    <row r="208">
      <c r="A208" s="114"/>
      <c r="B208" s="117"/>
      <c r="C208" s="116"/>
      <c r="D208" s="116"/>
      <c r="E208" s="116"/>
      <c r="F208" s="116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</row>
    <row r="209">
      <c r="A209" s="114"/>
      <c r="B209" s="117"/>
      <c r="C209" s="116"/>
      <c r="D209" s="116"/>
      <c r="E209" s="116"/>
      <c r="F209" s="116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</row>
    <row r="210">
      <c r="A210" s="114"/>
      <c r="B210" s="117"/>
      <c r="C210" s="116"/>
      <c r="D210" s="116"/>
      <c r="E210" s="116"/>
      <c r="F210" s="116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</row>
    <row r="211">
      <c r="A211" s="114"/>
      <c r="B211" s="117"/>
      <c r="C211" s="116"/>
      <c r="D211" s="116"/>
      <c r="E211" s="116"/>
      <c r="F211" s="116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</row>
    <row r="212">
      <c r="A212" s="114"/>
      <c r="B212" s="117"/>
      <c r="C212" s="116"/>
      <c r="D212" s="116"/>
      <c r="E212" s="116"/>
      <c r="F212" s="116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</row>
    <row r="213">
      <c r="A213" s="114"/>
      <c r="B213" s="117"/>
      <c r="C213" s="116"/>
      <c r="D213" s="116"/>
      <c r="E213" s="116"/>
      <c r="F213" s="116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</row>
    <row r="214">
      <c r="A214" s="114"/>
      <c r="B214" s="117"/>
      <c r="C214" s="116"/>
      <c r="D214" s="116"/>
      <c r="E214" s="116"/>
      <c r="F214" s="116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</row>
    <row r="215">
      <c r="A215" s="114"/>
      <c r="B215" s="117"/>
      <c r="C215" s="116"/>
      <c r="D215" s="116"/>
      <c r="E215" s="116"/>
      <c r="F215" s="116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</row>
    <row r="216">
      <c r="A216" s="114"/>
      <c r="B216" s="117"/>
      <c r="C216" s="116"/>
      <c r="D216" s="116"/>
      <c r="E216" s="116"/>
      <c r="F216" s="116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</row>
    <row r="217">
      <c r="A217" s="114"/>
      <c r="B217" s="117"/>
      <c r="C217" s="116"/>
      <c r="D217" s="116"/>
      <c r="E217" s="116"/>
      <c r="F217" s="116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</row>
    <row r="218">
      <c r="A218" s="114"/>
      <c r="B218" s="117"/>
      <c r="C218" s="116"/>
      <c r="D218" s="116"/>
      <c r="E218" s="116"/>
      <c r="F218" s="116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</row>
    <row r="219">
      <c r="A219" s="114"/>
      <c r="B219" s="117"/>
      <c r="C219" s="116"/>
      <c r="D219" s="116"/>
      <c r="E219" s="116"/>
      <c r="F219" s="116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</row>
    <row r="220">
      <c r="A220" s="114"/>
      <c r="B220" s="117"/>
      <c r="C220" s="116"/>
      <c r="D220" s="116"/>
      <c r="E220" s="116"/>
      <c r="F220" s="116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</row>
    <row r="221">
      <c r="A221" s="114"/>
      <c r="B221" s="117"/>
      <c r="C221" s="116"/>
      <c r="D221" s="116"/>
      <c r="E221" s="116"/>
      <c r="F221" s="116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</row>
    <row r="222">
      <c r="A222" s="114"/>
      <c r="B222" s="117"/>
      <c r="C222" s="116"/>
      <c r="D222" s="116"/>
      <c r="E222" s="116"/>
      <c r="F222" s="116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</row>
    <row r="223">
      <c r="A223" s="114"/>
      <c r="B223" s="117"/>
      <c r="C223" s="116"/>
      <c r="D223" s="116"/>
      <c r="E223" s="116"/>
      <c r="F223" s="116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</row>
    <row r="224">
      <c r="A224" s="114"/>
      <c r="B224" s="117"/>
      <c r="C224" s="116"/>
      <c r="D224" s="116"/>
      <c r="E224" s="116"/>
      <c r="F224" s="116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</row>
    <row r="225">
      <c r="A225" s="114"/>
      <c r="B225" s="117"/>
      <c r="C225" s="116"/>
      <c r="D225" s="116"/>
      <c r="E225" s="116"/>
      <c r="F225" s="116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</row>
    <row r="226">
      <c r="A226" s="114"/>
      <c r="B226" s="117"/>
      <c r="C226" s="116"/>
      <c r="D226" s="116"/>
      <c r="E226" s="116"/>
      <c r="F226" s="116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</row>
    <row r="227">
      <c r="A227" s="114"/>
      <c r="B227" s="117"/>
      <c r="C227" s="116"/>
      <c r="D227" s="116"/>
      <c r="E227" s="116"/>
      <c r="F227" s="116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  <c r="AA227" s="117"/>
      <c r="AB227" s="117"/>
    </row>
    <row r="228">
      <c r="A228" s="114"/>
      <c r="B228" s="117"/>
      <c r="C228" s="116"/>
      <c r="D228" s="116"/>
      <c r="E228" s="116"/>
      <c r="F228" s="116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  <c r="AA228" s="117"/>
      <c r="AB228" s="117"/>
    </row>
    <row r="229">
      <c r="A229" s="114"/>
      <c r="B229" s="117"/>
      <c r="C229" s="116"/>
      <c r="D229" s="116"/>
      <c r="E229" s="116"/>
      <c r="F229" s="116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  <c r="AA229" s="117"/>
      <c r="AB229" s="117"/>
    </row>
    <row r="230">
      <c r="A230" s="114"/>
      <c r="B230" s="117"/>
      <c r="C230" s="116"/>
      <c r="D230" s="116"/>
      <c r="E230" s="116"/>
      <c r="F230" s="116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  <c r="AA230" s="117"/>
      <c r="AB230" s="117"/>
    </row>
    <row r="231">
      <c r="A231" s="114"/>
      <c r="B231" s="117"/>
      <c r="C231" s="116"/>
      <c r="D231" s="116"/>
      <c r="E231" s="116"/>
      <c r="F231" s="116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  <c r="AA231" s="117"/>
      <c r="AB231" s="117"/>
    </row>
    <row r="232">
      <c r="A232" s="114"/>
      <c r="B232" s="117"/>
      <c r="C232" s="116"/>
      <c r="D232" s="116"/>
      <c r="E232" s="116"/>
      <c r="F232" s="116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  <c r="AA232" s="117"/>
      <c r="AB232" s="117"/>
    </row>
    <row r="233">
      <c r="A233" s="114"/>
      <c r="B233" s="117"/>
      <c r="C233" s="116"/>
      <c r="D233" s="116"/>
      <c r="E233" s="116"/>
      <c r="F233" s="116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  <c r="AA233" s="117"/>
      <c r="AB233" s="117"/>
    </row>
    <row r="234">
      <c r="A234" s="114"/>
      <c r="B234" s="117"/>
      <c r="C234" s="116"/>
      <c r="D234" s="116"/>
      <c r="E234" s="116"/>
      <c r="F234" s="116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  <c r="AA234" s="117"/>
      <c r="AB234" s="117"/>
    </row>
    <row r="235">
      <c r="A235" s="114"/>
      <c r="B235" s="117"/>
      <c r="C235" s="116"/>
      <c r="D235" s="116"/>
      <c r="E235" s="116"/>
      <c r="F235" s="116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  <c r="AA235" s="117"/>
      <c r="AB235" s="117"/>
    </row>
    <row r="236">
      <c r="A236" s="114"/>
      <c r="B236" s="117"/>
      <c r="C236" s="116"/>
      <c r="D236" s="116"/>
      <c r="E236" s="116"/>
      <c r="F236" s="116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  <c r="AA236" s="117"/>
      <c r="AB236" s="117"/>
    </row>
    <row r="237">
      <c r="A237" s="114"/>
      <c r="B237" s="117"/>
      <c r="C237" s="116"/>
      <c r="D237" s="116"/>
      <c r="E237" s="116"/>
      <c r="F237" s="116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  <c r="AA237" s="117"/>
      <c r="AB237" s="117"/>
    </row>
    <row r="238">
      <c r="A238" s="114"/>
      <c r="B238" s="117"/>
      <c r="C238" s="116"/>
      <c r="D238" s="116"/>
      <c r="E238" s="116"/>
      <c r="F238" s="116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  <c r="AA238" s="117"/>
      <c r="AB238" s="117"/>
    </row>
    <row r="239">
      <c r="A239" s="114"/>
      <c r="B239" s="117"/>
      <c r="C239" s="116"/>
      <c r="D239" s="116"/>
      <c r="E239" s="116"/>
      <c r="F239" s="116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  <c r="AA239" s="117"/>
      <c r="AB239" s="117"/>
    </row>
    <row r="240">
      <c r="A240" s="114"/>
      <c r="B240" s="117"/>
      <c r="C240" s="116"/>
      <c r="D240" s="116"/>
      <c r="E240" s="116"/>
      <c r="F240" s="116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  <c r="AA240" s="117"/>
      <c r="AB240" s="117"/>
    </row>
    <row r="241">
      <c r="A241" s="114"/>
      <c r="B241" s="117"/>
      <c r="C241" s="116"/>
      <c r="D241" s="116"/>
      <c r="E241" s="116"/>
      <c r="F241" s="116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  <c r="AA241" s="117"/>
      <c r="AB241" s="117"/>
    </row>
    <row r="242">
      <c r="A242" s="114"/>
      <c r="B242" s="117"/>
      <c r="C242" s="116"/>
      <c r="D242" s="116"/>
      <c r="E242" s="116"/>
      <c r="F242" s="116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  <c r="AA242" s="117"/>
      <c r="AB242" s="117"/>
    </row>
    <row r="243">
      <c r="A243" s="114"/>
      <c r="B243" s="117"/>
      <c r="C243" s="116"/>
      <c r="D243" s="116"/>
      <c r="E243" s="116"/>
      <c r="F243" s="116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  <c r="AA243" s="117"/>
      <c r="AB243" s="117"/>
    </row>
    <row r="244">
      <c r="A244" s="114"/>
      <c r="B244" s="117"/>
      <c r="C244" s="116"/>
      <c r="D244" s="116"/>
      <c r="E244" s="116"/>
      <c r="F244" s="116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  <c r="AA244" s="117"/>
      <c r="AB244" s="117"/>
    </row>
    <row r="245">
      <c r="A245" s="114"/>
      <c r="B245" s="117"/>
      <c r="C245" s="116"/>
      <c r="D245" s="116"/>
      <c r="E245" s="116"/>
      <c r="F245" s="116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  <c r="AA245" s="117"/>
      <c r="AB245" s="117"/>
    </row>
    <row r="246">
      <c r="A246" s="114"/>
      <c r="B246" s="117"/>
      <c r="C246" s="116"/>
      <c r="D246" s="116"/>
      <c r="E246" s="116"/>
      <c r="F246" s="116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  <c r="AA246" s="117"/>
      <c r="AB246" s="117"/>
    </row>
    <row r="247">
      <c r="A247" s="114"/>
      <c r="B247" s="117"/>
      <c r="C247" s="116"/>
      <c r="D247" s="116"/>
      <c r="E247" s="116"/>
      <c r="F247" s="116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  <c r="AA247" s="117"/>
      <c r="AB247" s="117"/>
    </row>
    <row r="248">
      <c r="A248" s="114"/>
      <c r="B248" s="117"/>
      <c r="C248" s="116"/>
      <c r="D248" s="116"/>
      <c r="E248" s="116"/>
      <c r="F248" s="116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  <c r="AA248" s="117"/>
      <c r="AB248" s="117"/>
    </row>
    <row r="249">
      <c r="A249" s="114"/>
      <c r="B249" s="117"/>
      <c r="C249" s="116"/>
      <c r="D249" s="116"/>
      <c r="E249" s="116"/>
      <c r="F249" s="116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  <c r="AA249" s="117"/>
      <c r="AB249" s="117"/>
    </row>
    <row r="250">
      <c r="A250" s="114"/>
      <c r="B250" s="117"/>
      <c r="C250" s="116"/>
      <c r="D250" s="116"/>
      <c r="E250" s="116"/>
      <c r="F250" s="116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117"/>
      <c r="AB250" s="117"/>
    </row>
    <row r="251">
      <c r="A251" s="114"/>
      <c r="B251" s="117"/>
      <c r="C251" s="116"/>
      <c r="D251" s="116"/>
      <c r="E251" s="116"/>
      <c r="F251" s="116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  <c r="AA251" s="117"/>
      <c r="AB251" s="117"/>
    </row>
    <row r="252">
      <c r="A252" s="114"/>
      <c r="B252" s="117"/>
      <c r="C252" s="116"/>
      <c r="D252" s="116"/>
      <c r="E252" s="116"/>
      <c r="F252" s="116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  <c r="AA252" s="117"/>
      <c r="AB252" s="117"/>
    </row>
    <row r="253">
      <c r="A253" s="114"/>
      <c r="B253" s="117"/>
      <c r="C253" s="116"/>
      <c r="D253" s="116"/>
      <c r="E253" s="116"/>
      <c r="F253" s="116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  <c r="AA253" s="117"/>
      <c r="AB253" s="117"/>
    </row>
    <row r="254">
      <c r="A254" s="114"/>
      <c r="B254" s="117"/>
      <c r="C254" s="116"/>
      <c r="D254" s="116"/>
      <c r="E254" s="116"/>
      <c r="F254" s="116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  <c r="AA254" s="117"/>
      <c r="AB254" s="117"/>
    </row>
    <row r="255">
      <c r="A255" s="114"/>
      <c r="B255" s="117"/>
      <c r="C255" s="116"/>
      <c r="D255" s="116"/>
      <c r="E255" s="116"/>
      <c r="F255" s="116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  <c r="AA255" s="117"/>
      <c r="AB255" s="117"/>
    </row>
    <row r="256">
      <c r="A256" s="114"/>
      <c r="B256" s="117"/>
      <c r="C256" s="116"/>
      <c r="D256" s="116"/>
      <c r="E256" s="116"/>
      <c r="F256" s="116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  <c r="AA256" s="117"/>
      <c r="AB256" s="117"/>
    </row>
    <row r="257">
      <c r="A257" s="114"/>
      <c r="B257" s="117"/>
      <c r="C257" s="116"/>
      <c r="D257" s="116"/>
      <c r="E257" s="116"/>
      <c r="F257" s="116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  <c r="AA257" s="117"/>
      <c r="AB257" s="117"/>
    </row>
    <row r="258">
      <c r="A258" s="114"/>
      <c r="B258" s="117"/>
      <c r="C258" s="116"/>
      <c r="D258" s="116"/>
      <c r="E258" s="116"/>
      <c r="F258" s="116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  <c r="AA258" s="117"/>
      <c r="AB258" s="117"/>
    </row>
    <row r="259">
      <c r="A259" s="114"/>
      <c r="B259" s="117"/>
      <c r="C259" s="116"/>
      <c r="D259" s="116"/>
      <c r="E259" s="116"/>
      <c r="F259" s="116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  <c r="AA259" s="117"/>
      <c r="AB259" s="117"/>
    </row>
    <row r="260">
      <c r="A260" s="114"/>
      <c r="B260" s="117"/>
      <c r="C260" s="116"/>
      <c r="D260" s="116"/>
      <c r="E260" s="116"/>
      <c r="F260" s="116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  <c r="AA260" s="117"/>
      <c r="AB260" s="117"/>
    </row>
    <row r="261">
      <c r="A261" s="114"/>
      <c r="B261" s="117"/>
      <c r="C261" s="116"/>
      <c r="D261" s="116"/>
      <c r="E261" s="116"/>
      <c r="F261" s="116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  <c r="AA261" s="117"/>
      <c r="AB261" s="117"/>
    </row>
    <row r="262">
      <c r="A262" s="114"/>
      <c r="B262" s="117"/>
      <c r="C262" s="116"/>
      <c r="D262" s="116"/>
      <c r="E262" s="116"/>
      <c r="F262" s="116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  <c r="AA262" s="117"/>
      <c r="AB262" s="117"/>
    </row>
    <row r="263">
      <c r="A263" s="114"/>
      <c r="B263" s="117"/>
      <c r="C263" s="116"/>
      <c r="D263" s="116"/>
      <c r="E263" s="116"/>
      <c r="F263" s="116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  <c r="AA263" s="117"/>
      <c r="AB263" s="117"/>
    </row>
    <row r="264">
      <c r="A264" s="114"/>
      <c r="B264" s="117"/>
      <c r="C264" s="116"/>
      <c r="D264" s="116"/>
      <c r="E264" s="116"/>
      <c r="F264" s="116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  <c r="AA264" s="117"/>
      <c r="AB264" s="117"/>
    </row>
    <row r="265">
      <c r="A265" s="114"/>
      <c r="B265" s="117"/>
      <c r="C265" s="116"/>
      <c r="D265" s="116"/>
      <c r="E265" s="116"/>
      <c r="F265" s="116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  <c r="AA265" s="117"/>
      <c r="AB265" s="117"/>
    </row>
    <row r="266">
      <c r="A266" s="114"/>
      <c r="B266" s="117"/>
      <c r="C266" s="116"/>
      <c r="D266" s="116"/>
      <c r="E266" s="116"/>
      <c r="F266" s="116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  <c r="AA266" s="117"/>
      <c r="AB266" s="117"/>
    </row>
    <row r="267">
      <c r="A267" s="114"/>
      <c r="B267" s="117"/>
      <c r="C267" s="116"/>
      <c r="D267" s="116"/>
      <c r="E267" s="116"/>
      <c r="F267" s="116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  <c r="AA267" s="117"/>
      <c r="AB267" s="117"/>
    </row>
    <row r="268">
      <c r="A268" s="114"/>
      <c r="B268" s="117"/>
      <c r="C268" s="116"/>
      <c r="D268" s="116"/>
      <c r="E268" s="116"/>
      <c r="F268" s="116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  <c r="AA268" s="117"/>
      <c r="AB268" s="117"/>
    </row>
    <row r="269">
      <c r="A269" s="114"/>
      <c r="B269" s="117"/>
      <c r="C269" s="116"/>
      <c r="D269" s="116"/>
      <c r="E269" s="116"/>
      <c r="F269" s="116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  <c r="AA269" s="117"/>
      <c r="AB269" s="117"/>
    </row>
    <row r="270">
      <c r="A270" s="114"/>
      <c r="B270" s="117"/>
      <c r="C270" s="116"/>
      <c r="D270" s="116"/>
      <c r="E270" s="116"/>
      <c r="F270" s="116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  <c r="AA270" s="117"/>
      <c r="AB270" s="117"/>
    </row>
    <row r="271">
      <c r="A271" s="114"/>
      <c r="B271" s="117"/>
      <c r="C271" s="116"/>
      <c r="D271" s="116"/>
      <c r="E271" s="116"/>
      <c r="F271" s="116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  <c r="AA271" s="117"/>
      <c r="AB271" s="117"/>
    </row>
    <row r="272">
      <c r="A272" s="114"/>
      <c r="B272" s="117"/>
      <c r="C272" s="116"/>
      <c r="D272" s="116"/>
      <c r="E272" s="116"/>
      <c r="F272" s="116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  <c r="AA272" s="117"/>
      <c r="AB272" s="117"/>
    </row>
    <row r="273">
      <c r="A273" s="114"/>
      <c r="B273" s="117"/>
      <c r="C273" s="116"/>
      <c r="D273" s="116"/>
      <c r="E273" s="116"/>
      <c r="F273" s="116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  <c r="AA273" s="117"/>
      <c r="AB273" s="117"/>
    </row>
    <row r="274">
      <c r="A274" s="114"/>
      <c r="B274" s="117"/>
      <c r="C274" s="116"/>
      <c r="D274" s="116"/>
      <c r="E274" s="116"/>
      <c r="F274" s="116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  <c r="AA274" s="117"/>
      <c r="AB274" s="117"/>
    </row>
    <row r="275">
      <c r="A275" s="114"/>
      <c r="B275" s="117"/>
      <c r="C275" s="116"/>
      <c r="D275" s="116"/>
      <c r="E275" s="116"/>
      <c r="F275" s="116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  <c r="AA275" s="117"/>
      <c r="AB275" s="117"/>
    </row>
    <row r="276">
      <c r="A276" s="114"/>
      <c r="B276" s="117"/>
      <c r="C276" s="116"/>
      <c r="D276" s="116"/>
      <c r="E276" s="116"/>
      <c r="F276" s="116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  <c r="AA276" s="117"/>
      <c r="AB276" s="117"/>
    </row>
    <row r="277">
      <c r="A277" s="114"/>
      <c r="B277" s="117"/>
      <c r="C277" s="116"/>
      <c r="D277" s="116"/>
      <c r="E277" s="116"/>
      <c r="F277" s="116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  <c r="AA277" s="117"/>
      <c r="AB277" s="117"/>
    </row>
    <row r="278">
      <c r="A278" s="114"/>
      <c r="B278" s="117"/>
      <c r="C278" s="116"/>
      <c r="D278" s="116"/>
      <c r="E278" s="116"/>
      <c r="F278" s="116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  <c r="AA278" s="117"/>
      <c r="AB278" s="117"/>
    </row>
    <row r="279">
      <c r="A279" s="114"/>
      <c r="B279" s="117"/>
      <c r="C279" s="116"/>
      <c r="D279" s="116"/>
      <c r="E279" s="116"/>
      <c r="F279" s="116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  <c r="AA279" s="117"/>
      <c r="AB279" s="117"/>
    </row>
    <row r="280">
      <c r="A280" s="114"/>
      <c r="B280" s="117"/>
      <c r="C280" s="116"/>
      <c r="D280" s="116"/>
      <c r="E280" s="116"/>
      <c r="F280" s="116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  <c r="AA280" s="117"/>
      <c r="AB280" s="117"/>
    </row>
    <row r="281">
      <c r="A281" s="114"/>
      <c r="B281" s="117"/>
      <c r="C281" s="116"/>
      <c r="D281" s="116"/>
      <c r="E281" s="116"/>
      <c r="F281" s="116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  <c r="AA281" s="117"/>
      <c r="AB281" s="117"/>
    </row>
    <row r="282">
      <c r="A282" s="114"/>
      <c r="B282" s="117"/>
      <c r="C282" s="116"/>
      <c r="D282" s="116"/>
      <c r="E282" s="116"/>
      <c r="F282" s="116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  <c r="AA282" s="117"/>
      <c r="AB282" s="117"/>
    </row>
    <row r="283">
      <c r="A283" s="114"/>
      <c r="B283" s="117"/>
      <c r="C283" s="116"/>
      <c r="D283" s="116"/>
      <c r="E283" s="116"/>
      <c r="F283" s="116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  <c r="AA283" s="117"/>
      <c r="AB283" s="117"/>
    </row>
    <row r="284">
      <c r="A284" s="114"/>
      <c r="B284" s="117"/>
      <c r="C284" s="116"/>
      <c r="D284" s="116"/>
      <c r="E284" s="116"/>
      <c r="F284" s="116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  <c r="AA284" s="117"/>
      <c r="AB284" s="117"/>
    </row>
    <row r="285">
      <c r="A285" s="114"/>
      <c r="B285" s="117"/>
      <c r="C285" s="116"/>
      <c r="D285" s="116"/>
      <c r="E285" s="116"/>
      <c r="F285" s="116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  <c r="AA285" s="117"/>
      <c r="AB285" s="117"/>
    </row>
    <row r="286">
      <c r="A286" s="114"/>
      <c r="B286" s="117"/>
      <c r="C286" s="116"/>
      <c r="D286" s="116"/>
      <c r="E286" s="116"/>
      <c r="F286" s="116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  <c r="AA286" s="117"/>
      <c r="AB286" s="117"/>
    </row>
    <row r="287">
      <c r="A287" s="114"/>
      <c r="B287" s="117"/>
      <c r="C287" s="116"/>
      <c r="D287" s="116"/>
      <c r="E287" s="116"/>
      <c r="F287" s="116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  <c r="AA287" s="117"/>
      <c r="AB287" s="117"/>
    </row>
    <row r="288">
      <c r="A288" s="114"/>
      <c r="B288" s="117"/>
      <c r="C288" s="116"/>
      <c r="D288" s="116"/>
      <c r="E288" s="116"/>
      <c r="F288" s="116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117"/>
      <c r="AB288" s="117"/>
    </row>
    <row r="289">
      <c r="A289" s="114"/>
      <c r="B289" s="117"/>
      <c r="C289" s="116"/>
      <c r="D289" s="116"/>
      <c r="E289" s="116"/>
      <c r="F289" s="116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  <c r="AA289" s="117"/>
      <c r="AB289" s="117"/>
    </row>
    <row r="290">
      <c r="A290" s="114"/>
      <c r="B290" s="117"/>
      <c r="C290" s="116"/>
      <c r="D290" s="116"/>
      <c r="E290" s="116"/>
      <c r="F290" s="116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  <c r="AA290" s="117"/>
      <c r="AB290" s="117"/>
    </row>
    <row r="291">
      <c r="A291" s="114"/>
      <c r="B291" s="117"/>
      <c r="C291" s="116"/>
      <c r="D291" s="116"/>
      <c r="E291" s="116"/>
      <c r="F291" s="116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  <c r="AA291" s="117"/>
      <c r="AB291" s="117"/>
    </row>
    <row r="292">
      <c r="A292" s="114"/>
      <c r="B292" s="117"/>
      <c r="C292" s="116"/>
      <c r="D292" s="116"/>
      <c r="E292" s="116"/>
      <c r="F292" s="116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  <c r="AA292" s="117"/>
      <c r="AB292" s="117"/>
    </row>
    <row r="293">
      <c r="A293" s="114"/>
      <c r="B293" s="117"/>
      <c r="C293" s="116"/>
      <c r="D293" s="116"/>
      <c r="E293" s="116"/>
      <c r="F293" s="116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  <c r="AA293" s="117"/>
      <c r="AB293" s="117"/>
    </row>
    <row r="294">
      <c r="A294" s="114"/>
      <c r="B294" s="117"/>
      <c r="C294" s="116"/>
      <c r="D294" s="116"/>
      <c r="E294" s="116"/>
      <c r="F294" s="116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  <c r="AA294" s="117"/>
      <c r="AB294" s="117"/>
    </row>
    <row r="295">
      <c r="A295" s="114"/>
      <c r="B295" s="117"/>
      <c r="C295" s="116"/>
      <c r="D295" s="116"/>
      <c r="E295" s="116"/>
      <c r="F295" s="116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  <c r="AA295" s="117"/>
      <c r="AB295" s="117"/>
    </row>
    <row r="296">
      <c r="A296" s="114"/>
      <c r="B296" s="117"/>
      <c r="C296" s="116"/>
      <c r="D296" s="116"/>
      <c r="E296" s="116"/>
      <c r="F296" s="116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  <c r="AA296" s="117"/>
      <c r="AB296" s="117"/>
    </row>
    <row r="297">
      <c r="A297" s="114"/>
      <c r="B297" s="117"/>
      <c r="C297" s="116"/>
      <c r="D297" s="116"/>
      <c r="E297" s="116"/>
      <c r="F297" s="116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  <c r="AA297" s="117"/>
      <c r="AB297" s="117"/>
    </row>
    <row r="298">
      <c r="A298" s="114"/>
      <c r="B298" s="117"/>
      <c r="C298" s="116"/>
      <c r="D298" s="116"/>
      <c r="E298" s="116"/>
      <c r="F298" s="116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  <c r="AA298" s="117"/>
      <c r="AB298" s="117"/>
    </row>
    <row r="299">
      <c r="A299" s="114"/>
      <c r="B299" s="117"/>
      <c r="C299" s="116"/>
      <c r="D299" s="116"/>
      <c r="E299" s="116"/>
      <c r="F299" s="116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  <c r="AA299" s="117"/>
      <c r="AB299" s="117"/>
    </row>
    <row r="300">
      <c r="A300" s="114"/>
      <c r="B300" s="117"/>
      <c r="C300" s="116"/>
      <c r="D300" s="116"/>
      <c r="E300" s="116"/>
      <c r="F300" s="116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  <c r="AA300" s="117"/>
      <c r="AB300" s="117"/>
    </row>
    <row r="301">
      <c r="A301" s="114"/>
      <c r="B301" s="117"/>
      <c r="C301" s="116"/>
      <c r="D301" s="116"/>
      <c r="E301" s="116"/>
      <c r="F301" s="116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  <c r="AA301" s="117"/>
      <c r="AB301" s="117"/>
    </row>
    <row r="302">
      <c r="A302" s="114"/>
      <c r="B302" s="117"/>
      <c r="C302" s="116"/>
      <c r="D302" s="116"/>
      <c r="E302" s="116"/>
      <c r="F302" s="116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  <c r="AA302" s="117"/>
      <c r="AB302" s="117"/>
    </row>
    <row r="303">
      <c r="A303" s="114"/>
      <c r="B303" s="117"/>
      <c r="C303" s="116"/>
      <c r="D303" s="116"/>
      <c r="E303" s="116"/>
      <c r="F303" s="116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  <c r="AA303" s="117"/>
      <c r="AB303" s="117"/>
    </row>
    <row r="304">
      <c r="A304" s="114"/>
      <c r="B304" s="117"/>
      <c r="C304" s="116"/>
      <c r="D304" s="116"/>
      <c r="E304" s="116"/>
      <c r="F304" s="116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  <c r="AA304" s="117"/>
      <c r="AB304" s="117"/>
    </row>
    <row r="305">
      <c r="A305" s="114"/>
      <c r="B305" s="117"/>
      <c r="C305" s="116"/>
      <c r="D305" s="116"/>
      <c r="E305" s="116"/>
      <c r="F305" s="116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  <c r="AA305" s="117"/>
      <c r="AB305" s="117"/>
    </row>
    <row r="306">
      <c r="A306" s="114"/>
      <c r="B306" s="117"/>
      <c r="C306" s="116"/>
      <c r="D306" s="116"/>
      <c r="E306" s="116"/>
      <c r="F306" s="116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  <c r="AA306" s="117"/>
      <c r="AB306" s="117"/>
    </row>
    <row r="307">
      <c r="A307" s="114"/>
      <c r="B307" s="117"/>
      <c r="C307" s="116"/>
      <c r="D307" s="116"/>
      <c r="E307" s="116"/>
      <c r="F307" s="116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  <c r="AA307" s="117"/>
      <c r="AB307" s="117"/>
    </row>
    <row r="308">
      <c r="A308" s="114"/>
      <c r="B308" s="117"/>
      <c r="C308" s="116"/>
      <c r="D308" s="116"/>
      <c r="E308" s="116"/>
      <c r="F308" s="116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  <c r="AA308" s="117"/>
      <c r="AB308" s="117"/>
    </row>
    <row r="309">
      <c r="A309" s="114"/>
      <c r="B309" s="117"/>
      <c r="C309" s="116"/>
      <c r="D309" s="116"/>
      <c r="E309" s="116"/>
      <c r="F309" s="116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  <c r="AA309" s="117"/>
      <c r="AB309" s="117"/>
    </row>
    <row r="310">
      <c r="A310" s="114"/>
      <c r="B310" s="117"/>
      <c r="C310" s="116"/>
      <c r="D310" s="116"/>
      <c r="E310" s="116"/>
      <c r="F310" s="116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  <c r="AA310" s="117"/>
      <c r="AB310" s="117"/>
    </row>
    <row r="311">
      <c r="A311" s="114"/>
      <c r="B311" s="117"/>
      <c r="C311" s="116"/>
      <c r="D311" s="116"/>
      <c r="E311" s="116"/>
      <c r="F311" s="116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  <c r="AA311" s="117"/>
      <c r="AB311" s="117"/>
    </row>
    <row r="312">
      <c r="A312" s="114"/>
      <c r="B312" s="117"/>
      <c r="C312" s="116"/>
      <c r="D312" s="116"/>
      <c r="E312" s="116"/>
      <c r="F312" s="116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  <c r="AA312" s="117"/>
      <c r="AB312" s="117"/>
    </row>
    <row r="313">
      <c r="A313" s="114"/>
      <c r="B313" s="117"/>
      <c r="C313" s="116"/>
      <c r="D313" s="116"/>
      <c r="E313" s="116"/>
      <c r="F313" s="116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  <c r="AA313" s="117"/>
      <c r="AB313" s="117"/>
    </row>
    <row r="314">
      <c r="A314" s="114"/>
      <c r="B314" s="117"/>
      <c r="C314" s="116"/>
      <c r="D314" s="116"/>
      <c r="E314" s="116"/>
      <c r="F314" s="116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  <c r="AA314" s="117"/>
      <c r="AB314" s="117"/>
    </row>
    <row r="315">
      <c r="A315" s="114"/>
      <c r="B315" s="117"/>
      <c r="C315" s="116"/>
      <c r="D315" s="116"/>
      <c r="E315" s="116"/>
      <c r="F315" s="116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  <c r="AA315" s="117"/>
      <c r="AB315" s="117"/>
    </row>
    <row r="316">
      <c r="A316" s="114"/>
      <c r="B316" s="117"/>
      <c r="C316" s="116"/>
      <c r="D316" s="116"/>
      <c r="E316" s="116"/>
      <c r="F316" s="116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  <c r="AA316" s="117"/>
      <c r="AB316" s="117"/>
    </row>
    <row r="317">
      <c r="A317" s="114"/>
      <c r="B317" s="117"/>
      <c r="C317" s="116"/>
      <c r="D317" s="116"/>
      <c r="E317" s="116"/>
      <c r="F317" s="116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  <c r="AA317" s="117"/>
      <c r="AB317" s="117"/>
    </row>
    <row r="318">
      <c r="A318" s="114"/>
      <c r="B318" s="117"/>
      <c r="C318" s="116"/>
      <c r="D318" s="116"/>
      <c r="E318" s="116"/>
      <c r="F318" s="116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  <c r="AA318" s="117"/>
      <c r="AB318" s="117"/>
    </row>
    <row r="319">
      <c r="A319" s="114"/>
      <c r="B319" s="117"/>
      <c r="C319" s="116"/>
      <c r="D319" s="116"/>
      <c r="E319" s="116"/>
      <c r="F319" s="116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  <c r="AA319" s="117"/>
      <c r="AB319" s="117"/>
    </row>
    <row r="320">
      <c r="A320" s="114"/>
      <c r="B320" s="117"/>
      <c r="C320" s="116"/>
      <c r="D320" s="116"/>
      <c r="E320" s="116"/>
      <c r="F320" s="116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  <c r="AA320" s="117"/>
      <c r="AB320" s="117"/>
    </row>
    <row r="321">
      <c r="A321" s="114"/>
      <c r="B321" s="117"/>
      <c r="C321" s="116"/>
      <c r="D321" s="116"/>
      <c r="E321" s="116"/>
      <c r="F321" s="116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  <c r="AA321" s="117"/>
      <c r="AB321" s="117"/>
    </row>
    <row r="322">
      <c r="A322" s="114"/>
      <c r="B322" s="117"/>
      <c r="C322" s="116"/>
      <c r="D322" s="116"/>
      <c r="E322" s="116"/>
      <c r="F322" s="116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  <c r="AA322" s="117"/>
      <c r="AB322" s="117"/>
    </row>
    <row r="323">
      <c r="A323" s="114"/>
      <c r="B323" s="117"/>
      <c r="C323" s="116"/>
      <c r="D323" s="116"/>
      <c r="E323" s="116"/>
      <c r="F323" s="116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  <c r="AA323" s="117"/>
      <c r="AB323" s="117"/>
    </row>
    <row r="324">
      <c r="A324" s="114"/>
      <c r="B324" s="117"/>
      <c r="C324" s="116"/>
      <c r="D324" s="116"/>
      <c r="E324" s="116"/>
      <c r="F324" s="116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  <c r="AA324" s="117"/>
      <c r="AB324" s="117"/>
    </row>
    <row r="325">
      <c r="A325" s="114"/>
      <c r="B325" s="117"/>
      <c r="C325" s="116"/>
      <c r="D325" s="116"/>
      <c r="E325" s="116"/>
      <c r="F325" s="116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  <c r="AA325" s="117"/>
      <c r="AB325" s="117"/>
    </row>
    <row r="326">
      <c r="A326" s="114"/>
      <c r="B326" s="117"/>
      <c r="C326" s="116"/>
      <c r="D326" s="116"/>
      <c r="E326" s="116"/>
      <c r="F326" s="116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117"/>
      <c r="AB326" s="117"/>
    </row>
    <row r="327">
      <c r="A327" s="114"/>
      <c r="B327" s="117"/>
      <c r="C327" s="116"/>
      <c r="D327" s="116"/>
      <c r="E327" s="116"/>
      <c r="F327" s="116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  <c r="AA327" s="117"/>
      <c r="AB327" s="117"/>
    </row>
    <row r="328">
      <c r="A328" s="114"/>
      <c r="B328" s="117"/>
      <c r="C328" s="116"/>
      <c r="D328" s="116"/>
      <c r="E328" s="116"/>
      <c r="F328" s="116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  <c r="AA328" s="117"/>
      <c r="AB328" s="117"/>
    </row>
    <row r="329">
      <c r="A329" s="114"/>
      <c r="B329" s="117"/>
      <c r="C329" s="116"/>
      <c r="D329" s="116"/>
      <c r="E329" s="116"/>
      <c r="F329" s="116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  <c r="AA329" s="117"/>
      <c r="AB329" s="117"/>
    </row>
    <row r="330">
      <c r="A330" s="114"/>
      <c r="B330" s="117"/>
      <c r="C330" s="116"/>
      <c r="D330" s="116"/>
      <c r="E330" s="116"/>
      <c r="F330" s="116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  <c r="AA330" s="117"/>
      <c r="AB330" s="117"/>
    </row>
    <row r="331">
      <c r="A331" s="114"/>
      <c r="B331" s="117"/>
      <c r="C331" s="116"/>
      <c r="D331" s="116"/>
      <c r="E331" s="116"/>
      <c r="F331" s="116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  <c r="AA331" s="117"/>
      <c r="AB331" s="117"/>
    </row>
    <row r="332">
      <c r="A332" s="114"/>
      <c r="B332" s="117"/>
      <c r="C332" s="116"/>
      <c r="D332" s="116"/>
      <c r="E332" s="116"/>
      <c r="F332" s="116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  <c r="AA332" s="117"/>
      <c r="AB332" s="117"/>
    </row>
    <row r="333">
      <c r="A333" s="114"/>
      <c r="B333" s="117"/>
      <c r="C333" s="116"/>
      <c r="D333" s="116"/>
      <c r="E333" s="116"/>
      <c r="F333" s="116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  <c r="AA333" s="117"/>
      <c r="AB333" s="117"/>
    </row>
    <row r="334">
      <c r="A334" s="114"/>
      <c r="B334" s="117"/>
      <c r="C334" s="116"/>
      <c r="D334" s="116"/>
      <c r="E334" s="116"/>
      <c r="F334" s="116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  <c r="AA334" s="117"/>
      <c r="AB334" s="117"/>
    </row>
    <row r="335">
      <c r="A335" s="114"/>
      <c r="B335" s="117"/>
      <c r="C335" s="116"/>
      <c r="D335" s="116"/>
      <c r="E335" s="116"/>
      <c r="F335" s="116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  <c r="AA335" s="117"/>
      <c r="AB335" s="117"/>
    </row>
    <row r="336">
      <c r="A336" s="114"/>
      <c r="B336" s="117"/>
      <c r="C336" s="116"/>
      <c r="D336" s="116"/>
      <c r="E336" s="116"/>
      <c r="F336" s="116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  <c r="AA336" s="117"/>
      <c r="AB336" s="117"/>
    </row>
    <row r="337">
      <c r="A337" s="114"/>
      <c r="B337" s="117"/>
      <c r="C337" s="116"/>
      <c r="D337" s="116"/>
      <c r="E337" s="116"/>
      <c r="F337" s="116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  <c r="AA337" s="117"/>
      <c r="AB337" s="117"/>
    </row>
    <row r="338">
      <c r="A338" s="114"/>
      <c r="B338" s="117"/>
      <c r="C338" s="116"/>
      <c r="D338" s="116"/>
      <c r="E338" s="116"/>
      <c r="F338" s="116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  <c r="AA338" s="117"/>
      <c r="AB338" s="117"/>
    </row>
    <row r="339">
      <c r="A339" s="114"/>
      <c r="B339" s="117"/>
      <c r="C339" s="116"/>
      <c r="D339" s="116"/>
      <c r="E339" s="116"/>
      <c r="F339" s="116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  <c r="AA339" s="117"/>
      <c r="AB339" s="117"/>
    </row>
    <row r="340">
      <c r="A340" s="114"/>
      <c r="B340" s="117"/>
      <c r="C340" s="116"/>
      <c r="D340" s="116"/>
      <c r="E340" s="116"/>
      <c r="F340" s="116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  <c r="AA340" s="117"/>
      <c r="AB340" s="117"/>
    </row>
    <row r="341">
      <c r="A341" s="114"/>
      <c r="B341" s="117"/>
      <c r="C341" s="116"/>
      <c r="D341" s="116"/>
      <c r="E341" s="116"/>
      <c r="F341" s="116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  <c r="AA341" s="117"/>
      <c r="AB341" s="117"/>
    </row>
    <row r="342">
      <c r="A342" s="114"/>
      <c r="B342" s="117"/>
      <c r="C342" s="116"/>
      <c r="D342" s="116"/>
      <c r="E342" s="116"/>
      <c r="F342" s="116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  <c r="AA342" s="117"/>
      <c r="AB342" s="117"/>
    </row>
    <row r="343">
      <c r="A343" s="114"/>
      <c r="B343" s="117"/>
      <c r="C343" s="116"/>
      <c r="D343" s="116"/>
      <c r="E343" s="116"/>
      <c r="F343" s="116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  <c r="AA343" s="117"/>
      <c r="AB343" s="117"/>
    </row>
    <row r="344">
      <c r="A344" s="114"/>
      <c r="B344" s="117"/>
      <c r="C344" s="116"/>
      <c r="D344" s="116"/>
      <c r="E344" s="116"/>
      <c r="F344" s="116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  <c r="AA344" s="117"/>
      <c r="AB344" s="117"/>
    </row>
    <row r="345">
      <c r="A345" s="114"/>
      <c r="B345" s="117"/>
      <c r="C345" s="116"/>
      <c r="D345" s="116"/>
      <c r="E345" s="116"/>
      <c r="F345" s="116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  <c r="AA345" s="117"/>
      <c r="AB345" s="117"/>
    </row>
    <row r="346">
      <c r="A346" s="114"/>
      <c r="B346" s="117"/>
      <c r="C346" s="116"/>
      <c r="D346" s="116"/>
      <c r="E346" s="116"/>
      <c r="F346" s="116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  <c r="AA346" s="117"/>
      <c r="AB346" s="117"/>
    </row>
    <row r="347">
      <c r="A347" s="114"/>
      <c r="B347" s="117"/>
      <c r="C347" s="116"/>
      <c r="D347" s="116"/>
      <c r="E347" s="116"/>
      <c r="F347" s="116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  <c r="AA347" s="117"/>
      <c r="AB347" s="117"/>
    </row>
    <row r="348">
      <c r="A348" s="114"/>
      <c r="B348" s="117"/>
      <c r="C348" s="116"/>
      <c r="D348" s="116"/>
      <c r="E348" s="116"/>
      <c r="F348" s="116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  <c r="AA348" s="117"/>
      <c r="AB348" s="117"/>
    </row>
    <row r="349">
      <c r="A349" s="114"/>
      <c r="B349" s="117"/>
      <c r="C349" s="116"/>
      <c r="D349" s="116"/>
      <c r="E349" s="116"/>
      <c r="F349" s="116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  <c r="AA349" s="117"/>
      <c r="AB349" s="117"/>
    </row>
    <row r="350">
      <c r="A350" s="114"/>
      <c r="B350" s="117"/>
      <c r="C350" s="116"/>
      <c r="D350" s="116"/>
      <c r="E350" s="116"/>
      <c r="F350" s="116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  <c r="AA350" s="117"/>
      <c r="AB350" s="117"/>
    </row>
    <row r="351">
      <c r="A351" s="114"/>
      <c r="B351" s="117"/>
      <c r="C351" s="116"/>
      <c r="D351" s="116"/>
      <c r="E351" s="116"/>
      <c r="F351" s="116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  <c r="AA351" s="117"/>
      <c r="AB351" s="117"/>
    </row>
    <row r="352">
      <c r="A352" s="114"/>
      <c r="B352" s="117"/>
      <c r="C352" s="116"/>
      <c r="D352" s="116"/>
      <c r="E352" s="116"/>
      <c r="F352" s="116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  <c r="AA352" s="117"/>
      <c r="AB352" s="117"/>
    </row>
    <row r="353">
      <c r="A353" s="114"/>
      <c r="B353" s="117"/>
      <c r="C353" s="116"/>
      <c r="D353" s="116"/>
      <c r="E353" s="116"/>
      <c r="F353" s="116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  <c r="AA353" s="117"/>
      <c r="AB353" s="117"/>
    </row>
    <row r="354">
      <c r="A354" s="114"/>
      <c r="B354" s="117"/>
      <c r="C354" s="116"/>
      <c r="D354" s="116"/>
      <c r="E354" s="116"/>
      <c r="F354" s="116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  <c r="AA354" s="117"/>
      <c r="AB354" s="117"/>
    </row>
    <row r="355">
      <c r="A355" s="114"/>
      <c r="B355" s="117"/>
      <c r="C355" s="116"/>
      <c r="D355" s="116"/>
      <c r="E355" s="116"/>
      <c r="F355" s="116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  <c r="AA355" s="117"/>
      <c r="AB355" s="117"/>
    </row>
    <row r="356">
      <c r="A356" s="114"/>
      <c r="B356" s="117"/>
      <c r="C356" s="116"/>
      <c r="D356" s="116"/>
      <c r="E356" s="116"/>
      <c r="F356" s="116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  <c r="AA356" s="117"/>
      <c r="AB356" s="117"/>
    </row>
    <row r="357">
      <c r="A357" s="114"/>
      <c r="B357" s="117"/>
      <c r="C357" s="116"/>
      <c r="D357" s="116"/>
      <c r="E357" s="116"/>
      <c r="F357" s="116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  <c r="AA357" s="117"/>
      <c r="AB357" s="117"/>
    </row>
    <row r="358">
      <c r="A358" s="114"/>
      <c r="B358" s="117"/>
      <c r="C358" s="116"/>
      <c r="D358" s="116"/>
      <c r="E358" s="116"/>
      <c r="F358" s="116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  <c r="AA358" s="117"/>
      <c r="AB358" s="117"/>
    </row>
    <row r="359">
      <c r="A359" s="114"/>
      <c r="B359" s="117"/>
      <c r="C359" s="116"/>
      <c r="D359" s="116"/>
      <c r="E359" s="116"/>
      <c r="F359" s="116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  <c r="AA359" s="117"/>
      <c r="AB359" s="117"/>
    </row>
    <row r="360">
      <c r="A360" s="114"/>
      <c r="B360" s="117"/>
      <c r="C360" s="116"/>
      <c r="D360" s="116"/>
      <c r="E360" s="116"/>
      <c r="F360" s="116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  <c r="AA360" s="117"/>
      <c r="AB360" s="117"/>
    </row>
    <row r="361">
      <c r="A361" s="114"/>
      <c r="B361" s="117"/>
      <c r="C361" s="116"/>
      <c r="D361" s="116"/>
      <c r="E361" s="116"/>
      <c r="F361" s="116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  <c r="AA361" s="117"/>
      <c r="AB361" s="117"/>
    </row>
    <row r="362">
      <c r="A362" s="114"/>
      <c r="B362" s="117"/>
      <c r="C362" s="116"/>
      <c r="D362" s="116"/>
      <c r="E362" s="116"/>
      <c r="F362" s="116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  <c r="AA362" s="117"/>
      <c r="AB362" s="117"/>
    </row>
    <row r="363">
      <c r="A363" s="114"/>
      <c r="B363" s="117"/>
      <c r="C363" s="116"/>
      <c r="D363" s="116"/>
      <c r="E363" s="116"/>
      <c r="F363" s="116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  <c r="AA363" s="117"/>
      <c r="AB363" s="117"/>
    </row>
    <row r="364">
      <c r="A364" s="114"/>
      <c r="B364" s="117"/>
      <c r="C364" s="116"/>
      <c r="D364" s="116"/>
      <c r="E364" s="116"/>
      <c r="F364" s="116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117"/>
      <c r="AB364" s="117"/>
    </row>
    <row r="365">
      <c r="A365" s="114"/>
      <c r="B365" s="117"/>
      <c r="C365" s="116"/>
      <c r="D365" s="116"/>
      <c r="E365" s="116"/>
      <c r="F365" s="116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  <c r="AA365" s="117"/>
      <c r="AB365" s="117"/>
    </row>
    <row r="366">
      <c r="A366" s="114"/>
      <c r="B366" s="117"/>
      <c r="C366" s="116"/>
      <c r="D366" s="116"/>
      <c r="E366" s="116"/>
      <c r="F366" s="116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  <c r="AA366" s="117"/>
      <c r="AB366" s="117"/>
    </row>
    <row r="367">
      <c r="A367" s="114"/>
      <c r="B367" s="117"/>
      <c r="C367" s="116"/>
      <c r="D367" s="116"/>
      <c r="E367" s="116"/>
      <c r="F367" s="116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  <c r="AA367" s="117"/>
      <c r="AB367" s="117"/>
    </row>
    <row r="368">
      <c r="A368" s="114"/>
      <c r="B368" s="117"/>
      <c r="C368" s="116"/>
      <c r="D368" s="116"/>
      <c r="E368" s="116"/>
      <c r="F368" s="116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  <c r="AA368" s="117"/>
      <c r="AB368" s="117"/>
    </row>
    <row r="369">
      <c r="A369" s="114"/>
      <c r="B369" s="117"/>
      <c r="C369" s="116"/>
      <c r="D369" s="116"/>
      <c r="E369" s="116"/>
      <c r="F369" s="116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  <c r="AA369" s="117"/>
      <c r="AB369" s="117"/>
    </row>
    <row r="370">
      <c r="A370" s="114"/>
      <c r="B370" s="117"/>
      <c r="C370" s="116"/>
      <c r="D370" s="116"/>
      <c r="E370" s="116"/>
      <c r="F370" s="116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  <c r="AA370" s="117"/>
      <c r="AB370" s="117"/>
    </row>
    <row r="371">
      <c r="A371" s="114"/>
      <c r="B371" s="117"/>
      <c r="C371" s="116"/>
      <c r="D371" s="116"/>
      <c r="E371" s="116"/>
      <c r="F371" s="116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  <c r="AA371" s="117"/>
      <c r="AB371" s="117"/>
    </row>
    <row r="372">
      <c r="A372" s="114"/>
      <c r="B372" s="117"/>
      <c r="C372" s="116"/>
      <c r="D372" s="116"/>
      <c r="E372" s="116"/>
      <c r="F372" s="116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  <c r="AA372" s="117"/>
      <c r="AB372" s="117"/>
    </row>
    <row r="373">
      <c r="A373" s="114"/>
      <c r="B373" s="117"/>
      <c r="C373" s="116"/>
      <c r="D373" s="116"/>
      <c r="E373" s="116"/>
      <c r="F373" s="116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  <c r="AA373" s="117"/>
      <c r="AB373" s="117"/>
    </row>
    <row r="374">
      <c r="A374" s="114"/>
      <c r="B374" s="117"/>
      <c r="C374" s="116"/>
      <c r="D374" s="116"/>
      <c r="E374" s="116"/>
      <c r="F374" s="116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  <c r="AA374" s="117"/>
      <c r="AB374" s="117"/>
    </row>
    <row r="375">
      <c r="A375" s="114"/>
      <c r="B375" s="117"/>
      <c r="C375" s="116"/>
      <c r="D375" s="116"/>
      <c r="E375" s="116"/>
      <c r="F375" s="116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117"/>
      <c r="AB375" s="117"/>
    </row>
    <row r="376">
      <c r="A376" s="114"/>
      <c r="B376" s="117"/>
      <c r="C376" s="116"/>
      <c r="D376" s="116"/>
      <c r="E376" s="116"/>
      <c r="F376" s="116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  <c r="AA376" s="117"/>
      <c r="AB376" s="117"/>
    </row>
    <row r="377">
      <c r="A377" s="114"/>
      <c r="B377" s="117"/>
      <c r="C377" s="116"/>
      <c r="D377" s="116"/>
      <c r="E377" s="116"/>
      <c r="F377" s="116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  <c r="AB377" s="117"/>
    </row>
    <row r="378">
      <c r="A378" s="114"/>
      <c r="B378" s="117"/>
      <c r="C378" s="116"/>
      <c r="D378" s="116"/>
      <c r="E378" s="116"/>
      <c r="F378" s="116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  <c r="AB378" s="117"/>
    </row>
    <row r="379">
      <c r="A379" s="114"/>
      <c r="B379" s="117"/>
      <c r="C379" s="116"/>
      <c r="D379" s="116"/>
      <c r="E379" s="116"/>
      <c r="F379" s="116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  <c r="AB379" s="117"/>
    </row>
    <row r="380">
      <c r="A380" s="114"/>
      <c r="B380" s="117"/>
      <c r="C380" s="116"/>
      <c r="D380" s="116"/>
      <c r="E380" s="116"/>
      <c r="F380" s="116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  <c r="AB380" s="117"/>
    </row>
    <row r="381">
      <c r="A381" s="114"/>
      <c r="B381" s="117"/>
      <c r="C381" s="116"/>
      <c r="D381" s="116"/>
      <c r="E381" s="116"/>
      <c r="F381" s="116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  <c r="AB381" s="117"/>
    </row>
    <row r="382">
      <c r="A382" s="114"/>
      <c r="B382" s="117"/>
      <c r="C382" s="116"/>
      <c r="D382" s="116"/>
      <c r="E382" s="116"/>
      <c r="F382" s="116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  <c r="AB382" s="117"/>
    </row>
    <row r="383">
      <c r="A383" s="114"/>
      <c r="B383" s="117"/>
      <c r="C383" s="116"/>
      <c r="D383" s="116"/>
      <c r="E383" s="116"/>
      <c r="F383" s="116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  <c r="AB383" s="117"/>
    </row>
    <row r="384">
      <c r="A384" s="114"/>
      <c r="B384" s="117"/>
      <c r="C384" s="116"/>
      <c r="D384" s="116"/>
      <c r="E384" s="116"/>
      <c r="F384" s="116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  <c r="AB384" s="117"/>
    </row>
    <row r="385">
      <c r="A385" s="114"/>
      <c r="B385" s="117"/>
      <c r="C385" s="116"/>
      <c r="D385" s="116"/>
      <c r="E385" s="116"/>
      <c r="F385" s="116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  <c r="AB385" s="117"/>
    </row>
    <row r="386">
      <c r="A386" s="114"/>
      <c r="B386" s="117"/>
      <c r="C386" s="116"/>
      <c r="D386" s="116"/>
      <c r="E386" s="116"/>
      <c r="F386" s="116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  <c r="AB386" s="117"/>
    </row>
    <row r="387">
      <c r="A387" s="114"/>
      <c r="B387" s="117"/>
      <c r="C387" s="116"/>
      <c r="D387" s="116"/>
      <c r="E387" s="116"/>
      <c r="F387" s="116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  <c r="AB387" s="117"/>
    </row>
    <row r="388">
      <c r="A388" s="114"/>
      <c r="B388" s="117"/>
      <c r="C388" s="116"/>
      <c r="D388" s="116"/>
      <c r="E388" s="116"/>
      <c r="F388" s="116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  <c r="AB388" s="117"/>
    </row>
    <row r="389">
      <c r="A389" s="114"/>
      <c r="B389" s="117"/>
      <c r="C389" s="116"/>
      <c r="D389" s="116"/>
      <c r="E389" s="116"/>
      <c r="F389" s="116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  <c r="AB389" s="117"/>
    </row>
    <row r="390">
      <c r="A390" s="114"/>
      <c r="B390" s="117"/>
      <c r="C390" s="116"/>
      <c r="D390" s="116"/>
      <c r="E390" s="116"/>
      <c r="F390" s="116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  <c r="AB390" s="117"/>
    </row>
    <row r="391">
      <c r="A391" s="114"/>
      <c r="B391" s="117"/>
      <c r="C391" s="116"/>
      <c r="D391" s="116"/>
      <c r="E391" s="116"/>
      <c r="F391" s="116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  <c r="AB391" s="117"/>
    </row>
    <row r="392">
      <c r="A392" s="114"/>
      <c r="B392" s="117"/>
      <c r="C392" s="116"/>
      <c r="D392" s="116"/>
      <c r="E392" s="116"/>
      <c r="F392" s="116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  <c r="AB392" s="117"/>
    </row>
    <row r="393">
      <c r="A393" s="114"/>
      <c r="B393" s="117"/>
      <c r="C393" s="116"/>
      <c r="D393" s="116"/>
      <c r="E393" s="116"/>
      <c r="F393" s="116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  <c r="AB393" s="117"/>
    </row>
    <row r="394">
      <c r="A394" s="114"/>
      <c r="B394" s="117"/>
      <c r="C394" s="116"/>
      <c r="D394" s="116"/>
      <c r="E394" s="116"/>
      <c r="F394" s="116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  <c r="AB394" s="117"/>
    </row>
    <row r="395">
      <c r="A395" s="114"/>
      <c r="B395" s="117"/>
      <c r="C395" s="116"/>
      <c r="D395" s="116"/>
      <c r="E395" s="116"/>
      <c r="F395" s="116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  <c r="AB395" s="117"/>
    </row>
    <row r="396">
      <c r="A396" s="114"/>
      <c r="B396" s="117"/>
      <c r="C396" s="116"/>
      <c r="D396" s="116"/>
      <c r="E396" s="116"/>
      <c r="F396" s="116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  <c r="AB396" s="117"/>
    </row>
    <row r="397">
      <c r="A397" s="114"/>
      <c r="B397" s="117"/>
      <c r="C397" s="116"/>
      <c r="D397" s="116"/>
      <c r="E397" s="116"/>
      <c r="F397" s="116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  <c r="AB397" s="117"/>
    </row>
    <row r="398">
      <c r="A398" s="114"/>
      <c r="B398" s="117"/>
      <c r="C398" s="116"/>
      <c r="D398" s="116"/>
      <c r="E398" s="116"/>
      <c r="F398" s="116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  <c r="AB398" s="117"/>
    </row>
    <row r="399">
      <c r="A399" s="114"/>
      <c r="B399" s="117"/>
      <c r="C399" s="116"/>
      <c r="D399" s="116"/>
      <c r="E399" s="116"/>
      <c r="F399" s="116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  <c r="AB399" s="117"/>
    </row>
    <row r="400">
      <c r="A400" s="114"/>
      <c r="B400" s="117"/>
      <c r="C400" s="116"/>
      <c r="D400" s="116"/>
      <c r="E400" s="116"/>
      <c r="F400" s="116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  <c r="AB400" s="117"/>
    </row>
    <row r="401">
      <c r="A401" s="114"/>
      <c r="B401" s="117"/>
      <c r="C401" s="116"/>
      <c r="D401" s="116"/>
      <c r="E401" s="116"/>
      <c r="F401" s="116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  <c r="AB401" s="117"/>
    </row>
    <row r="402">
      <c r="A402" s="114"/>
      <c r="B402" s="117"/>
      <c r="C402" s="116"/>
      <c r="D402" s="116"/>
      <c r="E402" s="116"/>
      <c r="F402" s="116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  <c r="AB402" s="117"/>
    </row>
    <row r="403">
      <c r="A403" s="114"/>
      <c r="B403" s="117"/>
      <c r="C403" s="116"/>
      <c r="D403" s="116"/>
      <c r="E403" s="116"/>
      <c r="F403" s="116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  <c r="AB403" s="117"/>
    </row>
    <row r="404">
      <c r="A404" s="114"/>
      <c r="B404" s="117"/>
      <c r="C404" s="116"/>
      <c r="D404" s="116"/>
      <c r="E404" s="116"/>
      <c r="F404" s="116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  <c r="AB404" s="117"/>
    </row>
    <row r="405">
      <c r="A405" s="114"/>
      <c r="B405" s="117"/>
      <c r="C405" s="116"/>
      <c r="D405" s="116"/>
      <c r="E405" s="116"/>
      <c r="F405" s="116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  <c r="AB405" s="117"/>
    </row>
    <row r="406">
      <c r="A406" s="114"/>
      <c r="B406" s="117"/>
      <c r="C406" s="116"/>
      <c r="D406" s="116"/>
      <c r="E406" s="116"/>
      <c r="F406" s="116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  <c r="AB406" s="117"/>
    </row>
    <row r="407">
      <c r="A407" s="114"/>
      <c r="B407" s="117"/>
      <c r="C407" s="116"/>
      <c r="D407" s="116"/>
      <c r="E407" s="116"/>
      <c r="F407" s="116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  <c r="AB407" s="117"/>
    </row>
    <row r="408">
      <c r="A408" s="114"/>
      <c r="B408" s="117"/>
      <c r="C408" s="116"/>
      <c r="D408" s="116"/>
      <c r="E408" s="116"/>
      <c r="F408" s="116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  <c r="AB408" s="117"/>
    </row>
    <row r="409">
      <c r="A409" s="114"/>
      <c r="B409" s="117"/>
      <c r="C409" s="116"/>
      <c r="D409" s="116"/>
      <c r="E409" s="116"/>
      <c r="F409" s="116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  <c r="AB409" s="117"/>
    </row>
    <row r="410">
      <c r="A410" s="114"/>
      <c r="B410" s="117"/>
      <c r="C410" s="116"/>
      <c r="D410" s="116"/>
      <c r="E410" s="116"/>
      <c r="F410" s="116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  <c r="AB410" s="117"/>
    </row>
    <row r="411">
      <c r="A411" s="114"/>
      <c r="B411" s="117"/>
      <c r="C411" s="116"/>
      <c r="D411" s="116"/>
      <c r="E411" s="116"/>
      <c r="F411" s="116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  <c r="AB411" s="117"/>
    </row>
    <row r="412">
      <c r="A412" s="114"/>
      <c r="B412" s="117"/>
      <c r="C412" s="116"/>
      <c r="D412" s="116"/>
      <c r="E412" s="116"/>
      <c r="F412" s="116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  <c r="AB412" s="117"/>
    </row>
    <row r="413">
      <c r="A413" s="114"/>
      <c r="B413" s="117"/>
      <c r="C413" s="116"/>
      <c r="D413" s="116"/>
      <c r="E413" s="116"/>
      <c r="F413" s="116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  <c r="AB413" s="117"/>
    </row>
    <row r="414">
      <c r="A414" s="114"/>
      <c r="B414" s="117"/>
      <c r="C414" s="116"/>
      <c r="D414" s="116"/>
      <c r="E414" s="116"/>
      <c r="F414" s="116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  <c r="AB414" s="117"/>
    </row>
    <row r="415">
      <c r="A415" s="114"/>
      <c r="B415" s="117"/>
      <c r="C415" s="116"/>
      <c r="D415" s="116"/>
      <c r="E415" s="116"/>
      <c r="F415" s="116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  <c r="AB415" s="117"/>
    </row>
    <row r="416">
      <c r="A416" s="114"/>
      <c r="B416" s="117"/>
      <c r="C416" s="116"/>
      <c r="D416" s="116"/>
      <c r="E416" s="116"/>
      <c r="F416" s="116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  <c r="AB416" s="117"/>
    </row>
    <row r="417">
      <c r="A417" s="114"/>
      <c r="B417" s="117"/>
      <c r="C417" s="116"/>
      <c r="D417" s="116"/>
      <c r="E417" s="116"/>
      <c r="F417" s="116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  <c r="AB417" s="117"/>
    </row>
    <row r="418">
      <c r="A418" s="114"/>
      <c r="B418" s="117"/>
      <c r="C418" s="116"/>
      <c r="D418" s="116"/>
      <c r="E418" s="116"/>
      <c r="F418" s="116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  <c r="AB418" s="117"/>
    </row>
    <row r="419">
      <c r="A419" s="114"/>
      <c r="B419" s="117"/>
      <c r="C419" s="116"/>
      <c r="D419" s="116"/>
      <c r="E419" s="116"/>
      <c r="F419" s="116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  <c r="AB419" s="117"/>
    </row>
    <row r="420">
      <c r="A420" s="114"/>
      <c r="B420" s="117"/>
      <c r="C420" s="116"/>
      <c r="D420" s="116"/>
      <c r="E420" s="116"/>
      <c r="F420" s="116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  <c r="AB420" s="117"/>
    </row>
    <row r="421">
      <c r="A421" s="114"/>
      <c r="B421" s="117"/>
      <c r="C421" s="116"/>
      <c r="D421" s="116"/>
      <c r="E421" s="116"/>
      <c r="F421" s="116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  <c r="AB421" s="117"/>
    </row>
    <row r="422">
      <c r="A422" s="114"/>
      <c r="B422" s="117"/>
      <c r="C422" s="116"/>
      <c r="D422" s="116"/>
      <c r="E422" s="116"/>
      <c r="F422" s="116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  <c r="AB422" s="117"/>
    </row>
    <row r="423">
      <c r="A423" s="114"/>
      <c r="B423" s="117"/>
      <c r="C423" s="116"/>
      <c r="D423" s="116"/>
      <c r="E423" s="116"/>
      <c r="F423" s="116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  <c r="AB423" s="117"/>
    </row>
    <row r="424">
      <c r="A424" s="114"/>
      <c r="B424" s="117"/>
      <c r="C424" s="116"/>
      <c r="D424" s="116"/>
      <c r="E424" s="116"/>
      <c r="F424" s="116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  <c r="AB424" s="117"/>
    </row>
    <row r="425">
      <c r="A425" s="114"/>
      <c r="B425" s="117"/>
      <c r="C425" s="116"/>
      <c r="D425" s="116"/>
      <c r="E425" s="116"/>
      <c r="F425" s="116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  <c r="AB425" s="117"/>
    </row>
    <row r="426">
      <c r="A426" s="114"/>
      <c r="B426" s="117"/>
      <c r="C426" s="116"/>
      <c r="D426" s="116"/>
      <c r="E426" s="116"/>
      <c r="F426" s="116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  <c r="AB426" s="117"/>
    </row>
    <row r="427">
      <c r="A427" s="114"/>
      <c r="B427" s="117"/>
      <c r="C427" s="116"/>
      <c r="D427" s="116"/>
      <c r="E427" s="116"/>
      <c r="F427" s="116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  <c r="AB427" s="117"/>
    </row>
    <row r="428">
      <c r="A428" s="114"/>
      <c r="B428" s="117"/>
      <c r="C428" s="116"/>
      <c r="D428" s="116"/>
      <c r="E428" s="116"/>
      <c r="F428" s="116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  <c r="AB428" s="117"/>
    </row>
    <row r="429">
      <c r="A429" s="114"/>
      <c r="B429" s="117"/>
      <c r="C429" s="116"/>
      <c r="D429" s="116"/>
      <c r="E429" s="116"/>
      <c r="F429" s="116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  <c r="AB429" s="117"/>
    </row>
    <row r="430">
      <c r="A430" s="114"/>
      <c r="B430" s="117"/>
      <c r="C430" s="116"/>
      <c r="D430" s="116"/>
      <c r="E430" s="116"/>
      <c r="F430" s="116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  <c r="AB430" s="117"/>
    </row>
    <row r="431">
      <c r="A431" s="114"/>
      <c r="B431" s="117"/>
      <c r="C431" s="116"/>
      <c r="D431" s="116"/>
      <c r="E431" s="116"/>
      <c r="F431" s="116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  <c r="AB431" s="117"/>
    </row>
    <row r="432">
      <c r="A432" s="114"/>
      <c r="B432" s="117"/>
      <c r="C432" s="116"/>
      <c r="D432" s="116"/>
      <c r="E432" s="116"/>
      <c r="F432" s="116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  <c r="AB432" s="117"/>
    </row>
    <row r="433">
      <c r="A433" s="114"/>
      <c r="B433" s="117"/>
      <c r="C433" s="116"/>
      <c r="D433" s="116"/>
      <c r="E433" s="116"/>
      <c r="F433" s="116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  <c r="AB433" s="117"/>
    </row>
    <row r="434">
      <c r="A434" s="114"/>
      <c r="B434" s="117"/>
      <c r="C434" s="116"/>
      <c r="D434" s="116"/>
      <c r="E434" s="116"/>
      <c r="F434" s="116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  <c r="AB434" s="117"/>
    </row>
    <row r="435">
      <c r="A435" s="114"/>
      <c r="B435" s="117"/>
      <c r="C435" s="116"/>
      <c r="D435" s="116"/>
      <c r="E435" s="116"/>
      <c r="F435" s="116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  <c r="AB435" s="117"/>
    </row>
    <row r="436">
      <c r="A436" s="114"/>
      <c r="B436" s="117"/>
      <c r="C436" s="116"/>
      <c r="D436" s="116"/>
      <c r="E436" s="116"/>
      <c r="F436" s="116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  <c r="AB436" s="117"/>
    </row>
    <row r="437">
      <c r="A437" s="114"/>
      <c r="B437" s="117"/>
      <c r="C437" s="116"/>
      <c r="D437" s="116"/>
      <c r="E437" s="116"/>
      <c r="F437" s="116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  <c r="AB437" s="117"/>
    </row>
    <row r="438">
      <c r="A438" s="114"/>
      <c r="B438" s="117"/>
      <c r="C438" s="116"/>
      <c r="D438" s="116"/>
      <c r="E438" s="116"/>
      <c r="F438" s="116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  <c r="AB438" s="117"/>
    </row>
    <row r="439">
      <c r="A439" s="114"/>
      <c r="B439" s="117"/>
      <c r="C439" s="116"/>
      <c r="D439" s="116"/>
      <c r="E439" s="116"/>
      <c r="F439" s="116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  <c r="AB439" s="117"/>
    </row>
    <row r="440">
      <c r="A440" s="114"/>
      <c r="B440" s="117"/>
      <c r="C440" s="116"/>
      <c r="D440" s="116"/>
      <c r="E440" s="116"/>
      <c r="F440" s="116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  <c r="AB440" s="117"/>
    </row>
    <row r="441">
      <c r="A441" s="114"/>
      <c r="B441" s="117"/>
      <c r="C441" s="116"/>
      <c r="D441" s="116"/>
      <c r="E441" s="116"/>
      <c r="F441" s="116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  <c r="AB441" s="117"/>
    </row>
    <row r="442">
      <c r="A442" s="114"/>
      <c r="B442" s="117"/>
      <c r="C442" s="116"/>
      <c r="D442" s="116"/>
      <c r="E442" s="116"/>
      <c r="F442" s="116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  <c r="AB442" s="117"/>
    </row>
    <row r="443">
      <c r="A443" s="114"/>
      <c r="B443" s="117"/>
      <c r="C443" s="116"/>
      <c r="D443" s="116"/>
      <c r="E443" s="116"/>
      <c r="F443" s="116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  <c r="AB443" s="117"/>
    </row>
    <row r="444">
      <c r="A444" s="114"/>
      <c r="B444" s="117"/>
      <c r="C444" s="116"/>
      <c r="D444" s="116"/>
      <c r="E444" s="116"/>
      <c r="F444" s="116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  <c r="AB444" s="117"/>
    </row>
    <row r="445">
      <c r="A445" s="114"/>
      <c r="B445" s="117"/>
      <c r="C445" s="116"/>
      <c r="D445" s="116"/>
      <c r="E445" s="116"/>
      <c r="F445" s="116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  <c r="AB445" s="117"/>
    </row>
    <row r="446">
      <c r="A446" s="114"/>
      <c r="B446" s="117"/>
      <c r="C446" s="116"/>
      <c r="D446" s="116"/>
      <c r="E446" s="116"/>
      <c r="F446" s="116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  <c r="AB446" s="117"/>
    </row>
    <row r="447">
      <c r="A447" s="114"/>
      <c r="B447" s="117"/>
      <c r="C447" s="116"/>
      <c r="D447" s="116"/>
      <c r="E447" s="116"/>
      <c r="F447" s="116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  <c r="AB447" s="117"/>
    </row>
    <row r="448">
      <c r="A448" s="114"/>
      <c r="B448" s="117"/>
      <c r="C448" s="116"/>
      <c r="D448" s="116"/>
      <c r="E448" s="116"/>
      <c r="F448" s="116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  <c r="AB448" s="117"/>
    </row>
    <row r="449">
      <c r="A449" s="114"/>
      <c r="B449" s="117"/>
      <c r="C449" s="116"/>
      <c r="D449" s="116"/>
      <c r="E449" s="116"/>
      <c r="F449" s="116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  <c r="AB449" s="117"/>
    </row>
    <row r="450">
      <c r="A450" s="114"/>
      <c r="B450" s="117"/>
      <c r="C450" s="116"/>
      <c r="D450" s="116"/>
      <c r="E450" s="116"/>
      <c r="F450" s="116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  <c r="AB450" s="117"/>
    </row>
    <row r="451">
      <c r="A451" s="114"/>
      <c r="B451" s="117"/>
      <c r="C451" s="116"/>
      <c r="D451" s="116"/>
      <c r="E451" s="116"/>
      <c r="F451" s="116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  <c r="AB451" s="117"/>
    </row>
    <row r="452">
      <c r="A452" s="114"/>
      <c r="B452" s="117"/>
      <c r="C452" s="116"/>
      <c r="D452" s="116"/>
      <c r="E452" s="116"/>
      <c r="F452" s="116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  <c r="AB452" s="117"/>
    </row>
    <row r="453">
      <c r="A453" s="114"/>
      <c r="B453" s="117"/>
      <c r="C453" s="116"/>
      <c r="D453" s="116"/>
      <c r="E453" s="116"/>
      <c r="F453" s="116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  <c r="AB453" s="117"/>
    </row>
    <row r="454">
      <c r="A454" s="114"/>
      <c r="B454" s="117"/>
      <c r="C454" s="116"/>
      <c r="D454" s="116"/>
      <c r="E454" s="116"/>
      <c r="F454" s="116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  <c r="AB454" s="117"/>
    </row>
    <row r="455">
      <c r="A455" s="114"/>
      <c r="B455" s="117"/>
      <c r="C455" s="116"/>
      <c r="D455" s="116"/>
      <c r="E455" s="116"/>
      <c r="F455" s="116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  <c r="AB455" s="117"/>
    </row>
    <row r="456">
      <c r="A456" s="114"/>
      <c r="B456" s="117"/>
      <c r="C456" s="116"/>
      <c r="D456" s="116"/>
      <c r="E456" s="116"/>
      <c r="F456" s="116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  <c r="AB456" s="117"/>
    </row>
    <row r="457">
      <c r="A457" s="114"/>
      <c r="B457" s="117"/>
      <c r="C457" s="116"/>
      <c r="D457" s="116"/>
      <c r="E457" s="116"/>
      <c r="F457" s="116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  <c r="AB457" s="117"/>
    </row>
    <row r="458">
      <c r="A458" s="114"/>
      <c r="B458" s="117"/>
      <c r="C458" s="116"/>
      <c r="D458" s="116"/>
      <c r="E458" s="116"/>
      <c r="F458" s="116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  <c r="AB458" s="117"/>
    </row>
    <row r="459">
      <c r="A459" s="114"/>
      <c r="B459" s="117"/>
      <c r="C459" s="116"/>
      <c r="D459" s="116"/>
      <c r="E459" s="116"/>
      <c r="F459" s="116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  <c r="AB459" s="117"/>
    </row>
    <row r="460">
      <c r="A460" s="114"/>
      <c r="B460" s="117"/>
      <c r="C460" s="116"/>
      <c r="D460" s="116"/>
      <c r="E460" s="116"/>
      <c r="F460" s="116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  <c r="AB460" s="117"/>
    </row>
    <row r="461">
      <c r="A461" s="114"/>
      <c r="B461" s="117"/>
      <c r="C461" s="116"/>
      <c r="D461" s="116"/>
      <c r="E461" s="116"/>
      <c r="F461" s="116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  <c r="AB461" s="117"/>
    </row>
    <row r="462">
      <c r="A462" s="114"/>
      <c r="B462" s="117"/>
      <c r="C462" s="116"/>
      <c r="D462" s="116"/>
      <c r="E462" s="116"/>
      <c r="F462" s="116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  <c r="AB462" s="117"/>
    </row>
    <row r="463">
      <c r="A463" s="114"/>
      <c r="B463" s="117"/>
      <c r="C463" s="116"/>
      <c r="D463" s="116"/>
      <c r="E463" s="116"/>
      <c r="F463" s="116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  <c r="AB463" s="117"/>
    </row>
    <row r="464">
      <c r="A464" s="114"/>
      <c r="B464" s="117"/>
      <c r="C464" s="116"/>
      <c r="D464" s="116"/>
      <c r="E464" s="116"/>
      <c r="F464" s="116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  <c r="AB464" s="117"/>
    </row>
    <row r="465">
      <c r="A465" s="114"/>
      <c r="B465" s="117"/>
      <c r="C465" s="116"/>
      <c r="D465" s="116"/>
      <c r="E465" s="116"/>
      <c r="F465" s="116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  <c r="AB465" s="117"/>
    </row>
    <row r="466">
      <c r="A466" s="114"/>
      <c r="B466" s="117"/>
      <c r="C466" s="116"/>
      <c r="D466" s="116"/>
      <c r="E466" s="116"/>
      <c r="F466" s="116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  <c r="AB466" s="117"/>
    </row>
    <row r="467">
      <c r="A467" s="114"/>
      <c r="B467" s="117"/>
      <c r="C467" s="116"/>
      <c r="D467" s="116"/>
      <c r="E467" s="116"/>
      <c r="F467" s="116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  <c r="AB467" s="117"/>
    </row>
    <row r="468">
      <c r="A468" s="114"/>
      <c r="B468" s="117"/>
      <c r="C468" s="116"/>
      <c r="D468" s="116"/>
      <c r="E468" s="116"/>
      <c r="F468" s="116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  <c r="AB468" s="117"/>
    </row>
    <row r="469">
      <c r="A469" s="114"/>
      <c r="B469" s="117"/>
      <c r="C469" s="116"/>
      <c r="D469" s="116"/>
      <c r="E469" s="116"/>
      <c r="F469" s="116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  <c r="AB469" s="117"/>
    </row>
    <row r="470">
      <c r="A470" s="114"/>
      <c r="B470" s="117"/>
      <c r="C470" s="116"/>
      <c r="D470" s="116"/>
      <c r="E470" s="116"/>
      <c r="F470" s="116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  <c r="AB470" s="117"/>
    </row>
    <row r="471">
      <c r="A471" s="114"/>
      <c r="B471" s="117"/>
      <c r="C471" s="116"/>
      <c r="D471" s="116"/>
      <c r="E471" s="116"/>
      <c r="F471" s="116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  <c r="AB471" s="117"/>
    </row>
    <row r="472">
      <c r="A472" s="114"/>
      <c r="B472" s="117"/>
      <c r="C472" s="116"/>
      <c r="D472" s="116"/>
      <c r="E472" s="116"/>
      <c r="F472" s="116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  <c r="AB472" s="117"/>
    </row>
    <row r="473">
      <c r="A473" s="114"/>
      <c r="B473" s="117"/>
      <c r="C473" s="116"/>
      <c r="D473" s="116"/>
      <c r="E473" s="116"/>
      <c r="F473" s="116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  <c r="AB473" s="117"/>
    </row>
    <row r="474">
      <c r="A474" s="114"/>
      <c r="B474" s="117"/>
      <c r="C474" s="116"/>
      <c r="D474" s="116"/>
      <c r="E474" s="116"/>
      <c r="F474" s="116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  <c r="AB474" s="117"/>
    </row>
    <row r="475">
      <c r="A475" s="114"/>
      <c r="B475" s="117"/>
      <c r="C475" s="116"/>
      <c r="D475" s="116"/>
      <c r="E475" s="116"/>
      <c r="F475" s="116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  <c r="AB475" s="117"/>
    </row>
    <row r="476">
      <c r="A476" s="114"/>
      <c r="B476" s="117"/>
      <c r="C476" s="116"/>
      <c r="D476" s="116"/>
      <c r="E476" s="116"/>
      <c r="F476" s="116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  <c r="AB476" s="117"/>
    </row>
    <row r="477">
      <c r="A477" s="114"/>
      <c r="B477" s="117"/>
      <c r="C477" s="116"/>
      <c r="D477" s="116"/>
      <c r="E477" s="116"/>
      <c r="F477" s="116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  <c r="AB477" s="117"/>
    </row>
    <row r="478">
      <c r="A478" s="114"/>
      <c r="B478" s="117"/>
      <c r="C478" s="116"/>
      <c r="D478" s="116"/>
      <c r="E478" s="116"/>
      <c r="F478" s="116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  <c r="AB478" s="117"/>
    </row>
    <row r="479">
      <c r="A479" s="114"/>
      <c r="B479" s="117"/>
      <c r="C479" s="116"/>
      <c r="D479" s="116"/>
      <c r="E479" s="116"/>
      <c r="F479" s="116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  <c r="AB479" s="117"/>
    </row>
    <row r="480">
      <c r="A480" s="114"/>
      <c r="B480" s="117"/>
      <c r="C480" s="116"/>
      <c r="D480" s="116"/>
      <c r="E480" s="116"/>
      <c r="F480" s="116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  <c r="AB480" s="117"/>
    </row>
    <row r="481">
      <c r="A481" s="114"/>
      <c r="B481" s="117"/>
      <c r="C481" s="116"/>
      <c r="D481" s="116"/>
      <c r="E481" s="116"/>
      <c r="F481" s="116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  <c r="AB481" s="117"/>
    </row>
    <row r="482">
      <c r="A482" s="114"/>
      <c r="B482" s="117"/>
      <c r="C482" s="116"/>
      <c r="D482" s="116"/>
      <c r="E482" s="116"/>
      <c r="F482" s="116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  <c r="AB482" s="117"/>
    </row>
    <row r="483">
      <c r="A483" s="114"/>
      <c r="B483" s="117"/>
      <c r="C483" s="116"/>
      <c r="D483" s="116"/>
      <c r="E483" s="116"/>
      <c r="F483" s="116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  <c r="AB483" s="117"/>
    </row>
    <row r="484">
      <c r="A484" s="114"/>
      <c r="B484" s="117"/>
      <c r="C484" s="116"/>
      <c r="D484" s="116"/>
      <c r="E484" s="116"/>
      <c r="F484" s="116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  <c r="AB484" s="117"/>
    </row>
    <row r="485">
      <c r="A485" s="114"/>
      <c r="B485" s="117"/>
      <c r="C485" s="116"/>
      <c r="D485" s="116"/>
      <c r="E485" s="116"/>
      <c r="F485" s="116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  <c r="AB485" s="117"/>
    </row>
    <row r="486">
      <c r="A486" s="114"/>
      <c r="B486" s="117"/>
      <c r="C486" s="116"/>
      <c r="D486" s="116"/>
      <c r="E486" s="116"/>
      <c r="F486" s="116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  <c r="AB486" s="117"/>
    </row>
    <row r="487">
      <c r="A487" s="114"/>
      <c r="B487" s="117"/>
      <c r="C487" s="116"/>
      <c r="D487" s="116"/>
      <c r="E487" s="116"/>
      <c r="F487" s="116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  <c r="AB487" s="117"/>
    </row>
    <row r="488">
      <c r="A488" s="114"/>
      <c r="B488" s="117"/>
      <c r="C488" s="116"/>
      <c r="D488" s="116"/>
      <c r="E488" s="116"/>
      <c r="F488" s="116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  <c r="AB488" s="117"/>
    </row>
    <row r="489">
      <c r="A489" s="114"/>
      <c r="B489" s="117"/>
      <c r="C489" s="116"/>
      <c r="D489" s="116"/>
      <c r="E489" s="116"/>
      <c r="F489" s="116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  <c r="AB489" s="117"/>
    </row>
    <row r="490">
      <c r="A490" s="114"/>
      <c r="B490" s="117"/>
      <c r="C490" s="116"/>
      <c r="D490" s="116"/>
      <c r="E490" s="116"/>
      <c r="F490" s="116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  <c r="AB490" s="117"/>
    </row>
    <row r="491">
      <c r="A491" s="114"/>
      <c r="B491" s="117"/>
      <c r="C491" s="116"/>
      <c r="D491" s="116"/>
      <c r="E491" s="116"/>
      <c r="F491" s="116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  <c r="AB491" s="117"/>
    </row>
    <row r="492">
      <c r="A492" s="114"/>
      <c r="B492" s="117"/>
      <c r="C492" s="116"/>
      <c r="D492" s="116"/>
      <c r="E492" s="116"/>
      <c r="F492" s="116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  <c r="AB492" s="117"/>
    </row>
    <row r="493">
      <c r="A493" s="114"/>
      <c r="B493" s="117"/>
      <c r="C493" s="116"/>
      <c r="D493" s="116"/>
      <c r="E493" s="116"/>
      <c r="F493" s="116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  <c r="AB493" s="117"/>
    </row>
    <row r="494">
      <c r="A494" s="114"/>
      <c r="B494" s="117"/>
      <c r="C494" s="116"/>
      <c r="D494" s="116"/>
      <c r="E494" s="116"/>
      <c r="F494" s="116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  <c r="AB494" s="117"/>
    </row>
    <row r="495">
      <c r="A495" s="114"/>
      <c r="B495" s="117"/>
      <c r="C495" s="116"/>
      <c r="D495" s="116"/>
      <c r="E495" s="116"/>
      <c r="F495" s="116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  <c r="AB495" s="117"/>
    </row>
    <row r="496">
      <c r="A496" s="114"/>
      <c r="B496" s="117"/>
      <c r="C496" s="116"/>
      <c r="D496" s="116"/>
      <c r="E496" s="116"/>
      <c r="F496" s="116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  <c r="AB496" s="117"/>
    </row>
    <row r="497">
      <c r="A497" s="114"/>
      <c r="B497" s="117"/>
      <c r="C497" s="116"/>
      <c r="D497" s="116"/>
      <c r="E497" s="116"/>
      <c r="F497" s="116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  <c r="AB497" s="117"/>
    </row>
    <row r="498">
      <c r="A498" s="114"/>
      <c r="B498" s="117"/>
      <c r="C498" s="116"/>
      <c r="D498" s="116"/>
      <c r="E498" s="116"/>
      <c r="F498" s="116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  <c r="AB498" s="117"/>
    </row>
    <row r="499">
      <c r="A499" s="114"/>
      <c r="B499" s="117"/>
      <c r="C499" s="116"/>
      <c r="D499" s="116"/>
      <c r="E499" s="116"/>
      <c r="F499" s="116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  <c r="AB499" s="117"/>
    </row>
    <row r="500">
      <c r="A500" s="114"/>
      <c r="B500" s="117"/>
      <c r="C500" s="116"/>
      <c r="D500" s="116"/>
      <c r="E500" s="116"/>
      <c r="F500" s="116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  <c r="AB500" s="117"/>
    </row>
    <row r="501">
      <c r="A501" s="114"/>
      <c r="B501" s="117"/>
      <c r="C501" s="116"/>
      <c r="D501" s="116"/>
      <c r="E501" s="116"/>
      <c r="F501" s="116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  <c r="AB501" s="117"/>
    </row>
    <row r="502">
      <c r="A502" s="114"/>
      <c r="B502" s="117"/>
      <c r="C502" s="116"/>
      <c r="D502" s="116"/>
      <c r="E502" s="116"/>
      <c r="F502" s="116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  <c r="AB502" s="117"/>
    </row>
    <row r="503">
      <c r="A503" s="114"/>
      <c r="B503" s="117"/>
      <c r="C503" s="116"/>
      <c r="D503" s="116"/>
      <c r="E503" s="116"/>
      <c r="F503" s="116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  <c r="AB503" s="117"/>
    </row>
    <row r="504">
      <c r="A504" s="114"/>
      <c r="B504" s="117"/>
      <c r="C504" s="116"/>
      <c r="D504" s="116"/>
      <c r="E504" s="116"/>
      <c r="F504" s="116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  <c r="AB504" s="117"/>
    </row>
    <row r="505">
      <c r="A505" s="114"/>
      <c r="B505" s="117"/>
      <c r="C505" s="116"/>
      <c r="D505" s="116"/>
      <c r="E505" s="116"/>
      <c r="F505" s="116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  <c r="AB505" s="117"/>
    </row>
    <row r="506">
      <c r="A506" s="114"/>
      <c r="B506" s="117"/>
      <c r="C506" s="116"/>
      <c r="D506" s="116"/>
      <c r="E506" s="116"/>
      <c r="F506" s="116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  <c r="AB506" s="117"/>
    </row>
    <row r="507">
      <c r="A507" s="114"/>
      <c r="B507" s="117"/>
      <c r="C507" s="116"/>
      <c r="D507" s="116"/>
      <c r="E507" s="116"/>
      <c r="F507" s="116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  <c r="AB507" s="117"/>
    </row>
    <row r="508">
      <c r="A508" s="114"/>
      <c r="B508" s="117"/>
      <c r="C508" s="116"/>
      <c r="D508" s="116"/>
      <c r="E508" s="116"/>
      <c r="F508" s="116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  <c r="AB508" s="117"/>
    </row>
    <row r="509">
      <c r="A509" s="114"/>
      <c r="B509" s="117"/>
      <c r="C509" s="116"/>
      <c r="D509" s="116"/>
      <c r="E509" s="116"/>
      <c r="F509" s="116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  <c r="AB509" s="117"/>
    </row>
    <row r="510">
      <c r="A510" s="114"/>
      <c r="B510" s="117"/>
      <c r="C510" s="116"/>
      <c r="D510" s="116"/>
      <c r="E510" s="116"/>
      <c r="F510" s="116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  <c r="AB510" s="117"/>
    </row>
    <row r="511">
      <c r="A511" s="114"/>
      <c r="B511" s="117"/>
      <c r="C511" s="116"/>
      <c r="D511" s="116"/>
      <c r="E511" s="116"/>
      <c r="F511" s="116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  <c r="AB511" s="117"/>
    </row>
    <row r="512">
      <c r="A512" s="114"/>
      <c r="B512" s="117"/>
      <c r="C512" s="116"/>
      <c r="D512" s="116"/>
      <c r="E512" s="116"/>
      <c r="F512" s="116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  <c r="AB512" s="117"/>
    </row>
    <row r="513">
      <c r="A513" s="114"/>
      <c r="B513" s="117"/>
      <c r="C513" s="116"/>
      <c r="D513" s="116"/>
      <c r="E513" s="116"/>
      <c r="F513" s="116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  <c r="AB513" s="117"/>
    </row>
    <row r="514">
      <c r="A514" s="114"/>
      <c r="B514" s="117"/>
      <c r="C514" s="116"/>
      <c r="D514" s="116"/>
      <c r="E514" s="116"/>
      <c r="F514" s="116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  <c r="AB514" s="117"/>
    </row>
    <row r="515">
      <c r="A515" s="114"/>
      <c r="B515" s="117"/>
      <c r="C515" s="116"/>
      <c r="D515" s="116"/>
      <c r="E515" s="116"/>
      <c r="F515" s="116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  <c r="AB515" s="117"/>
    </row>
    <row r="516">
      <c r="A516" s="114"/>
      <c r="B516" s="117"/>
      <c r="C516" s="116"/>
      <c r="D516" s="116"/>
      <c r="E516" s="116"/>
      <c r="F516" s="116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  <c r="AB516" s="117"/>
    </row>
    <row r="517">
      <c r="A517" s="114"/>
      <c r="B517" s="117"/>
      <c r="C517" s="116"/>
      <c r="D517" s="116"/>
      <c r="E517" s="116"/>
      <c r="F517" s="116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  <c r="AB517" s="117"/>
    </row>
    <row r="518">
      <c r="A518" s="114"/>
      <c r="B518" s="117"/>
      <c r="C518" s="116"/>
      <c r="D518" s="116"/>
      <c r="E518" s="116"/>
      <c r="F518" s="116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  <c r="AB518" s="117"/>
    </row>
    <row r="519">
      <c r="A519" s="114"/>
      <c r="B519" s="117"/>
      <c r="C519" s="116"/>
      <c r="D519" s="116"/>
      <c r="E519" s="116"/>
      <c r="F519" s="116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  <c r="AB519" s="117"/>
    </row>
    <row r="520">
      <c r="A520" s="114"/>
      <c r="B520" s="117"/>
      <c r="C520" s="116"/>
      <c r="D520" s="116"/>
      <c r="E520" s="116"/>
      <c r="F520" s="116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  <c r="AB520" s="117"/>
    </row>
    <row r="521">
      <c r="A521" s="114"/>
      <c r="B521" s="117"/>
      <c r="C521" s="116"/>
      <c r="D521" s="116"/>
      <c r="E521" s="116"/>
      <c r="F521" s="116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  <c r="AB521" s="117"/>
    </row>
    <row r="522">
      <c r="A522" s="114"/>
      <c r="B522" s="117"/>
      <c r="C522" s="116"/>
      <c r="D522" s="116"/>
      <c r="E522" s="116"/>
      <c r="F522" s="116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  <c r="AB522" s="117"/>
    </row>
    <row r="523">
      <c r="A523" s="114"/>
      <c r="B523" s="117"/>
      <c r="C523" s="116"/>
      <c r="D523" s="116"/>
      <c r="E523" s="116"/>
      <c r="F523" s="116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  <c r="AB523" s="117"/>
    </row>
    <row r="524">
      <c r="A524" s="114"/>
      <c r="B524" s="117"/>
      <c r="C524" s="116"/>
      <c r="D524" s="116"/>
      <c r="E524" s="116"/>
      <c r="F524" s="116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  <c r="AB524" s="117"/>
    </row>
    <row r="525">
      <c r="A525" s="114"/>
      <c r="B525" s="117"/>
      <c r="C525" s="116"/>
      <c r="D525" s="116"/>
      <c r="E525" s="116"/>
      <c r="F525" s="116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  <c r="AB525" s="117"/>
    </row>
    <row r="526">
      <c r="A526" s="114"/>
      <c r="B526" s="117"/>
      <c r="C526" s="116"/>
      <c r="D526" s="116"/>
      <c r="E526" s="116"/>
      <c r="F526" s="116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  <c r="AB526" s="117"/>
    </row>
    <row r="527">
      <c r="A527" s="114"/>
      <c r="B527" s="117"/>
      <c r="C527" s="116"/>
      <c r="D527" s="116"/>
      <c r="E527" s="116"/>
      <c r="F527" s="116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  <c r="AB527" s="117"/>
    </row>
    <row r="528">
      <c r="A528" s="114"/>
      <c r="B528" s="117"/>
      <c r="C528" s="116"/>
      <c r="D528" s="116"/>
      <c r="E528" s="116"/>
      <c r="F528" s="116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  <c r="AB528" s="117"/>
    </row>
    <row r="529">
      <c r="A529" s="114"/>
      <c r="B529" s="117"/>
      <c r="C529" s="116"/>
      <c r="D529" s="116"/>
      <c r="E529" s="116"/>
      <c r="F529" s="116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  <c r="AB529" s="117"/>
    </row>
    <row r="530">
      <c r="A530" s="114"/>
      <c r="B530" s="117"/>
      <c r="C530" s="116"/>
      <c r="D530" s="116"/>
      <c r="E530" s="116"/>
      <c r="F530" s="116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  <c r="AB530" s="117"/>
    </row>
    <row r="531">
      <c r="A531" s="114"/>
      <c r="B531" s="117"/>
      <c r="C531" s="116"/>
      <c r="D531" s="116"/>
      <c r="E531" s="116"/>
      <c r="F531" s="116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  <c r="AB531" s="117"/>
    </row>
    <row r="532">
      <c r="A532" s="114"/>
      <c r="B532" s="117"/>
      <c r="C532" s="116"/>
      <c r="D532" s="116"/>
      <c r="E532" s="116"/>
      <c r="F532" s="116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  <c r="AB532" s="117"/>
    </row>
    <row r="533">
      <c r="A533" s="114"/>
      <c r="B533" s="117"/>
      <c r="C533" s="116"/>
      <c r="D533" s="116"/>
      <c r="E533" s="116"/>
      <c r="F533" s="116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  <c r="AB533" s="117"/>
    </row>
    <row r="534">
      <c r="A534" s="114"/>
      <c r="B534" s="117"/>
      <c r="C534" s="116"/>
      <c r="D534" s="116"/>
      <c r="E534" s="116"/>
      <c r="F534" s="116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  <c r="AB534" s="117"/>
    </row>
    <row r="535">
      <c r="A535" s="114"/>
      <c r="B535" s="117"/>
      <c r="C535" s="116"/>
      <c r="D535" s="116"/>
      <c r="E535" s="116"/>
      <c r="F535" s="116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  <c r="AB535" s="117"/>
    </row>
    <row r="536">
      <c r="A536" s="114"/>
      <c r="B536" s="117"/>
      <c r="C536" s="116"/>
      <c r="D536" s="116"/>
      <c r="E536" s="116"/>
      <c r="F536" s="116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  <c r="AB536" s="117"/>
    </row>
    <row r="537">
      <c r="A537" s="114"/>
      <c r="B537" s="117"/>
      <c r="C537" s="116"/>
      <c r="D537" s="116"/>
      <c r="E537" s="116"/>
      <c r="F537" s="116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  <c r="AB537" s="117"/>
    </row>
    <row r="538">
      <c r="A538" s="114"/>
      <c r="B538" s="117"/>
      <c r="C538" s="116"/>
      <c r="D538" s="116"/>
      <c r="E538" s="116"/>
      <c r="F538" s="116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  <c r="AB538" s="117"/>
    </row>
    <row r="539">
      <c r="A539" s="114"/>
      <c r="B539" s="117"/>
      <c r="C539" s="116"/>
      <c r="D539" s="116"/>
      <c r="E539" s="116"/>
      <c r="F539" s="116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  <c r="AB539" s="117"/>
    </row>
    <row r="540">
      <c r="A540" s="114"/>
      <c r="B540" s="117"/>
      <c r="C540" s="116"/>
      <c r="D540" s="116"/>
      <c r="E540" s="116"/>
      <c r="F540" s="116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  <c r="AB540" s="117"/>
    </row>
    <row r="541">
      <c r="A541" s="114"/>
      <c r="B541" s="117"/>
      <c r="C541" s="116"/>
      <c r="D541" s="116"/>
      <c r="E541" s="116"/>
      <c r="F541" s="116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  <c r="AB541" s="117"/>
    </row>
    <row r="542">
      <c r="A542" s="114"/>
      <c r="B542" s="117"/>
      <c r="C542" s="116"/>
      <c r="D542" s="116"/>
      <c r="E542" s="116"/>
      <c r="F542" s="116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  <c r="AB542" s="117"/>
    </row>
    <row r="543">
      <c r="A543" s="114"/>
      <c r="B543" s="117"/>
      <c r="C543" s="116"/>
      <c r="D543" s="116"/>
      <c r="E543" s="116"/>
      <c r="F543" s="116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  <c r="AB543" s="117"/>
    </row>
    <row r="544">
      <c r="A544" s="114"/>
      <c r="B544" s="117"/>
      <c r="C544" s="116"/>
      <c r="D544" s="116"/>
      <c r="E544" s="116"/>
      <c r="F544" s="116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  <c r="AB544" s="117"/>
    </row>
    <row r="545">
      <c r="A545" s="114"/>
      <c r="B545" s="117"/>
      <c r="C545" s="116"/>
      <c r="D545" s="116"/>
      <c r="E545" s="116"/>
      <c r="F545" s="116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  <c r="AB545" s="117"/>
    </row>
    <row r="546">
      <c r="A546" s="114"/>
      <c r="B546" s="117"/>
      <c r="C546" s="116"/>
      <c r="D546" s="116"/>
      <c r="E546" s="116"/>
      <c r="F546" s="116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  <c r="AB546" s="117"/>
    </row>
    <row r="547">
      <c r="A547" s="114"/>
      <c r="B547" s="117"/>
      <c r="C547" s="116"/>
      <c r="D547" s="116"/>
      <c r="E547" s="116"/>
      <c r="F547" s="116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  <c r="AB547" s="117"/>
    </row>
    <row r="548">
      <c r="A548" s="114"/>
      <c r="B548" s="117"/>
      <c r="C548" s="116"/>
      <c r="D548" s="116"/>
      <c r="E548" s="116"/>
      <c r="F548" s="116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  <c r="AB548" s="117"/>
    </row>
    <row r="549">
      <c r="A549" s="114"/>
      <c r="B549" s="117"/>
      <c r="C549" s="116"/>
      <c r="D549" s="116"/>
      <c r="E549" s="116"/>
      <c r="F549" s="116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  <c r="AB549" s="117"/>
    </row>
    <row r="550">
      <c r="A550" s="114"/>
      <c r="B550" s="117"/>
      <c r="C550" s="116"/>
      <c r="D550" s="116"/>
      <c r="E550" s="116"/>
      <c r="F550" s="116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  <c r="AB550" s="117"/>
    </row>
    <row r="551">
      <c r="A551" s="114"/>
      <c r="B551" s="117"/>
      <c r="C551" s="116"/>
      <c r="D551" s="116"/>
      <c r="E551" s="116"/>
      <c r="F551" s="116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  <c r="AB551" s="117"/>
    </row>
    <row r="552">
      <c r="A552" s="114"/>
      <c r="B552" s="117"/>
      <c r="C552" s="116"/>
      <c r="D552" s="116"/>
      <c r="E552" s="116"/>
      <c r="F552" s="116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  <c r="AB552" s="117"/>
    </row>
    <row r="553">
      <c r="A553" s="114"/>
      <c r="B553" s="117"/>
      <c r="C553" s="116"/>
      <c r="D553" s="116"/>
      <c r="E553" s="116"/>
      <c r="F553" s="116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  <c r="AB553" s="117"/>
    </row>
    <row r="554">
      <c r="A554" s="114"/>
      <c r="B554" s="117"/>
      <c r="C554" s="116"/>
      <c r="D554" s="116"/>
      <c r="E554" s="116"/>
      <c r="F554" s="116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  <c r="AB554" s="117"/>
    </row>
    <row r="555">
      <c r="A555" s="114"/>
      <c r="B555" s="117"/>
      <c r="C555" s="116"/>
      <c r="D555" s="116"/>
      <c r="E555" s="116"/>
      <c r="F555" s="116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  <c r="AB555" s="117"/>
    </row>
    <row r="556">
      <c r="A556" s="114"/>
      <c r="B556" s="117"/>
      <c r="C556" s="116"/>
      <c r="D556" s="116"/>
      <c r="E556" s="116"/>
      <c r="F556" s="116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  <c r="AB556" s="117"/>
    </row>
    <row r="557">
      <c r="A557" s="114"/>
      <c r="B557" s="117"/>
      <c r="C557" s="116"/>
      <c r="D557" s="116"/>
      <c r="E557" s="116"/>
      <c r="F557" s="116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  <c r="AB557" s="117"/>
    </row>
    <row r="558">
      <c r="A558" s="114"/>
      <c r="B558" s="117"/>
      <c r="C558" s="116"/>
      <c r="D558" s="116"/>
      <c r="E558" s="116"/>
      <c r="F558" s="116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  <c r="AB558" s="117"/>
    </row>
    <row r="559">
      <c r="A559" s="114"/>
      <c r="B559" s="117"/>
      <c r="C559" s="116"/>
      <c r="D559" s="116"/>
      <c r="E559" s="116"/>
      <c r="F559" s="116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  <c r="AB559" s="117"/>
    </row>
    <row r="560">
      <c r="A560" s="114"/>
      <c r="B560" s="117"/>
      <c r="C560" s="116"/>
      <c r="D560" s="116"/>
      <c r="E560" s="116"/>
      <c r="F560" s="116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  <c r="AB560" s="117"/>
    </row>
    <row r="561">
      <c r="A561" s="114"/>
      <c r="B561" s="117"/>
      <c r="C561" s="116"/>
      <c r="D561" s="116"/>
      <c r="E561" s="116"/>
      <c r="F561" s="116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  <c r="AB561" s="117"/>
    </row>
    <row r="562">
      <c r="A562" s="114"/>
      <c r="B562" s="117"/>
      <c r="C562" s="116"/>
      <c r="D562" s="116"/>
      <c r="E562" s="116"/>
      <c r="F562" s="116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  <c r="AB562" s="117"/>
    </row>
    <row r="563">
      <c r="A563" s="114"/>
      <c r="B563" s="117"/>
      <c r="C563" s="116"/>
      <c r="D563" s="116"/>
      <c r="E563" s="116"/>
      <c r="F563" s="116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  <c r="AB563" s="117"/>
    </row>
    <row r="564">
      <c r="A564" s="114"/>
      <c r="B564" s="117"/>
      <c r="C564" s="116"/>
      <c r="D564" s="116"/>
      <c r="E564" s="116"/>
      <c r="F564" s="116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  <c r="AB564" s="117"/>
    </row>
    <row r="565">
      <c r="A565" s="114"/>
      <c r="B565" s="117"/>
      <c r="C565" s="116"/>
      <c r="D565" s="116"/>
      <c r="E565" s="116"/>
      <c r="F565" s="116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  <c r="AB565" s="117"/>
    </row>
    <row r="566">
      <c r="A566" s="114"/>
      <c r="B566" s="117"/>
      <c r="C566" s="116"/>
      <c r="D566" s="116"/>
      <c r="E566" s="116"/>
      <c r="F566" s="116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  <c r="AB566" s="117"/>
    </row>
    <row r="567">
      <c r="A567" s="114"/>
      <c r="B567" s="117"/>
      <c r="C567" s="116"/>
      <c r="D567" s="116"/>
      <c r="E567" s="116"/>
      <c r="F567" s="116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  <c r="AB567" s="117"/>
    </row>
    <row r="568">
      <c r="A568" s="114"/>
      <c r="B568" s="117"/>
      <c r="C568" s="116"/>
      <c r="D568" s="116"/>
      <c r="E568" s="116"/>
      <c r="F568" s="116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  <c r="AB568" s="117"/>
    </row>
    <row r="569">
      <c r="A569" s="114"/>
      <c r="B569" s="117"/>
      <c r="C569" s="116"/>
      <c r="D569" s="116"/>
      <c r="E569" s="116"/>
      <c r="F569" s="116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  <c r="AB569" s="117"/>
    </row>
    <row r="570">
      <c r="A570" s="114"/>
      <c r="B570" s="117"/>
      <c r="C570" s="116"/>
      <c r="D570" s="116"/>
      <c r="E570" s="116"/>
      <c r="F570" s="116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  <c r="AB570" s="117"/>
    </row>
    <row r="571">
      <c r="A571" s="114"/>
      <c r="B571" s="117"/>
      <c r="C571" s="116"/>
      <c r="D571" s="116"/>
      <c r="E571" s="116"/>
      <c r="F571" s="116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  <c r="AB571" s="117"/>
    </row>
    <row r="572">
      <c r="A572" s="114"/>
      <c r="B572" s="117"/>
      <c r="C572" s="116"/>
      <c r="D572" s="116"/>
      <c r="E572" s="116"/>
      <c r="F572" s="116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  <c r="AB572" s="117"/>
    </row>
    <row r="573">
      <c r="A573" s="114"/>
      <c r="B573" s="117"/>
      <c r="C573" s="116"/>
      <c r="D573" s="116"/>
      <c r="E573" s="116"/>
      <c r="F573" s="116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  <c r="AB573" s="117"/>
    </row>
    <row r="574">
      <c r="A574" s="114"/>
      <c r="B574" s="117"/>
      <c r="C574" s="116"/>
      <c r="D574" s="116"/>
      <c r="E574" s="116"/>
      <c r="F574" s="116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  <c r="AB574" s="117"/>
    </row>
    <row r="575">
      <c r="A575" s="114"/>
      <c r="B575" s="117"/>
      <c r="C575" s="116"/>
      <c r="D575" s="116"/>
      <c r="E575" s="116"/>
      <c r="F575" s="116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  <c r="AA575" s="117"/>
      <c r="AB575" s="117"/>
    </row>
    <row r="576">
      <c r="A576" s="114"/>
      <c r="B576" s="117"/>
      <c r="C576" s="116"/>
      <c r="D576" s="116"/>
      <c r="E576" s="116"/>
      <c r="F576" s="116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  <c r="AA576" s="117"/>
      <c r="AB576" s="117"/>
    </row>
    <row r="577">
      <c r="A577" s="114"/>
      <c r="B577" s="117"/>
      <c r="C577" s="116"/>
      <c r="D577" s="116"/>
      <c r="E577" s="116"/>
      <c r="F577" s="116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  <c r="AA577" s="117"/>
      <c r="AB577" s="117"/>
    </row>
    <row r="578">
      <c r="A578" s="114"/>
      <c r="B578" s="117"/>
      <c r="C578" s="116"/>
      <c r="D578" s="116"/>
      <c r="E578" s="116"/>
      <c r="F578" s="116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  <c r="AA578" s="117"/>
      <c r="AB578" s="117"/>
    </row>
    <row r="579">
      <c r="A579" s="114"/>
      <c r="B579" s="117"/>
      <c r="C579" s="116"/>
      <c r="D579" s="116"/>
      <c r="E579" s="116"/>
      <c r="F579" s="116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  <c r="AA579" s="117"/>
      <c r="AB579" s="117"/>
    </row>
    <row r="580">
      <c r="A580" s="114"/>
      <c r="B580" s="117"/>
      <c r="C580" s="116"/>
      <c r="D580" s="116"/>
      <c r="E580" s="116"/>
      <c r="F580" s="116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  <c r="AA580" s="117"/>
      <c r="AB580" s="117"/>
    </row>
    <row r="581">
      <c r="A581" s="114"/>
      <c r="B581" s="117"/>
      <c r="C581" s="116"/>
      <c r="D581" s="116"/>
      <c r="E581" s="116"/>
      <c r="F581" s="116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  <c r="AA581" s="117"/>
      <c r="AB581" s="117"/>
    </row>
    <row r="582">
      <c r="A582" s="114"/>
      <c r="B582" s="117"/>
      <c r="C582" s="116"/>
      <c r="D582" s="116"/>
      <c r="E582" s="116"/>
      <c r="F582" s="116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  <c r="AA582" s="117"/>
      <c r="AB582" s="117"/>
    </row>
    <row r="583">
      <c r="A583" s="114"/>
      <c r="B583" s="117"/>
      <c r="C583" s="116"/>
      <c r="D583" s="116"/>
      <c r="E583" s="116"/>
      <c r="F583" s="116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  <c r="AA583" s="117"/>
      <c r="AB583" s="117"/>
    </row>
    <row r="584">
      <c r="A584" s="114"/>
      <c r="B584" s="117"/>
      <c r="C584" s="116"/>
      <c r="D584" s="116"/>
      <c r="E584" s="116"/>
      <c r="F584" s="116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  <c r="AA584" s="117"/>
      <c r="AB584" s="117"/>
    </row>
    <row r="585">
      <c r="A585" s="114"/>
      <c r="B585" s="117"/>
      <c r="C585" s="116"/>
      <c r="D585" s="116"/>
      <c r="E585" s="116"/>
      <c r="F585" s="116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  <c r="AA585" s="117"/>
      <c r="AB585" s="117"/>
    </row>
    <row r="586">
      <c r="A586" s="114"/>
      <c r="B586" s="117"/>
      <c r="C586" s="116"/>
      <c r="D586" s="116"/>
      <c r="E586" s="116"/>
      <c r="F586" s="116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  <c r="AA586" s="117"/>
      <c r="AB586" s="117"/>
    </row>
    <row r="587">
      <c r="A587" s="114"/>
      <c r="B587" s="117"/>
      <c r="C587" s="116"/>
      <c r="D587" s="116"/>
      <c r="E587" s="116"/>
      <c r="F587" s="116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  <c r="AA587" s="117"/>
      <c r="AB587" s="117"/>
    </row>
    <row r="588">
      <c r="A588" s="114"/>
      <c r="B588" s="117"/>
      <c r="C588" s="116"/>
      <c r="D588" s="116"/>
      <c r="E588" s="116"/>
      <c r="F588" s="116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  <c r="AA588" s="117"/>
      <c r="AB588" s="117"/>
    </row>
    <row r="589">
      <c r="A589" s="114"/>
      <c r="B589" s="117"/>
      <c r="C589" s="116"/>
      <c r="D589" s="116"/>
      <c r="E589" s="116"/>
      <c r="F589" s="116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  <c r="AA589" s="117"/>
      <c r="AB589" s="117"/>
    </row>
    <row r="590">
      <c r="A590" s="114"/>
      <c r="B590" s="117"/>
      <c r="C590" s="116"/>
      <c r="D590" s="116"/>
      <c r="E590" s="116"/>
      <c r="F590" s="116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  <c r="AA590" s="117"/>
      <c r="AB590" s="117"/>
    </row>
    <row r="591">
      <c r="A591" s="114"/>
      <c r="B591" s="117"/>
      <c r="C591" s="116"/>
      <c r="D591" s="116"/>
      <c r="E591" s="116"/>
      <c r="F591" s="116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  <c r="AA591" s="117"/>
      <c r="AB591" s="117"/>
    </row>
    <row r="592">
      <c r="A592" s="114"/>
      <c r="B592" s="117"/>
      <c r="C592" s="116"/>
      <c r="D592" s="116"/>
      <c r="E592" s="116"/>
      <c r="F592" s="116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117"/>
      <c r="AB592" s="117"/>
    </row>
    <row r="593">
      <c r="A593" s="114"/>
      <c r="B593" s="117"/>
      <c r="C593" s="116"/>
      <c r="D593" s="116"/>
      <c r="E593" s="116"/>
      <c r="F593" s="116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  <c r="AA593" s="117"/>
      <c r="AB593" s="117"/>
    </row>
    <row r="594">
      <c r="A594" s="114"/>
      <c r="B594" s="117"/>
      <c r="C594" s="116"/>
      <c r="D594" s="116"/>
      <c r="E594" s="116"/>
      <c r="F594" s="116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  <c r="AA594" s="117"/>
      <c r="AB594" s="117"/>
    </row>
    <row r="595">
      <c r="A595" s="114"/>
      <c r="B595" s="117"/>
      <c r="C595" s="116"/>
      <c r="D595" s="116"/>
      <c r="E595" s="116"/>
      <c r="F595" s="116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  <c r="AA595" s="117"/>
      <c r="AB595" s="117"/>
    </row>
    <row r="596">
      <c r="A596" s="114"/>
      <c r="B596" s="117"/>
      <c r="C596" s="116"/>
      <c r="D596" s="116"/>
      <c r="E596" s="116"/>
      <c r="F596" s="116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  <c r="AA596" s="117"/>
      <c r="AB596" s="117"/>
    </row>
    <row r="597">
      <c r="A597" s="114"/>
      <c r="B597" s="117"/>
      <c r="C597" s="116"/>
      <c r="D597" s="116"/>
      <c r="E597" s="116"/>
      <c r="F597" s="116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  <c r="AA597" s="117"/>
      <c r="AB597" s="117"/>
    </row>
    <row r="598">
      <c r="A598" s="114"/>
      <c r="B598" s="117"/>
      <c r="C598" s="116"/>
      <c r="D598" s="116"/>
      <c r="E598" s="116"/>
      <c r="F598" s="116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  <c r="AA598" s="117"/>
      <c r="AB598" s="117"/>
    </row>
    <row r="599">
      <c r="A599" s="114"/>
      <c r="B599" s="117"/>
      <c r="C599" s="116"/>
      <c r="D599" s="116"/>
      <c r="E599" s="116"/>
      <c r="F599" s="116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  <c r="AA599" s="117"/>
      <c r="AB599" s="117"/>
    </row>
    <row r="600">
      <c r="A600" s="114"/>
      <c r="B600" s="117"/>
      <c r="C600" s="116"/>
      <c r="D600" s="116"/>
      <c r="E600" s="116"/>
      <c r="F600" s="116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  <c r="AA600" s="117"/>
      <c r="AB600" s="117"/>
    </row>
    <row r="601">
      <c r="A601" s="114"/>
      <c r="B601" s="117"/>
      <c r="C601" s="116"/>
      <c r="D601" s="116"/>
      <c r="E601" s="116"/>
      <c r="F601" s="116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  <c r="AA601" s="117"/>
      <c r="AB601" s="117"/>
    </row>
    <row r="602">
      <c r="A602" s="114"/>
      <c r="B602" s="117"/>
      <c r="C602" s="116"/>
      <c r="D602" s="116"/>
      <c r="E602" s="116"/>
      <c r="F602" s="116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  <c r="AA602" s="117"/>
      <c r="AB602" s="117"/>
    </row>
    <row r="603">
      <c r="A603" s="114"/>
      <c r="B603" s="117"/>
      <c r="C603" s="116"/>
      <c r="D603" s="116"/>
      <c r="E603" s="116"/>
      <c r="F603" s="116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  <c r="AA603" s="117"/>
      <c r="AB603" s="117"/>
    </row>
    <row r="604">
      <c r="A604" s="114"/>
      <c r="B604" s="117"/>
      <c r="C604" s="116"/>
      <c r="D604" s="116"/>
      <c r="E604" s="116"/>
      <c r="F604" s="116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  <c r="AA604" s="117"/>
      <c r="AB604" s="117"/>
    </row>
    <row r="605">
      <c r="A605" s="114"/>
      <c r="B605" s="117"/>
      <c r="C605" s="116"/>
      <c r="D605" s="116"/>
      <c r="E605" s="116"/>
      <c r="F605" s="116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  <c r="AA605" s="117"/>
      <c r="AB605" s="117"/>
    </row>
    <row r="606">
      <c r="A606" s="114"/>
      <c r="B606" s="117"/>
      <c r="C606" s="116"/>
      <c r="D606" s="116"/>
      <c r="E606" s="116"/>
      <c r="F606" s="116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  <c r="AA606" s="117"/>
      <c r="AB606" s="117"/>
    </row>
    <row r="607">
      <c r="A607" s="114"/>
      <c r="B607" s="117"/>
      <c r="C607" s="116"/>
      <c r="D607" s="116"/>
      <c r="E607" s="116"/>
      <c r="F607" s="116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  <c r="AA607" s="117"/>
      <c r="AB607" s="117"/>
    </row>
    <row r="608">
      <c r="A608" s="114"/>
      <c r="B608" s="117"/>
      <c r="C608" s="116"/>
      <c r="D608" s="116"/>
      <c r="E608" s="116"/>
      <c r="F608" s="116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  <c r="AA608" s="117"/>
      <c r="AB608" s="117"/>
    </row>
    <row r="609">
      <c r="A609" s="114"/>
      <c r="B609" s="117"/>
      <c r="C609" s="116"/>
      <c r="D609" s="116"/>
      <c r="E609" s="116"/>
      <c r="F609" s="116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  <c r="AA609" s="117"/>
      <c r="AB609" s="117"/>
    </row>
    <row r="610">
      <c r="A610" s="114"/>
      <c r="B610" s="117"/>
      <c r="C610" s="116"/>
      <c r="D610" s="116"/>
      <c r="E610" s="116"/>
      <c r="F610" s="116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  <c r="AA610" s="117"/>
      <c r="AB610" s="117"/>
    </row>
    <row r="611">
      <c r="A611" s="114"/>
      <c r="B611" s="117"/>
      <c r="C611" s="116"/>
      <c r="D611" s="116"/>
      <c r="E611" s="116"/>
      <c r="F611" s="116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  <c r="AA611" s="117"/>
      <c r="AB611" s="117"/>
    </row>
    <row r="612">
      <c r="A612" s="114"/>
      <c r="B612" s="117"/>
      <c r="C612" s="116"/>
      <c r="D612" s="116"/>
      <c r="E612" s="116"/>
      <c r="F612" s="116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  <c r="AA612" s="117"/>
      <c r="AB612" s="117"/>
    </row>
    <row r="613">
      <c r="A613" s="114"/>
      <c r="B613" s="117"/>
      <c r="C613" s="116"/>
      <c r="D613" s="116"/>
      <c r="E613" s="116"/>
      <c r="F613" s="116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  <c r="AA613" s="117"/>
      <c r="AB613" s="117"/>
    </row>
    <row r="614">
      <c r="A614" s="114"/>
      <c r="B614" s="117"/>
      <c r="C614" s="116"/>
      <c r="D614" s="116"/>
      <c r="E614" s="116"/>
      <c r="F614" s="116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  <c r="AA614" s="117"/>
      <c r="AB614" s="117"/>
    </row>
    <row r="615">
      <c r="A615" s="114"/>
      <c r="B615" s="117"/>
      <c r="C615" s="116"/>
      <c r="D615" s="116"/>
      <c r="E615" s="116"/>
      <c r="F615" s="116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  <c r="AA615" s="117"/>
      <c r="AB615" s="117"/>
    </row>
    <row r="616">
      <c r="A616" s="114"/>
      <c r="B616" s="117"/>
      <c r="C616" s="116"/>
      <c r="D616" s="116"/>
      <c r="E616" s="116"/>
      <c r="F616" s="116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  <c r="AA616" s="117"/>
      <c r="AB616" s="117"/>
    </row>
    <row r="617">
      <c r="A617" s="114"/>
      <c r="B617" s="117"/>
      <c r="C617" s="116"/>
      <c r="D617" s="116"/>
      <c r="E617" s="116"/>
      <c r="F617" s="116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  <c r="AA617" s="117"/>
      <c r="AB617" s="117"/>
    </row>
    <row r="618">
      <c r="A618" s="114"/>
      <c r="B618" s="117"/>
      <c r="C618" s="116"/>
      <c r="D618" s="116"/>
      <c r="E618" s="116"/>
      <c r="F618" s="116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  <c r="AA618" s="117"/>
      <c r="AB618" s="117"/>
    </row>
    <row r="619">
      <c r="A619" s="114"/>
      <c r="B619" s="117"/>
      <c r="C619" s="116"/>
      <c r="D619" s="116"/>
      <c r="E619" s="116"/>
      <c r="F619" s="116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  <c r="AA619" s="117"/>
      <c r="AB619" s="117"/>
    </row>
    <row r="620">
      <c r="A620" s="114"/>
      <c r="B620" s="117"/>
      <c r="C620" s="116"/>
      <c r="D620" s="116"/>
      <c r="E620" s="116"/>
      <c r="F620" s="116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  <c r="AA620" s="117"/>
      <c r="AB620" s="117"/>
    </row>
    <row r="621">
      <c r="A621" s="114"/>
      <c r="B621" s="117"/>
      <c r="C621" s="116"/>
      <c r="D621" s="116"/>
      <c r="E621" s="116"/>
      <c r="F621" s="116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  <c r="AA621" s="117"/>
      <c r="AB621" s="117"/>
    </row>
    <row r="622">
      <c r="A622" s="114"/>
      <c r="B622" s="117"/>
      <c r="C622" s="116"/>
      <c r="D622" s="116"/>
      <c r="E622" s="116"/>
      <c r="F622" s="116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  <c r="AA622" s="117"/>
      <c r="AB622" s="117"/>
    </row>
    <row r="623">
      <c r="A623" s="114"/>
      <c r="B623" s="117"/>
      <c r="C623" s="116"/>
      <c r="D623" s="116"/>
      <c r="E623" s="116"/>
      <c r="F623" s="116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  <c r="AA623" s="117"/>
      <c r="AB623" s="117"/>
    </row>
    <row r="624">
      <c r="A624" s="114"/>
      <c r="B624" s="117"/>
      <c r="C624" s="116"/>
      <c r="D624" s="116"/>
      <c r="E624" s="116"/>
      <c r="F624" s="116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  <c r="AA624" s="117"/>
      <c r="AB624" s="117"/>
    </row>
    <row r="625">
      <c r="A625" s="114"/>
      <c r="B625" s="117"/>
      <c r="C625" s="116"/>
      <c r="D625" s="116"/>
      <c r="E625" s="116"/>
      <c r="F625" s="116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  <c r="AA625" s="117"/>
      <c r="AB625" s="117"/>
    </row>
    <row r="626">
      <c r="A626" s="114"/>
      <c r="B626" s="117"/>
      <c r="C626" s="116"/>
      <c r="D626" s="116"/>
      <c r="E626" s="116"/>
      <c r="F626" s="116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  <c r="AA626" s="117"/>
      <c r="AB626" s="117"/>
    </row>
    <row r="627">
      <c r="A627" s="114"/>
      <c r="B627" s="117"/>
      <c r="C627" s="116"/>
      <c r="D627" s="116"/>
      <c r="E627" s="116"/>
      <c r="F627" s="116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  <c r="AA627" s="117"/>
      <c r="AB627" s="117"/>
    </row>
    <row r="628">
      <c r="A628" s="114"/>
      <c r="B628" s="117"/>
      <c r="C628" s="116"/>
      <c r="D628" s="116"/>
      <c r="E628" s="116"/>
      <c r="F628" s="116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  <c r="AA628" s="117"/>
      <c r="AB628" s="117"/>
    </row>
    <row r="629">
      <c r="A629" s="114"/>
      <c r="B629" s="117"/>
      <c r="C629" s="116"/>
      <c r="D629" s="116"/>
      <c r="E629" s="116"/>
      <c r="F629" s="116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  <c r="AA629" s="117"/>
      <c r="AB629" s="117"/>
    </row>
    <row r="630">
      <c r="A630" s="114"/>
      <c r="B630" s="117"/>
      <c r="C630" s="116"/>
      <c r="D630" s="116"/>
      <c r="E630" s="116"/>
      <c r="F630" s="116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117"/>
      <c r="AB630" s="117"/>
    </row>
    <row r="631">
      <c r="A631" s="114"/>
      <c r="B631" s="117"/>
      <c r="C631" s="116"/>
      <c r="D631" s="116"/>
      <c r="E631" s="116"/>
      <c r="F631" s="116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  <c r="AA631" s="117"/>
      <c r="AB631" s="117"/>
    </row>
    <row r="632">
      <c r="A632" s="114"/>
      <c r="B632" s="117"/>
      <c r="C632" s="116"/>
      <c r="D632" s="116"/>
      <c r="E632" s="116"/>
      <c r="F632" s="116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  <c r="AA632" s="117"/>
      <c r="AB632" s="117"/>
    </row>
    <row r="633">
      <c r="A633" s="114"/>
      <c r="B633" s="117"/>
      <c r="C633" s="116"/>
      <c r="D633" s="116"/>
      <c r="E633" s="116"/>
      <c r="F633" s="116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  <c r="AA633" s="117"/>
      <c r="AB633" s="117"/>
    </row>
    <row r="634">
      <c r="A634" s="114"/>
      <c r="B634" s="117"/>
      <c r="C634" s="116"/>
      <c r="D634" s="116"/>
      <c r="E634" s="116"/>
      <c r="F634" s="116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  <c r="AA634" s="117"/>
      <c r="AB634" s="117"/>
    </row>
    <row r="635">
      <c r="A635" s="114"/>
      <c r="B635" s="117"/>
      <c r="C635" s="116"/>
      <c r="D635" s="116"/>
      <c r="E635" s="116"/>
      <c r="F635" s="116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  <c r="AA635" s="117"/>
      <c r="AB635" s="117"/>
    </row>
    <row r="636">
      <c r="A636" s="114"/>
      <c r="B636" s="117"/>
      <c r="C636" s="116"/>
      <c r="D636" s="116"/>
      <c r="E636" s="116"/>
      <c r="F636" s="116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  <c r="AA636" s="117"/>
      <c r="AB636" s="117"/>
    </row>
    <row r="637">
      <c r="A637" s="114"/>
      <c r="B637" s="117"/>
      <c r="C637" s="116"/>
      <c r="D637" s="116"/>
      <c r="E637" s="116"/>
      <c r="F637" s="116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  <c r="AA637" s="117"/>
      <c r="AB637" s="117"/>
    </row>
    <row r="638">
      <c r="A638" s="114"/>
      <c r="B638" s="117"/>
      <c r="C638" s="116"/>
      <c r="D638" s="116"/>
      <c r="E638" s="116"/>
      <c r="F638" s="116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  <c r="AA638" s="117"/>
      <c r="AB638" s="117"/>
    </row>
    <row r="639">
      <c r="A639" s="114"/>
      <c r="B639" s="117"/>
      <c r="C639" s="116"/>
      <c r="D639" s="116"/>
      <c r="E639" s="116"/>
      <c r="F639" s="116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  <c r="AA639" s="117"/>
      <c r="AB639" s="117"/>
    </row>
    <row r="640">
      <c r="A640" s="114"/>
      <c r="B640" s="117"/>
      <c r="C640" s="116"/>
      <c r="D640" s="116"/>
      <c r="E640" s="116"/>
      <c r="F640" s="116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  <c r="AA640" s="117"/>
      <c r="AB640" s="117"/>
    </row>
    <row r="641">
      <c r="A641" s="114"/>
      <c r="B641" s="117"/>
      <c r="C641" s="116"/>
      <c r="D641" s="116"/>
      <c r="E641" s="116"/>
      <c r="F641" s="116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  <c r="AA641" s="117"/>
      <c r="AB641" s="117"/>
    </row>
    <row r="642">
      <c r="A642" s="114"/>
      <c r="B642" s="117"/>
      <c r="C642" s="116"/>
      <c r="D642" s="116"/>
      <c r="E642" s="116"/>
      <c r="F642" s="116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  <c r="AA642" s="117"/>
      <c r="AB642" s="117"/>
    </row>
    <row r="643">
      <c r="A643" s="114"/>
      <c r="B643" s="117"/>
      <c r="C643" s="116"/>
      <c r="D643" s="116"/>
      <c r="E643" s="116"/>
      <c r="F643" s="116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  <c r="AA643" s="117"/>
      <c r="AB643" s="117"/>
    </row>
    <row r="644">
      <c r="A644" s="114"/>
      <c r="B644" s="117"/>
      <c r="C644" s="116"/>
      <c r="D644" s="116"/>
      <c r="E644" s="116"/>
      <c r="F644" s="116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  <c r="AA644" s="117"/>
      <c r="AB644" s="117"/>
    </row>
    <row r="645">
      <c r="A645" s="114"/>
      <c r="B645" s="117"/>
      <c r="C645" s="116"/>
      <c r="D645" s="116"/>
      <c r="E645" s="116"/>
      <c r="F645" s="116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  <c r="AA645" s="117"/>
      <c r="AB645" s="117"/>
    </row>
    <row r="646">
      <c r="A646" s="114"/>
      <c r="B646" s="117"/>
      <c r="C646" s="116"/>
      <c r="D646" s="116"/>
      <c r="E646" s="116"/>
      <c r="F646" s="116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  <c r="AA646" s="117"/>
      <c r="AB646" s="117"/>
    </row>
    <row r="647">
      <c r="A647" s="114"/>
      <c r="B647" s="117"/>
      <c r="C647" s="116"/>
      <c r="D647" s="116"/>
      <c r="E647" s="116"/>
      <c r="F647" s="116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  <c r="AA647" s="117"/>
      <c r="AB647" s="117"/>
    </row>
    <row r="648">
      <c r="A648" s="114"/>
      <c r="B648" s="117"/>
      <c r="C648" s="116"/>
      <c r="D648" s="116"/>
      <c r="E648" s="116"/>
      <c r="F648" s="116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  <c r="AA648" s="117"/>
      <c r="AB648" s="117"/>
    </row>
    <row r="649">
      <c r="A649" s="114"/>
      <c r="B649" s="117"/>
      <c r="C649" s="116"/>
      <c r="D649" s="116"/>
      <c r="E649" s="116"/>
      <c r="F649" s="116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  <c r="AA649" s="117"/>
      <c r="AB649" s="117"/>
    </row>
    <row r="650">
      <c r="A650" s="114"/>
      <c r="B650" s="117"/>
      <c r="C650" s="116"/>
      <c r="D650" s="116"/>
      <c r="E650" s="116"/>
      <c r="F650" s="116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  <c r="AA650" s="117"/>
      <c r="AB650" s="117"/>
    </row>
    <row r="651">
      <c r="A651" s="114"/>
      <c r="B651" s="117"/>
      <c r="C651" s="116"/>
      <c r="D651" s="116"/>
      <c r="E651" s="116"/>
      <c r="F651" s="116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  <c r="AA651" s="117"/>
      <c r="AB651" s="117"/>
    </row>
    <row r="652">
      <c r="A652" s="114"/>
      <c r="B652" s="117"/>
      <c r="C652" s="116"/>
      <c r="D652" s="116"/>
      <c r="E652" s="116"/>
      <c r="F652" s="116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  <c r="AA652" s="117"/>
      <c r="AB652" s="117"/>
    </row>
    <row r="653">
      <c r="A653" s="114"/>
      <c r="B653" s="117"/>
      <c r="C653" s="116"/>
      <c r="D653" s="116"/>
      <c r="E653" s="116"/>
      <c r="F653" s="116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  <c r="AA653" s="117"/>
      <c r="AB653" s="117"/>
    </row>
    <row r="654">
      <c r="A654" s="114"/>
      <c r="B654" s="117"/>
      <c r="C654" s="116"/>
      <c r="D654" s="116"/>
      <c r="E654" s="116"/>
      <c r="F654" s="116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  <c r="AA654" s="117"/>
      <c r="AB654" s="117"/>
    </row>
    <row r="655">
      <c r="A655" s="114"/>
      <c r="B655" s="117"/>
      <c r="C655" s="116"/>
      <c r="D655" s="116"/>
      <c r="E655" s="116"/>
      <c r="F655" s="116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  <c r="AA655" s="117"/>
      <c r="AB655" s="117"/>
    </row>
    <row r="656">
      <c r="A656" s="114"/>
      <c r="B656" s="117"/>
      <c r="C656" s="116"/>
      <c r="D656" s="116"/>
      <c r="E656" s="116"/>
      <c r="F656" s="116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  <c r="AA656" s="117"/>
      <c r="AB656" s="117"/>
    </row>
    <row r="657">
      <c r="A657" s="114"/>
      <c r="B657" s="117"/>
      <c r="C657" s="116"/>
      <c r="D657" s="116"/>
      <c r="E657" s="116"/>
      <c r="F657" s="116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  <c r="AA657" s="117"/>
      <c r="AB657" s="117"/>
    </row>
    <row r="658">
      <c r="A658" s="114"/>
      <c r="B658" s="117"/>
      <c r="C658" s="116"/>
      <c r="D658" s="116"/>
      <c r="E658" s="116"/>
      <c r="F658" s="116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  <c r="AA658" s="117"/>
      <c r="AB658" s="117"/>
    </row>
    <row r="659">
      <c r="A659" s="114"/>
      <c r="B659" s="117"/>
      <c r="C659" s="116"/>
      <c r="D659" s="116"/>
      <c r="E659" s="116"/>
      <c r="F659" s="116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  <c r="AA659" s="117"/>
      <c r="AB659" s="117"/>
    </row>
    <row r="660">
      <c r="A660" s="114"/>
      <c r="B660" s="117"/>
      <c r="C660" s="116"/>
      <c r="D660" s="116"/>
      <c r="E660" s="116"/>
      <c r="F660" s="116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  <c r="AA660" s="117"/>
      <c r="AB660" s="117"/>
    </row>
    <row r="661">
      <c r="A661" s="114"/>
      <c r="B661" s="117"/>
      <c r="C661" s="116"/>
      <c r="D661" s="116"/>
      <c r="E661" s="116"/>
      <c r="F661" s="116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17"/>
      <c r="Y661" s="117"/>
      <c r="Z661" s="117"/>
      <c r="AA661" s="117"/>
      <c r="AB661" s="117"/>
    </row>
    <row r="662">
      <c r="A662" s="114"/>
      <c r="B662" s="117"/>
      <c r="C662" s="116"/>
      <c r="D662" s="116"/>
      <c r="E662" s="116"/>
      <c r="F662" s="116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  <c r="AA662" s="117"/>
      <c r="AB662" s="117"/>
    </row>
    <row r="663">
      <c r="A663" s="114"/>
      <c r="B663" s="117"/>
      <c r="C663" s="116"/>
      <c r="D663" s="116"/>
      <c r="E663" s="116"/>
      <c r="F663" s="116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  <c r="AA663" s="117"/>
      <c r="AB663" s="117"/>
    </row>
    <row r="664">
      <c r="A664" s="114"/>
      <c r="B664" s="117"/>
      <c r="C664" s="116"/>
      <c r="D664" s="116"/>
      <c r="E664" s="116"/>
      <c r="F664" s="116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  <c r="AA664" s="117"/>
      <c r="AB664" s="117"/>
    </row>
    <row r="665">
      <c r="A665" s="114"/>
      <c r="B665" s="117"/>
      <c r="C665" s="116"/>
      <c r="D665" s="116"/>
      <c r="E665" s="116"/>
      <c r="F665" s="116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  <c r="AA665" s="117"/>
      <c r="AB665" s="117"/>
    </row>
    <row r="666">
      <c r="A666" s="114"/>
      <c r="B666" s="117"/>
      <c r="C666" s="116"/>
      <c r="D666" s="116"/>
      <c r="E666" s="116"/>
      <c r="F666" s="116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  <c r="AA666" s="117"/>
      <c r="AB666" s="117"/>
    </row>
    <row r="667">
      <c r="A667" s="114"/>
      <c r="B667" s="117"/>
      <c r="C667" s="116"/>
      <c r="D667" s="116"/>
      <c r="E667" s="116"/>
      <c r="F667" s="116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  <c r="AA667" s="117"/>
      <c r="AB667" s="117"/>
    </row>
    <row r="668">
      <c r="A668" s="114"/>
      <c r="B668" s="117"/>
      <c r="C668" s="116"/>
      <c r="D668" s="116"/>
      <c r="E668" s="116"/>
      <c r="F668" s="116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117"/>
      <c r="AB668" s="117"/>
    </row>
    <row r="669">
      <c r="A669" s="114"/>
      <c r="B669" s="117"/>
      <c r="C669" s="116"/>
      <c r="D669" s="116"/>
      <c r="E669" s="116"/>
      <c r="F669" s="116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  <c r="AA669" s="117"/>
      <c r="AB669" s="117"/>
    </row>
    <row r="670">
      <c r="A670" s="114"/>
      <c r="B670" s="117"/>
      <c r="C670" s="116"/>
      <c r="D670" s="116"/>
      <c r="E670" s="116"/>
      <c r="F670" s="116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  <c r="AA670" s="117"/>
      <c r="AB670" s="117"/>
    </row>
    <row r="671">
      <c r="A671" s="114"/>
      <c r="B671" s="117"/>
      <c r="C671" s="116"/>
      <c r="D671" s="116"/>
      <c r="E671" s="116"/>
      <c r="F671" s="116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  <c r="AA671" s="117"/>
      <c r="AB671" s="117"/>
    </row>
    <row r="672">
      <c r="A672" s="114"/>
      <c r="B672" s="117"/>
      <c r="C672" s="116"/>
      <c r="D672" s="116"/>
      <c r="E672" s="116"/>
      <c r="F672" s="116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  <c r="AA672" s="117"/>
      <c r="AB672" s="117"/>
    </row>
    <row r="673">
      <c r="A673" s="114"/>
      <c r="B673" s="117"/>
      <c r="C673" s="116"/>
      <c r="D673" s="116"/>
      <c r="E673" s="116"/>
      <c r="F673" s="116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17"/>
      <c r="Y673" s="117"/>
      <c r="Z673" s="117"/>
      <c r="AA673" s="117"/>
      <c r="AB673" s="117"/>
    </row>
    <row r="674">
      <c r="A674" s="114"/>
      <c r="B674" s="117"/>
      <c r="C674" s="116"/>
      <c r="D674" s="116"/>
      <c r="E674" s="116"/>
      <c r="F674" s="116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  <c r="AA674" s="117"/>
      <c r="AB674" s="117"/>
    </row>
    <row r="675">
      <c r="A675" s="114"/>
      <c r="B675" s="117"/>
      <c r="C675" s="116"/>
      <c r="D675" s="116"/>
      <c r="E675" s="116"/>
      <c r="F675" s="116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  <c r="AA675" s="117"/>
      <c r="AB675" s="117"/>
    </row>
    <row r="676">
      <c r="A676" s="114"/>
      <c r="B676" s="117"/>
      <c r="C676" s="116"/>
      <c r="D676" s="116"/>
      <c r="E676" s="116"/>
      <c r="F676" s="116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  <c r="AA676" s="117"/>
      <c r="AB676" s="117"/>
    </row>
    <row r="677">
      <c r="A677" s="114"/>
      <c r="B677" s="117"/>
      <c r="C677" s="116"/>
      <c r="D677" s="116"/>
      <c r="E677" s="116"/>
      <c r="F677" s="116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  <c r="AA677" s="117"/>
      <c r="AB677" s="117"/>
    </row>
    <row r="678">
      <c r="A678" s="114"/>
      <c r="B678" s="117"/>
      <c r="C678" s="116"/>
      <c r="D678" s="116"/>
      <c r="E678" s="116"/>
      <c r="F678" s="116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  <c r="AA678" s="117"/>
      <c r="AB678" s="117"/>
    </row>
    <row r="679">
      <c r="A679" s="114"/>
      <c r="B679" s="117"/>
      <c r="C679" s="116"/>
      <c r="D679" s="116"/>
      <c r="E679" s="116"/>
      <c r="F679" s="116"/>
      <c r="G679" s="117"/>
      <c r="H679" s="117"/>
      <c r="I679" s="11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  <c r="AA679" s="117"/>
      <c r="AB679" s="117"/>
    </row>
    <row r="680">
      <c r="A680" s="114"/>
      <c r="B680" s="117"/>
      <c r="C680" s="116"/>
      <c r="D680" s="116"/>
      <c r="E680" s="116"/>
      <c r="F680" s="116"/>
      <c r="G680" s="117"/>
      <c r="H680" s="117"/>
      <c r="I680" s="117"/>
      <c r="J680" s="117"/>
      <c r="K680" s="117"/>
      <c r="L680" s="117"/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  <c r="AA680" s="117"/>
      <c r="AB680" s="117"/>
    </row>
    <row r="681">
      <c r="A681" s="114"/>
      <c r="B681" s="117"/>
      <c r="C681" s="116"/>
      <c r="D681" s="116"/>
      <c r="E681" s="116"/>
      <c r="F681" s="116"/>
      <c r="G681" s="117"/>
      <c r="H681" s="117"/>
      <c r="I681" s="117"/>
      <c r="J681" s="117"/>
      <c r="K681" s="117"/>
      <c r="L681" s="117"/>
      <c r="M681" s="117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  <c r="AA681" s="117"/>
      <c r="AB681" s="117"/>
    </row>
    <row r="682">
      <c r="A682" s="114"/>
      <c r="B682" s="117"/>
      <c r="C682" s="116"/>
      <c r="D682" s="116"/>
      <c r="E682" s="116"/>
      <c r="F682" s="116"/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  <c r="AA682" s="117"/>
      <c r="AB682" s="117"/>
    </row>
    <row r="683">
      <c r="A683" s="114"/>
      <c r="B683" s="117"/>
      <c r="C683" s="116"/>
      <c r="D683" s="116"/>
      <c r="E683" s="116"/>
      <c r="F683" s="116"/>
      <c r="G683" s="117"/>
      <c r="H683" s="117"/>
      <c r="I683" s="117"/>
      <c r="J683" s="117"/>
      <c r="K683" s="117"/>
      <c r="L683" s="117"/>
      <c r="M683" s="117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  <c r="AA683" s="117"/>
      <c r="AB683" s="117"/>
    </row>
    <row r="684">
      <c r="A684" s="114"/>
      <c r="B684" s="117"/>
      <c r="C684" s="116"/>
      <c r="D684" s="116"/>
      <c r="E684" s="116"/>
      <c r="F684" s="116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  <c r="AA684" s="117"/>
      <c r="AB684" s="117"/>
    </row>
    <row r="685">
      <c r="A685" s="114"/>
      <c r="B685" s="117"/>
      <c r="C685" s="116"/>
      <c r="D685" s="116"/>
      <c r="E685" s="116"/>
      <c r="F685" s="116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17"/>
      <c r="Y685" s="117"/>
      <c r="Z685" s="117"/>
      <c r="AA685" s="117"/>
      <c r="AB685" s="117"/>
    </row>
    <row r="686">
      <c r="A686" s="114"/>
      <c r="B686" s="117"/>
      <c r="C686" s="116"/>
      <c r="D686" s="116"/>
      <c r="E686" s="116"/>
      <c r="F686" s="116"/>
      <c r="G686" s="117"/>
      <c r="H686" s="117"/>
      <c r="I686" s="117"/>
      <c r="J686" s="117"/>
      <c r="K686" s="117"/>
      <c r="L686" s="117"/>
      <c r="M686" s="117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  <c r="AA686" s="117"/>
      <c r="AB686" s="117"/>
    </row>
    <row r="687">
      <c r="A687" s="114"/>
      <c r="B687" s="117"/>
      <c r="C687" s="116"/>
      <c r="D687" s="116"/>
      <c r="E687" s="116"/>
      <c r="F687" s="116"/>
      <c r="G687" s="117"/>
      <c r="H687" s="117"/>
      <c r="I687" s="117"/>
      <c r="J687" s="117"/>
      <c r="K687" s="117"/>
      <c r="L687" s="117"/>
      <c r="M687" s="117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  <c r="AA687" s="117"/>
      <c r="AB687" s="117"/>
    </row>
    <row r="688">
      <c r="A688" s="114"/>
      <c r="B688" s="117"/>
      <c r="C688" s="116"/>
      <c r="D688" s="116"/>
      <c r="E688" s="116"/>
      <c r="F688" s="116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  <c r="AA688" s="117"/>
      <c r="AB688" s="117"/>
    </row>
    <row r="689">
      <c r="A689" s="114"/>
      <c r="B689" s="117"/>
      <c r="C689" s="116"/>
      <c r="D689" s="116"/>
      <c r="E689" s="116"/>
      <c r="F689" s="116"/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  <c r="AA689" s="117"/>
      <c r="AB689" s="117"/>
    </row>
    <row r="690">
      <c r="A690" s="114"/>
      <c r="B690" s="117"/>
      <c r="C690" s="116"/>
      <c r="D690" s="116"/>
      <c r="E690" s="116"/>
      <c r="F690" s="116"/>
      <c r="G690" s="117"/>
      <c r="H690" s="117"/>
      <c r="I690" s="11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  <c r="AA690" s="117"/>
      <c r="AB690" s="117"/>
    </row>
    <row r="691">
      <c r="A691" s="114"/>
      <c r="B691" s="117"/>
      <c r="C691" s="116"/>
      <c r="D691" s="116"/>
      <c r="E691" s="116"/>
      <c r="F691" s="116"/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  <c r="AA691" s="117"/>
      <c r="AB691" s="117"/>
    </row>
    <row r="692">
      <c r="A692" s="114"/>
      <c r="B692" s="117"/>
      <c r="C692" s="116"/>
      <c r="D692" s="116"/>
      <c r="E692" s="116"/>
      <c r="F692" s="116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  <c r="AA692" s="117"/>
      <c r="AB692" s="117"/>
    </row>
    <row r="693">
      <c r="A693" s="114"/>
      <c r="B693" s="117"/>
      <c r="C693" s="116"/>
      <c r="D693" s="116"/>
      <c r="E693" s="116"/>
      <c r="F693" s="116"/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  <c r="AA693" s="117"/>
      <c r="AB693" s="117"/>
    </row>
    <row r="694">
      <c r="A694" s="114"/>
      <c r="B694" s="117"/>
      <c r="C694" s="116"/>
      <c r="D694" s="116"/>
      <c r="E694" s="116"/>
      <c r="F694" s="116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  <c r="AA694" s="117"/>
      <c r="AB694" s="117"/>
    </row>
    <row r="695">
      <c r="A695" s="114"/>
      <c r="B695" s="117"/>
      <c r="C695" s="116"/>
      <c r="D695" s="116"/>
      <c r="E695" s="116"/>
      <c r="F695" s="116"/>
      <c r="G695" s="117"/>
      <c r="H695" s="117"/>
      <c r="I695" s="117"/>
      <c r="J695" s="117"/>
      <c r="K695" s="117"/>
      <c r="L695" s="117"/>
      <c r="M695" s="117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  <c r="AA695" s="117"/>
      <c r="AB695" s="117"/>
    </row>
    <row r="696">
      <c r="A696" s="114"/>
      <c r="B696" s="117"/>
      <c r="C696" s="116"/>
      <c r="D696" s="116"/>
      <c r="E696" s="116"/>
      <c r="F696" s="116"/>
      <c r="G696" s="117"/>
      <c r="H696" s="117"/>
      <c r="I696" s="11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  <c r="AA696" s="117"/>
      <c r="AB696" s="117"/>
    </row>
    <row r="697">
      <c r="A697" s="114"/>
      <c r="B697" s="117"/>
      <c r="C697" s="116"/>
      <c r="D697" s="116"/>
      <c r="E697" s="116"/>
      <c r="F697" s="116"/>
      <c r="G697" s="117"/>
      <c r="H697" s="117"/>
      <c r="I697" s="117"/>
      <c r="J697" s="117"/>
      <c r="K697" s="117"/>
      <c r="L697" s="117"/>
      <c r="M697" s="117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  <c r="AA697" s="117"/>
      <c r="AB697" s="117"/>
    </row>
    <row r="698">
      <c r="A698" s="114"/>
      <c r="B698" s="117"/>
      <c r="C698" s="116"/>
      <c r="D698" s="116"/>
      <c r="E698" s="116"/>
      <c r="F698" s="116"/>
      <c r="G698" s="117"/>
      <c r="H698" s="117"/>
      <c r="I698" s="117"/>
      <c r="J698" s="117"/>
      <c r="K698" s="117"/>
      <c r="L698" s="117"/>
      <c r="M698" s="117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  <c r="AA698" s="117"/>
      <c r="AB698" s="117"/>
    </row>
    <row r="699">
      <c r="A699" s="114"/>
      <c r="B699" s="117"/>
      <c r="C699" s="116"/>
      <c r="D699" s="116"/>
      <c r="E699" s="116"/>
      <c r="F699" s="116"/>
      <c r="G699" s="117"/>
      <c r="H699" s="117"/>
      <c r="I699" s="11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  <c r="AA699" s="117"/>
      <c r="AB699" s="117"/>
    </row>
    <row r="700">
      <c r="A700" s="114"/>
      <c r="B700" s="117"/>
      <c r="C700" s="116"/>
      <c r="D700" s="116"/>
      <c r="E700" s="116"/>
      <c r="F700" s="116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  <c r="AA700" s="117"/>
      <c r="AB700" s="117"/>
    </row>
    <row r="701">
      <c r="A701" s="114"/>
      <c r="B701" s="117"/>
      <c r="C701" s="116"/>
      <c r="D701" s="116"/>
      <c r="E701" s="116"/>
      <c r="F701" s="116"/>
      <c r="G701" s="117"/>
      <c r="H701" s="117"/>
      <c r="I701" s="117"/>
      <c r="J701" s="117"/>
      <c r="K701" s="117"/>
      <c r="L701" s="117"/>
      <c r="M701" s="117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  <c r="AA701" s="117"/>
      <c r="AB701" s="117"/>
    </row>
    <row r="702">
      <c r="A702" s="114"/>
      <c r="B702" s="117"/>
      <c r="C702" s="116"/>
      <c r="D702" s="116"/>
      <c r="E702" s="116"/>
      <c r="F702" s="116"/>
      <c r="G702" s="117"/>
      <c r="H702" s="117"/>
      <c r="I702" s="117"/>
      <c r="J702" s="117"/>
      <c r="K702" s="117"/>
      <c r="L702" s="117"/>
      <c r="M702" s="117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  <c r="AA702" s="117"/>
      <c r="AB702" s="117"/>
    </row>
    <row r="703">
      <c r="A703" s="114"/>
      <c r="B703" s="117"/>
      <c r="C703" s="116"/>
      <c r="D703" s="116"/>
      <c r="E703" s="116"/>
      <c r="F703" s="116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  <c r="AA703" s="117"/>
      <c r="AB703" s="117"/>
    </row>
    <row r="704">
      <c r="A704" s="114"/>
      <c r="B704" s="117"/>
      <c r="C704" s="116"/>
      <c r="D704" s="116"/>
      <c r="E704" s="116"/>
      <c r="F704" s="116"/>
      <c r="G704" s="117"/>
      <c r="H704" s="117"/>
      <c r="I704" s="11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  <c r="AA704" s="117"/>
      <c r="AB704" s="117"/>
    </row>
    <row r="705">
      <c r="A705" s="114"/>
      <c r="B705" s="117"/>
      <c r="C705" s="116"/>
      <c r="D705" s="116"/>
      <c r="E705" s="116"/>
      <c r="F705" s="116"/>
      <c r="G705" s="117"/>
      <c r="H705" s="117"/>
      <c r="I705" s="117"/>
      <c r="J705" s="117"/>
      <c r="K705" s="117"/>
      <c r="L705" s="117"/>
      <c r="M705" s="117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  <c r="AA705" s="117"/>
      <c r="AB705" s="117"/>
    </row>
    <row r="706">
      <c r="A706" s="114"/>
      <c r="B706" s="117"/>
      <c r="C706" s="116"/>
      <c r="D706" s="116"/>
      <c r="E706" s="116"/>
      <c r="F706" s="116"/>
      <c r="G706" s="117"/>
      <c r="H706" s="117"/>
      <c r="I706" s="117"/>
      <c r="J706" s="117"/>
      <c r="K706" s="117"/>
      <c r="L706" s="117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117"/>
      <c r="AB706" s="117"/>
    </row>
    <row r="707">
      <c r="A707" s="114"/>
      <c r="B707" s="117"/>
      <c r="C707" s="116"/>
      <c r="D707" s="116"/>
      <c r="E707" s="116"/>
      <c r="F707" s="116"/>
      <c r="G707" s="117"/>
      <c r="H707" s="117"/>
      <c r="I707" s="117"/>
      <c r="J707" s="117"/>
      <c r="K707" s="117"/>
      <c r="L707" s="117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  <c r="AA707" s="117"/>
      <c r="AB707" s="117"/>
    </row>
    <row r="708">
      <c r="A708" s="114"/>
      <c r="B708" s="117"/>
      <c r="C708" s="116"/>
      <c r="D708" s="116"/>
      <c r="E708" s="116"/>
      <c r="F708" s="116"/>
      <c r="G708" s="117"/>
      <c r="H708" s="117"/>
      <c r="I708" s="117"/>
      <c r="J708" s="117"/>
      <c r="K708" s="117"/>
      <c r="L708" s="117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  <c r="AA708" s="117"/>
      <c r="AB708" s="117"/>
    </row>
    <row r="709">
      <c r="A709" s="114"/>
      <c r="B709" s="117"/>
      <c r="C709" s="116"/>
      <c r="D709" s="116"/>
      <c r="E709" s="116"/>
      <c r="F709" s="116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  <c r="AA709" s="117"/>
      <c r="AB709" s="117"/>
    </row>
    <row r="710">
      <c r="A710" s="114"/>
      <c r="B710" s="117"/>
      <c r="C710" s="116"/>
      <c r="D710" s="116"/>
      <c r="E710" s="116"/>
      <c r="F710" s="116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  <c r="AA710" s="117"/>
      <c r="AB710" s="117"/>
    </row>
    <row r="711">
      <c r="A711" s="114"/>
      <c r="B711" s="117"/>
      <c r="C711" s="116"/>
      <c r="D711" s="116"/>
      <c r="E711" s="116"/>
      <c r="F711" s="116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  <c r="AA711" s="117"/>
      <c r="AB711" s="117"/>
    </row>
    <row r="712">
      <c r="A712" s="114"/>
      <c r="B712" s="117"/>
      <c r="C712" s="116"/>
      <c r="D712" s="116"/>
      <c r="E712" s="116"/>
      <c r="F712" s="116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  <c r="AA712" s="117"/>
      <c r="AB712" s="117"/>
    </row>
    <row r="713">
      <c r="A713" s="114"/>
      <c r="B713" s="117"/>
      <c r="C713" s="116"/>
      <c r="D713" s="116"/>
      <c r="E713" s="116"/>
      <c r="F713" s="116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  <c r="AA713" s="117"/>
      <c r="AB713" s="117"/>
    </row>
    <row r="714">
      <c r="A714" s="114"/>
      <c r="B714" s="117"/>
      <c r="C714" s="116"/>
      <c r="D714" s="116"/>
      <c r="E714" s="116"/>
      <c r="F714" s="116"/>
      <c r="G714" s="117"/>
      <c r="H714" s="117"/>
      <c r="I714" s="117"/>
      <c r="J714" s="117"/>
      <c r="K714" s="117"/>
      <c r="L714" s="117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  <c r="AA714" s="117"/>
      <c r="AB714" s="117"/>
    </row>
    <row r="715">
      <c r="A715" s="114"/>
      <c r="B715" s="117"/>
      <c r="C715" s="116"/>
      <c r="D715" s="116"/>
      <c r="E715" s="116"/>
      <c r="F715" s="116"/>
      <c r="G715" s="117"/>
      <c r="H715" s="117"/>
      <c r="I715" s="117"/>
      <c r="J715" s="117"/>
      <c r="K715" s="117"/>
      <c r="L715" s="117"/>
      <c r="M715" s="117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  <c r="AA715" s="117"/>
      <c r="AB715" s="117"/>
    </row>
    <row r="716">
      <c r="A716" s="114"/>
      <c r="B716" s="117"/>
      <c r="C716" s="116"/>
      <c r="D716" s="116"/>
      <c r="E716" s="116"/>
      <c r="F716" s="116"/>
      <c r="G716" s="117"/>
      <c r="H716" s="117"/>
      <c r="I716" s="117"/>
      <c r="J716" s="117"/>
      <c r="K716" s="117"/>
      <c r="L716" s="117"/>
      <c r="M716" s="117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  <c r="AA716" s="117"/>
      <c r="AB716" s="117"/>
    </row>
    <row r="717">
      <c r="A717" s="114"/>
      <c r="B717" s="117"/>
      <c r="C717" s="116"/>
      <c r="D717" s="116"/>
      <c r="E717" s="116"/>
      <c r="F717" s="116"/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  <c r="AA717" s="117"/>
      <c r="AB717" s="117"/>
    </row>
    <row r="718">
      <c r="A718" s="114"/>
      <c r="B718" s="117"/>
      <c r="C718" s="116"/>
      <c r="D718" s="116"/>
      <c r="E718" s="116"/>
      <c r="F718" s="116"/>
      <c r="G718" s="117"/>
      <c r="H718" s="117"/>
      <c r="I718" s="117"/>
      <c r="J718" s="117"/>
      <c r="K718" s="117"/>
      <c r="L718" s="117"/>
      <c r="M718" s="117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  <c r="AA718" s="117"/>
      <c r="AB718" s="117"/>
    </row>
    <row r="719">
      <c r="A719" s="114"/>
      <c r="B719" s="117"/>
      <c r="C719" s="116"/>
      <c r="D719" s="116"/>
      <c r="E719" s="116"/>
      <c r="F719" s="116"/>
      <c r="G719" s="117"/>
      <c r="H719" s="117"/>
      <c r="I719" s="117"/>
      <c r="J719" s="117"/>
      <c r="K719" s="117"/>
      <c r="L719" s="117"/>
      <c r="M719" s="117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  <c r="AA719" s="117"/>
      <c r="AB719" s="117"/>
    </row>
    <row r="720">
      <c r="A720" s="114"/>
      <c r="B720" s="117"/>
      <c r="C720" s="116"/>
      <c r="D720" s="116"/>
      <c r="E720" s="116"/>
      <c r="F720" s="116"/>
      <c r="G720" s="117"/>
      <c r="H720" s="117"/>
      <c r="I720" s="117"/>
      <c r="J720" s="117"/>
      <c r="K720" s="117"/>
      <c r="L720" s="117"/>
      <c r="M720" s="117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  <c r="AA720" s="117"/>
      <c r="AB720" s="117"/>
    </row>
    <row r="721">
      <c r="A721" s="114"/>
      <c r="B721" s="117"/>
      <c r="C721" s="116"/>
      <c r="D721" s="116"/>
      <c r="E721" s="116"/>
      <c r="F721" s="116"/>
      <c r="G721" s="117"/>
      <c r="H721" s="117"/>
      <c r="I721" s="117"/>
      <c r="J721" s="117"/>
      <c r="K721" s="117"/>
      <c r="L721" s="117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  <c r="AA721" s="117"/>
      <c r="AB721" s="117"/>
    </row>
    <row r="722">
      <c r="A722" s="114"/>
      <c r="B722" s="117"/>
      <c r="C722" s="116"/>
      <c r="D722" s="116"/>
      <c r="E722" s="116"/>
      <c r="F722" s="116"/>
      <c r="G722" s="117"/>
      <c r="H722" s="117"/>
      <c r="I722" s="117"/>
      <c r="J722" s="117"/>
      <c r="K722" s="117"/>
      <c r="L722" s="117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  <c r="AA722" s="117"/>
      <c r="AB722" s="117"/>
    </row>
    <row r="723">
      <c r="A723" s="114"/>
      <c r="B723" s="117"/>
      <c r="C723" s="116"/>
      <c r="D723" s="116"/>
      <c r="E723" s="116"/>
      <c r="F723" s="116"/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  <c r="AA723" s="117"/>
      <c r="AB723" s="117"/>
    </row>
    <row r="724">
      <c r="A724" s="114"/>
      <c r="B724" s="117"/>
      <c r="C724" s="116"/>
      <c r="D724" s="116"/>
      <c r="E724" s="116"/>
      <c r="F724" s="116"/>
      <c r="G724" s="117"/>
      <c r="H724" s="117"/>
      <c r="I724" s="117"/>
      <c r="J724" s="117"/>
      <c r="K724" s="117"/>
      <c r="L724" s="117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  <c r="AA724" s="117"/>
      <c r="AB724" s="117"/>
    </row>
    <row r="725">
      <c r="A725" s="114"/>
      <c r="B725" s="117"/>
      <c r="C725" s="116"/>
      <c r="D725" s="116"/>
      <c r="E725" s="116"/>
      <c r="F725" s="116"/>
      <c r="G725" s="117"/>
      <c r="H725" s="117"/>
      <c r="I725" s="117"/>
      <c r="J725" s="117"/>
      <c r="K725" s="117"/>
      <c r="L725" s="117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  <c r="AA725" s="117"/>
      <c r="AB725" s="117"/>
    </row>
    <row r="726">
      <c r="A726" s="114"/>
      <c r="B726" s="117"/>
      <c r="C726" s="116"/>
      <c r="D726" s="116"/>
      <c r="E726" s="116"/>
      <c r="F726" s="116"/>
      <c r="G726" s="117"/>
      <c r="H726" s="117"/>
      <c r="I726" s="117"/>
      <c r="J726" s="117"/>
      <c r="K726" s="117"/>
      <c r="L726" s="117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  <c r="AA726" s="117"/>
      <c r="AB726" s="117"/>
    </row>
    <row r="727">
      <c r="A727" s="114"/>
      <c r="B727" s="117"/>
      <c r="C727" s="116"/>
      <c r="D727" s="116"/>
      <c r="E727" s="116"/>
      <c r="F727" s="116"/>
      <c r="G727" s="117"/>
      <c r="H727" s="117"/>
      <c r="I727" s="117"/>
      <c r="J727" s="117"/>
      <c r="K727" s="117"/>
      <c r="L727" s="117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  <c r="AA727" s="117"/>
      <c r="AB727" s="117"/>
    </row>
    <row r="728">
      <c r="A728" s="114"/>
      <c r="B728" s="117"/>
      <c r="C728" s="116"/>
      <c r="D728" s="116"/>
      <c r="E728" s="116"/>
      <c r="F728" s="116"/>
      <c r="G728" s="117"/>
      <c r="H728" s="117"/>
      <c r="I728" s="117"/>
      <c r="J728" s="117"/>
      <c r="K728" s="117"/>
      <c r="L728" s="117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  <c r="AA728" s="117"/>
      <c r="AB728" s="117"/>
    </row>
    <row r="729">
      <c r="A729" s="114"/>
      <c r="B729" s="117"/>
      <c r="C729" s="116"/>
      <c r="D729" s="116"/>
      <c r="E729" s="116"/>
      <c r="F729" s="116"/>
      <c r="G729" s="117"/>
      <c r="H729" s="117"/>
      <c r="I729" s="117"/>
      <c r="J729" s="117"/>
      <c r="K729" s="117"/>
      <c r="L729" s="117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  <c r="AA729" s="117"/>
      <c r="AB729" s="117"/>
    </row>
    <row r="730">
      <c r="A730" s="114"/>
      <c r="B730" s="117"/>
      <c r="C730" s="116"/>
      <c r="D730" s="116"/>
      <c r="E730" s="116"/>
      <c r="F730" s="116"/>
      <c r="G730" s="117"/>
      <c r="H730" s="117"/>
      <c r="I730" s="117"/>
      <c r="J730" s="117"/>
      <c r="K730" s="117"/>
      <c r="L730" s="117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  <c r="AA730" s="117"/>
      <c r="AB730" s="117"/>
    </row>
    <row r="731">
      <c r="A731" s="114"/>
      <c r="B731" s="117"/>
      <c r="C731" s="116"/>
      <c r="D731" s="116"/>
      <c r="E731" s="116"/>
      <c r="F731" s="116"/>
      <c r="G731" s="117"/>
      <c r="H731" s="117"/>
      <c r="I731" s="117"/>
      <c r="J731" s="117"/>
      <c r="K731" s="117"/>
      <c r="L731" s="117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  <c r="AA731" s="117"/>
      <c r="AB731" s="117"/>
    </row>
    <row r="732">
      <c r="A732" s="114"/>
      <c r="B732" s="117"/>
      <c r="C732" s="116"/>
      <c r="D732" s="116"/>
      <c r="E732" s="116"/>
      <c r="F732" s="116"/>
      <c r="G732" s="117"/>
      <c r="H732" s="117"/>
      <c r="I732" s="117"/>
      <c r="J732" s="117"/>
      <c r="K732" s="117"/>
      <c r="L732" s="117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  <c r="AA732" s="117"/>
      <c r="AB732" s="117"/>
    </row>
    <row r="733">
      <c r="A733" s="114"/>
      <c r="B733" s="117"/>
      <c r="C733" s="116"/>
      <c r="D733" s="116"/>
      <c r="E733" s="116"/>
      <c r="F733" s="116"/>
      <c r="G733" s="117"/>
      <c r="H733" s="117"/>
      <c r="I733" s="117"/>
      <c r="J733" s="117"/>
      <c r="K733" s="117"/>
      <c r="L733" s="117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  <c r="AA733" s="117"/>
      <c r="AB733" s="117"/>
    </row>
    <row r="734">
      <c r="A734" s="114"/>
      <c r="B734" s="117"/>
      <c r="C734" s="116"/>
      <c r="D734" s="116"/>
      <c r="E734" s="116"/>
      <c r="F734" s="116"/>
      <c r="G734" s="117"/>
      <c r="H734" s="117"/>
      <c r="I734" s="117"/>
      <c r="J734" s="117"/>
      <c r="K734" s="117"/>
      <c r="L734" s="117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  <c r="AA734" s="117"/>
      <c r="AB734" s="117"/>
    </row>
    <row r="735">
      <c r="A735" s="114"/>
      <c r="B735" s="117"/>
      <c r="C735" s="116"/>
      <c r="D735" s="116"/>
      <c r="E735" s="116"/>
      <c r="F735" s="116"/>
      <c r="G735" s="117"/>
      <c r="H735" s="117"/>
      <c r="I735" s="117"/>
      <c r="J735" s="117"/>
      <c r="K735" s="117"/>
      <c r="L735" s="117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  <c r="AA735" s="117"/>
      <c r="AB735" s="117"/>
    </row>
    <row r="736">
      <c r="A736" s="114"/>
      <c r="B736" s="117"/>
      <c r="C736" s="116"/>
      <c r="D736" s="116"/>
      <c r="E736" s="116"/>
      <c r="F736" s="116"/>
      <c r="G736" s="117"/>
      <c r="H736" s="117"/>
      <c r="I736" s="117"/>
      <c r="J736" s="117"/>
      <c r="K736" s="117"/>
      <c r="L736" s="117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  <c r="AA736" s="117"/>
      <c r="AB736" s="117"/>
    </row>
    <row r="737">
      <c r="A737" s="114"/>
      <c r="B737" s="117"/>
      <c r="C737" s="116"/>
      <c r="D737" s="116"/>
      <c r="E737" s="116"/>
      <c r="F737" s="116"/>
      <c r="G737" s="117"/>
      <c r="H737" s="117"/>
      <c r="I737" s="117"/>
      <c r="J737" s="117"/>
      <c r="K737" s="117"/>
      <c r="L737" s="117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  <c r="AA737" s="117"/>
      <c r="AB737" s="117"/>
    </row>
    <row r="738">
      <c r="A738" s="114"/>
      <c r="B738" s="117"/>
      <c r="C738" s="116"/>
      <c r="D738" s="116"/>
      <c r="E738" s="116"/>
      <c r="F738" s="116"/>
      <c r="G738" s="117"/>
      <c r="H738" s="117"/>
      <c r="I738" s="117"/>
      <c r="J738" s="117"/>
      <c r="K738" s="117"/>
      <c r="L738" s="117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  <c r="AA738" s="117"/>
      <c r="AB738" s="117"/>
    </row>
    <row r="739">
      <c r="A739" s="114"/>
      <c r="B739" s="117"/>
      <c r="C739" s="116"/>
      <c r="D739" s="116"/>
      <c r="E739" s="116"/>
      <c r="F739" s="116"/>
      <c r="G739" s="117"/>
      <c r="H739" s="117"/>
      <c r="I739" s="117"/>
      <c r="J739" s="117"/>
      <c r="K739" s="117"/>
      <c r="L739" s="117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  <c r="AA739" s="117"/>
      <c r="AB739" s="117"/>
    </row>
    <row r="740">
      <c r="A740" s="114"/>
      <c r="B740" s="117"/>
      <c r="C740" s="116"/>
      <c r="D740" s="116"/>
      <c r="E740" s="116"/>
      <c r="F740" s="116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  <c r="AA740" s="117"/>
      <c r="AB740" s="117"/>
    </row>
    <row r="741">
      <c r="A741" s="114"/>
      <c r="B741" s="117"/>
      <c r="C741" s="116"/>
      <c r="D741" s="116"/>
      <c r="E741" s="116"/>
      <c r="F741" s="116"/>
      <c r="G741" s="117"/>
      <c r="H741" s="117"/>
      <c r="I741" s="117"/>
      <c r="J741" s="117"/>
      <c r="K741" s="117"/>
      <c r="L741" s="117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  <c r="AA741" s="117"/>
      <c r="AB741" s="117"/>
    </row>
    <row r="742">
      <c r="A742" s="114"/>
      <c r="B742" s="117"/>
      <c r="C742" s="116"/>
      <c r="D742" s="116"/>
      <c r="E742" s="116"/>
      <c r="F742" s="116"/>
      <c r="G742" s="117"/>
      <c r="H742" s="117"/>
      <c r="I742" s="117"/>
      <c r="J742" s="117"/>
      <c r="K742" s="117"/>
      <c r="L742" s="117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  <c r="AA742" s="117"/>
      <c r="AB742" s="117"/>
    </row>
    <row r="743">
      <c r="A743" s="114"/>
      <c r="B743" s="117"/>
      <c r="C743" s="116"/>
      <c r="D743" s="116"/>
      <c r="E743" s="116"/>
      <c r="F743" s="116"/>
      <c r="G743" s="117"/>
      <c r="H743" s="117"/>
      <c r="I743" s="117"/>
      <c r="J743" s="117"/>
      <c r="K743" s="117"/>
      <c r="L743" s="117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  <c r="AA743" s="117"/>
      <c r="AB743" s="117"/>
    </row>
    <row r="744">
      <c r="A744" s="114"/>
      <c r="B744" s="117"/>
      <c r="C744" s="116"/>
      <c r="D744" s="116"/>
      <c r="E744" s="116"/>
      <c r="F744" s="116"/>
      <c r="G744" s="117"/>
      <c r="H744" s="117"/>
      <c r="I744" s="117"/>
      <c r="J744" s="117"/>
      <c r="K744" s="117"/>
      <c r="L744" s="117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117"/>
      <c r="AB744" s="117"/>
    </row>
    <row r="745">
      <c r="A745" s="114"/>
      <c r="B745" s="117"/>
      <c r="C745" s="116"/>
      <c r="D745" s="116"/>
      <c r="E745" s="116"/>
      <c r="F745" s="116"/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  <c r="AA745" s="117"/>
      <c r="AB745" s="117"/>
    </row>
    <row r="746">
      <c r="A746" s="114"/>
      <c r="B746" s="117"/>
      <c r="C746" s="116"/>
      <c r="D746" s="116"/>
      <c r="E746" s="116"/>
      <c r="F746" s="116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  <c r="AA746" s="117"/>
      <c r="AB746" s="117"/>
    </row>
    <row r="747">
      <c r="A747" s="114"/>
      <c r="B747" s="117"/>
      <c r="C747" s="116"/>
      <c r="D747" s="116"/>
      <c r="E747" s="116"/>
      <c r="F747" s="116"/>
      <c r="G747" s="117"/>
      <c r="H747" s="117"/>
      <c r="I747" s="117"/>
      <c r="J747" s="117"/>
      <c r="K747" s="117"/>
      <c r="L747" s="117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  <c r="AA747" s="117"/>
      <c r="AB747" s="117"/>
    </row>
    <row r="748">
      <c r="A748" s="114"/>
      <c r="B748" s="117"/>
      <c r="C748" s="116"/>
      <c r="D748" s="116"/>
      <c r="E748" s="116"/>
      <c r="F748" s="116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  <c r="AA748" s="117"/>
      <c r="AB748" s="117"/>
    </row>
    <row r="749">
      <c r="A749" s="114"/>
      <c r="B749" s="117"/>
      <c r="C749" s="116"/>
      <c r="D749" s="116"/>
      <c r="E749" s="116"/>
      <c r="F749" s="116"/>
      <c r="G749" s="117"/>
      <c r="H749" s="117"/>
      <c r="I749" s="117"/>
      <c r="J749" s="117"/>
      <c r="K749" s="117"/>
      <c r="L749" s="117"/>
      <c r="M749" s="117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  <c r="AA749" s="117"/>
      <c r="AB749" s="117"/>
    </row>
    <row r="750">
      <c r="A750" s="114"/>
      <c r="B750" s="117"/>
      <c r="C750" s="116"/>
      <c r="D750" s="116"/>
      <c r="E750" s="116"/>
      <c r="F750" s="116"/>
      <c r="G750" s="117"/>
      <c r="H750" s="117"/>
      <c r="I750" s="117"/>
      <c r="J750" s="117"/>
      <c r="K750" s="117"/>
      <c r="L750" s="117"/>
      <c r="M750" s="117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  <c r="AA750" s="117"/>
      <c r="AB750" s="117"/>
    </row>
    <row r="751">
      <c r="A751" s="114"/>
      <c r="B751" s="117"/>
      <c r="C751" s="116"/>
      <c r="D751" s="116"/>
      <c r="E751" s="116"/>
      <c r="F751" s="116"/>
      <c r="G751" s="117"/>
      <c r="H751" s="117"/>
      <c r="I751" s="117"/>
      <c r="J751" s="117"/>
      <c r="K751" s="117"/>
      <c r="L751" s="117"/>
      <c r="M751" s="117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  <c r="AA751" s="117"/>
      <c r="AB751" s="117"/>
    </row>
    <row r="752">
      <c r="A752" s="114"/>
      <c r="B752" s="117"/>
      <c r="C752" s="116"/>
      <c r="D752" s="116"/>
      <c r="E752" s="116"/>
      <c r="F752" s="116"/>
      <c r="G752" s="117"/>
      <c r="H752" s="117"/>
      <c r="I752" s="117"/>
      <c r="J752" s="117"/>
      <c r="K752" s="117"/>
      <c r="L752" s="117"/>
      <c r="M752" s="117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  <c r="AA752" s="117"/>
      <c r="AB752" s="117"/>
    </row>
    <row r="753">
      <c r="A753" s="114"/>
      <c r="B753" s="117"/>
      <c r="C753" s="116"/>
      <c r="D753" s="116"/>
      <c r="E753" s="116"/>
      <c r="F753" s="116"/>
      <c r="G753" s="117"/>
      <c r="H753" s="117"/>
      <c r="I753" s="117"/>
      <c r="J753" s="117"/>
      <c r="K753" s="117"/>
      <c r="L753" s="117"/>
      <c r="M753" s="117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  <c r="AA753" s="117"/>
      <c r="AB753" s="117"/>
    </row>
    <row r="754">
      <c r="A754" s="114"/>
      <c r="B754" s="117"/>
      <c r="C754" s="116"/>
      <c r="D754" s="116"/>
      <c r="E754" s="116"/>
      <c r="F754" s="116"/>
      <c r="G754" s="117"/>
      <c r="H754" s="117"/>
      <c r="I754" s="117"/>
      <c r="J754" s="117"/>
      <c r="K754" s="117"/>
      <c r="L754" s="117"/>
      <c r="M754" s="117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  <c r="AA754" s="117"/>
      <c r="AB754" s="117"/>
    </row>
    <row r="755">
      <c r="A755" s="114"/>
      <c r="B755" s="117"/>
      <c r="C755" s="116"/>
      <c r="D755" s="116"/>
      <c r="E755" s="116"/>
      <c r="F755" s="116"/>
      <c r="G755" s="117"/>
      <c r="H755" s="117"/>
      <c r="I755" s="117"/>
      <c r="J755" s="117"/>
      <c r="K755" s="117"/>
      <c r="L755" s="117"/>
      <c r="M755" s="117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  <c r="AA755" s="117"/>
      <c r="AB755" s="117"/>
    </row>
    <row r="756">
      <c r="A756" s="114"/>
      <c r="B756" s="117"/>
      <c r="C756" s="116"/>
      <c r="D756" s="116"/>
      <c r="E756" s="116"/>
      <c r="F756" s="116"/>
      <c r="G756" s="117"/>
      <c r="H756" s="117"/>
      <c r="I756" s="117"/>
      <c r="J756" s="117"/>
      <c r="K756" s="117"/>
      <c r="L756" s="117"/>
      <c r="M756" s="117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  <c r="AA756" s="117"/>
      <c r="AB756" s="117"/>
    </row>
    <row r="757">
      <c r="A757" s="114"/>
      <c r="B757" s="117"/>
      <c r="C757" s="116"/>
      <c r="D757" s="116"/>
      <c r="E757" s="116"/>
      <c r="F757" s="116"/>
      <c r="G757" s="117"/>
      <c r="H757" s="117"/>
      <c r="I757" s="117"/>
      <c r="J757" s="117"/>
      <c r="K757" s="117"/>
      <c r="L757" s="117"/>
      <c r="M757" s="117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17"/>
      <c r="Y757" s="117"/>
      <c r="Z757" s="117"/>
      <c r="AA757" s="117"/>
      <c r="AB757" s="117"/>
    </row>
    <row r="758">
      <c r="A758" s="114"/>
      <c r="B758" s="117"/>
      <c r="C758" s="116"/>
      <c r="D758" s="116"/>
      <c r="E758" s="116"/>
      <c r="F758" s="116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  <c r="AA758" s="117"/>
      <c r="AB758" s="117"/>
    </row>
    <row r="759">
      <c r="A759" s="114"/>
      <c r="B759" s="117"/>
      <c r="C759" s="116"/>
      <c r="D759" s="116"/>
      <c r="E759" s="116"/>
      <c r="F759" s="116"/>
      <c r="G759" s="117"/>
      <c r="H759" s="117"/>
      <c r="I759" s="117"/>
      <c r="J759" s="117"/>
      <c r="K759" s="117"/>
      <c r="L759" s="117"/>
      <c r="M759" s="117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17"/>
      <c r="Y759" s="117"/>
      <c r="Z759" s="117"/>
      <c r="AA759" s="117"/>
      <c r="AB759" s="117"/>
    </row>
    <row r="760">
      <c r="A760" s="114"/>
      <c r="B760" s="117"/>
      <c r="C760" s="116"/>
      <c r="D760" s="116"/>
      <c r="E760" s="116"/>
      <c r="F760" s="116"/>
      <c r="G760" s="117"/>
      <c r="H760" s="117"/>
      <c r="I760" s="117"/>
      <c r="J760" s="117"/>
      <c r="K760" s="117"/>
      <c r="L760" s="117"/>
      <c r="M760" s="117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  <c r="AA760" s="117"/>
      <c r="AB760" s="117"/>
    </row>
    <row r="761">
      <c r="A761" s="114"/>
      <c r="B761" s="117"/>
      <c r="C761" s="116"/>
      <c r="D761" s="116"/>
      <c r="E761" s="116"/>
      <c r="F761" s="116"/>
      <c r="G761" s="117"/>
      <c r="H761" s="117"/>
      <c r="I761" s="117"/>
      <c r="J761" s="117"/>
      <c r="K761" s="117"/>
      <c r="L761" s="117"/>
      <c r="M761" s="117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17"/>
      <c r="Y761" s="117"/>
      <c r="Z761" s="117"/>
      <c r="AA761" s="117"/>
      <c r="AB761" s="117"/>
    </row>
    <row r="762">
      <c r="A762" s="114"/>
      <c r="B762" s="117"/>
      <c r="C762" s="116"/>
      <c r="D762" s="116"/>
      <c r="E762" s="116"/>
      <c r="F762" s="116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17"/>
      <c r="Y762" s="117"/>
      <c r="Z762" s="117"/>
      <c r="AA762" s="117"/>
      <c r="AB762" s="117"/>
    </row>
    <row r="763">
      <c r="A763" s="114"/>
      <c r="B763" s="117"/>
      <c r="C763" s="116"/>
      <c r="D763" s="116"/>
      <c r="E763" s="116"/>
      <c r="F763" s="116"/>
      <c r="G763" s="117"/>
      <c r="H763" s="117"/>
      <c r="I763" s="117"/>
      <c r="J763" s="117"/>
      <c r="K763" s="117"/>
      <c r="L763" s="117"/>
      <c r="M763" s="117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  <c r="AA763" s="117"/>
      <c r="AB763" s="117"/>
    </row>
    <row r="764">
      <c r="A764" s="114"/>
      <c r="B764" s="117"/>
      <c r="C764" s="116"/>
      <c r="D764" s="116"/>
      <c r="E764" s="116"/>
      <c r="F764" s="116"/>
      <c r="G764" s="117"/>
      <c r="H764" s="117"/>
      <c r="I764" s="117"/>
      <c r="J764" s="117"/>
      <c r="K764" s="117"/>
      <c r="L764" s="117"/>
      <c r="M764" s="117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17"/>
      <c r="Y764" s="117"/>
      <c r="Z764" s="117"/>
      <c r="AA764" s="117"/>
      <c r="AB764" s="117"/>
    </row>
    <row r="765">
      <c r="A765" s="114"/>
      <c r="B765" s="117"/>
      <c r="C765" s="116"/>
      <c r="D765" s="116"/>
      <c r="E765" s="116"/>
      <c r="F765" s="116"/>
      <c r="G765" s="117"/>
      <c r="H765" s="117"/>
      <c r="I765" s="117"/>
      <c r="J765" s="117"/>
      <c r="K765" s="117"/>
      <c r="L765" s="117"/>
      <c r="M765" s="117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17"/>
      <c r="Y765" s="117"/>
      <c r="Z765" s="117"/>
      <c r="AA765" s="117"/>
      <c r="AB765" s="117"/>
    </row>
    <row r="766">
      <c r="A766" s="114"/>
      <c r="B766" s="117"/>
      <c r="C766" s="116"/>
      <c r="D766" s="116"/>
      <c r="E766" s="116"/>
      <c r="F766" s="116"/>
      <c r="G766" s="117"/>
      <c r="H766" s="117"/>
      <c r="I766" s="117"/>
      <c r="J766" s="117"/>
      <c r="K766" s="117"/>
      <c r="L766" s="117"/>
      <c r="M766" s="117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  <c r="AA766" s="117"/>
      <c r="AB766" s="117"/>
    </row>
    <row r="767">
      <c r="A767" s="114"/>
      <c r="B767" s="117"/>
      <c r="C767" s="116"/>
      <c r="D767" s="116"/>
      <c r="E767" s="116"/>
      <c r="F767" s="116"/>
      <c r="G767" s="117"/>
      <c r="H767" s="117"/>
      <c r="I767" s="117"/>
      <c r="J767" s="117"/>
      <c r="K767" s="117"/>
      <c r="L767" s="117"/>
      <c r="M767" s="117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  <c r="AA767" s="117"/>
      <c r="AB767" s="117"/>
    </row>
    <row r="768">
      <c r="A768" s="114"/>
      <c r="B768" s="117"/>
      <c r="C768" s="116"/>
      <c r="D768" s="116"/>
      <c r="E768" s="116"/>
      <c r="F768" s="116"/>
      <c r="G768" s="117"/>
      <c r="H768" s="117"/>
      <c r="I768" s="117"/>
      <c r="J768" s="117"/>
      <c r="K768" s="117"/>
      <c r="L768" s="117"/>
      <c r="M768" s="117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  <c r="AA768" s="117"/>
      <c r="AB768" s="117"/>
    </row>
    <row r="769">
      <c r="A769" s="114"/>
      <c r="B769" s="117"/>
      <c r="C769" s="116"/>
      <c r="D769" s="116"/>
      <c r="E769" s="116"/>
      <c r="F769" s="116"/>
      <c r="G769" s="117"/>
      <c r="H769" s="117"/>
      <c r="I769" s="117"/>
      <c r="J769" s="117"/>
      <c r="K769" s="117"/>
      <c r="L769" s="117"/>
      <c r="M769" s="117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17"/>
      <c r="Y769" s="117"/>
      <c r="Z769" s="117"/>
      <c r="AA769" s="117"/>
      <c r="AB769" s="117"/>
    </row>
    <row r="770">
      <c r="A770" s="114"/>
      <c r="B770" s="117"/>
      <c r="C770" s="116"/>
      <c r="D770" s="116"/>
      <c r="E770" s="116"/>
      <c r="F770" s="116"/>
      <c r="G770" s="117"/>
      <c r="H770" s="117"/>
      <c r="I770" s="117"/>
      <c r="J770" s="117"/>
      <c r="K770" s="117"/>
      <c r="L770" s="117"/>
      <c r="M770" s="117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  <c r="AA770" s="117"/>
      <c r="AB770" s="117"/>
    </row>
    <row r="771">
      <c r="A771" s="114"/>
      <c r="B771" s="117"/>
      <c r="C771" s="116"/>
      <c r="D771" s="116"/>
      <c r="E771" s="116"/>
      <c r="F771" s="116"/>
      <c r="G771" s="117"/>
      <c r="H771" s="117"/>
      <c r="I771" s="117"/>
      <c r="J771" s="117"/>
      <c r="K771" s="117"/>
      <c r="L771" s="117"/>
      <c r="M771" s="117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  <c r="AA771" s="117"/>
      <c r="AB771" s="117"/>
    </row>
    <row r="772">
      <c r="A772" s="114"/>
      <c r="B772" s="117"/>
      <c r="C772" s="116"/>
      <c r="D772" s="116"/>
      <c r="E772" s="116"/>
      <c r="F772" s="116"/>
      <c r="G772" s="117"/>
      <c r="H772" s="117"/>
      <c r="I772" s="117"/>
      <c r="J772" s="117"/>
      <c r="K772" s="117"/>
      <c r="L772" s="117"/>
      <c r="M772" s="117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  <c r="AA772" s="117"/>
      <c r="AB772" s="117"/>
    </row>
    <row r="773">
      <c r="A773" s="114"/>
      <c r="B773" s="117"/>
      <c r="C773" s="116"/>
      <c r="D773" s="116"/>
      <c r="E773" s="116"/>
      <c r="F773" s="116"/>
      <c r="G773" s="117"/>
      <c r="H773" s="117"/>
      <c r="I773" s="117"/>
      <c r="J773" s="117"/>
      <c r="K773" s="117"/>
      <c r="L773" s="117"/>
      <c r="M773" s="117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  <c r="AA773" s="117"/>
      <c r="AB773" s="117"/>
    </row>
    <row r="774">
      <c r="A774" s="114"/>
      <c r="B774" s="117"/>
      <c r="C774" s="116"/>
      <c r="D774" s="116"/>
      <c r="E774" s="116"/>
      <c r="F774" s="116"/>
      <c r="G774" s="117"/>
      <c r="H774" s="117"/>
      <c r="I774" s="117"/>
      <c r="J774" s="117"/>
      <c r="K774" s="117"/>
      <c r="L774" s="117"/>
      <c r="M774" s="117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  <c r="AA774" s="117"/>
      <c r="AB774" s="117"/>
    </row>
    <row r="775">
      <c r="A775" s="114"/>
      <c r="B775" s="117"/>
      <c r="C775" s="116"/>
      <c r="D775" s="116"/>
      <c r="E775" s="116"/>
      <c r="F775" s="116"/>
      <c r="G775" s="117"/>
      <c r="H775" s="117"/>
      <c r="I775" s="117"/>
      <c r="J775" s="117"/>
      <c r="K775" s="117"/>
      <c r="L775" s="117"/>
      <c r="M775" s="117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  <c r="AA775" s="117"/>
      <c r="AB775" s="117"/>
    </row>
    <row r="776">
      <c r="A776" s="114"/>
      <c r="B776" s="117"/>
      <c r="C776" s="116"/>
      <c r="D776" s="116"/>
      <c r="E776" s="116"/>
      <c r="F776" s="116"/>
      <c r="G776" s="117"/>
      <c r="H776" s="117"/>
      <c r="I776" s="117"/>
      <c r="J776" s="117"/>
      <c r="K776" s="117"/>
      <c r="L776" s="117"/>
      <c r="M776" s="117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  <c r="AA776" s="117"/>
      <c r="AB776" s="117"/>
    </row>
    <row r="777">
      <c r="A777" s="114"/>
      <c r="B777" s="117"/>
      <c r="C777" s="116"/>
      <c r="D777" s="116"/>
      <c r="E777" s="116"/>
      <c r="F777" s="116"/>
      <c r="G777" s="117"/>
      <c r="H777" s="117"/>
      <c r="I777" s="117"/>
      <c r="J777" s="117"/>
      <c r="K777" s="117"/>
      <c r="L777" s="117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  <c r="AA777" s="117"/>
      <c r="AB777" s="117"/>
    </row>
    <row r="778">
      <c r="A778" s="114"/>
      <c r="B778" s="117"/>
      <c r="C778" s="116"/>
      <c r="D778" s="116"/>
      <c r="E778" s="116"/>
      <c r="F778" s="116"/>
      <c r="G778" s="117"/>
      <c r="H778" s="117"/>
      <c r="I778" s="117"/>
      <c r="J778" s="117"/>
      <c r="K778" s="117"/>
      <c r="L778" s="117"/>
      <c r="M778" s="117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  <c r="AA778" s="117"/>
      <c r="AB778" s="117"/>
    </row>
    <row r="779">
      <c r="A779" s="114"/>
      <c r="B779" s="117"/>
      <c r="C779" s="116"/>
      <c r="D779" s="116"/>
      <c r="E779" s="116"/>
      <c r="F779" s="116"/>
      <c r="G779" s="117"/>
      <c r="H779" s="117"/>
      <c r="I779" s="117"/>
      <c r="J779" s="117"/>
      <c r="K779" s="117"/>
      <c r="L779" s="117"/>
      <c r="M779" s="117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  <c r="AA779" s="117"/>
      <c r="AB779" s="117"/>
    </row>
    <row r="780">
      <c r="A780" s="114"/>
      <c r="B780" s="117"/>
      <c r="C780" s="116"/>
      <c r="D780" s="116"/>
      <c r="E780" s="116"/>
      <c r="F780" s="116"/>
      <c r="G780" s="117"/>
      <c r="H780" s="117"/>
      <c r="I780" s="117"/>
      <c r="J780" s="117"/>
      <c r="K780" s="117"/>
      <c r="L780" s="117"/>
      <c r="M780" s="117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  <c r="AA780" s="117"/>
      <c r="AB780" s="117"/>
    </row>
    <row r="781">
      <c r="A781" s="114"/>
      <c r="B781" s="117"/>
      <c r="C781" s="116"/>
      <c r="D781" s="116"/>
      <c r="E781" s="116"/>
      <c r="F781" s="116"/>
      <c r="G781" s="117"/>
      <c r="H781" s="117"/>
      <c r="I781" s="117"/>
      <c r="J781" s="117"/>
      <c r="K781" s="117"/>
      <c r="L781" s="117"/>
      <c r="M781" s="117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17"/>
      <c r="Y781" s="117"/>
      <c r="Z781" s="117"/>
      <c r="AA781" s="117"/>
      <c r="AB781" s="117"/>
    </row>
    <row r="782">
      <c r="A782" s="114"/>
      <c r="B782" s="117"/>
      <c r="C782" s="116"/>
      <c r="D782" s="116"/>
      <c r="E782" s="116"/>
      <c r="F782" s="116"/>
      <c r="G782" s="117"/>
      <c r="H782" s="117"/>
      <c r="I782" s="117"/>
      <c r="J782" s="117"/>
      <c r="K782" s="117"/>
      <c r="L782" s="117"/>
      <c r="M782" s="117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117"/>
      <c r="AB782" s="117"/>
    </row>
    <row r="783">
      <c r="A783" s="114"/>
      <c r="B783" s="117"/>
      <c r="C783" s="116"/>
      <c r="D783" s="116"/>
      <c r="E783" s="116"/>
      <c r="F783" s="116"/>
      <c r="G783" s="117"/>
      <c r="H783" s="117"/>
      <c r="I783" s="117"/>
      <c r="J783" s="117"/>
      <c r="K783" s="117"/>
      <c r="L783" s="117"/>
      <c r="M783" s="117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  <c r="AA783" s="117"/>
      <c r="AB783" s="117"/>
    </row>
    <row r="784">
      <c r="A784" s="114"/>
      <c r="B784" s="117"/>
      <c r="C784" s="116"/>
      <c r="D784" s="116"/>
      <c r="E784" s="116"/>
      <c r="F784" s="116"/>
      <c r="G784" s="117"/>
      <c r="H784" s="117"/>
      <c r="I784" s="117"/>
      <c r="J784" s="117"/>
      <c r="K784" s="117"/>
      <c r="L784" s="117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  <c r="AA784" s="117"/>
      <c r="AB784" s="117"/>
    </row>
    <row r="785">
      <c r="A785" s="114"/>
      <c r="B785" s="117"/>
      <c r="C785" s="116"/>
      <c r="D785" s="116"/>
      <c r="E785" s="116"/>
      <c r="F785" s="116"/>
      <c r="G785" s="117"/>
      <c r="H785" s="117"/>
      <c r="I785" s="117"/>
      <c r="J785" s="117"/>
      <c r="K785" s="117"/>
      <c r="L785" s="117"/>
      <c r="M785" s="117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  <c r="AA785" s="117"/>
      <c r="AB785" s="117"/>
    </row>
    <row r="786">
      <c r="A786" s="114"/>
      <c r="B786" s="117"/>
      <c r="C786" s="116"/>
      <c r="D786" s="116"/>
      <c r="E786" s="116"/>
      <c r="F786" s="116"/>
      <c r="G786" s="117"/>
      <c r="H786" s="117"/>
      <c r="I786" s="117"/>
      <c r="J786" s="117"/>
      <c r="K786" s="117"/>
      <c r="L786" s="117"/>
      <c r="M786" s="117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  <c r="AA786" s="117"/>
      <c r="AB786" s="117"/>
    </row>
    <row r="787">
      <c r="A787" s="114"/>
      <c r="B787" s="117"/>
      <c r="C787" s="116"/>
      <c r="D787" s="116"/>
      <c r="E787" s="116"/>
      <c r="F787" s="116"/>
      <c r="G787" s="117"/>
      <c r="H787" s="117"/>
      <c r="I787" s="117"/>
      <c r="J787" s="117"/>
      <c r="K787" s="117"/>
      <c r="L787" s="117"/>
      <c r="M787" s="117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  <c r="AA787" s="117"/>
      <c r="AB787" s="117"/>
    </row>
    <row r="788">
      <c r="A788" s="114"/>
      <c r="B788" s="117"/>
      <c r="C788" s="116"/>
      <c r="D788" s="116"/>
      <c r="E788" s="116"/>
      <c r="F788" s="116"/>
      <c r="G788" s="117"/>
      <c r="H788" s="117"/>
      <c r="I788" s="117"/>
      <c r="J788" s="117"/>
      <c r="K788" s="117"/>
      <c r="L788" s="117"/>
      <c r="M788" s="117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  <c r="AA788" s="117"/>
      <c r="AB788" s="117"/>
    </row>
    <row r="789">
      <c r="A789" s="114"/>
      <c r="B789" s="117"/>
      <c r="C789" s="116"/>
      <c r="D789" s="116"/>
      <c r="E789" s="116"/>
      <c r="F789" s="116"/>
      <c r="G789" s="117"/>
      <c r="H789" s="117"/>
      <c r="I789" s="117"/>
      <c r="J789" s="117"/>
      <c r="K789" s="117"/>
      <c r="L789" s="117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  <c r="AA789" s="117"/>
      <c r="AB789" s="117"/>
    </row>
    <row r="790">
      <c r="A790" s="114"/>
      <c r="B790" s="117"/>
      <c r="C790" s="116"/>
      <c r="D790" s="116"/>
      <c r="E790" s="116"/>
      <c r="F790" s="116"/>
      <c r="G790" s="117"/>
      <c r="H790" s="117"/>
      <c r="I790" s="117"/>
      <c r="J790" s="117"/>
      <c r="K790" s="117"/>
      <c r="L790" s="117"/>
      <c r="M790" s="117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  <c r="AA790" s="117"/>
      <c r="AB790" s="117"/>
    </row>
    <row r="791">
      <c r="A791" s="114"/>
      <c r="B791" s="117"/>
      <c r="C791" s="116"/>
      <c r="D791" s="116"/>
      <c r="E791" s="116"/>
      <c r="F791" s="116"/>
      <c r="G791" s="117"/>
      <c r="H791" s="117"/>
      <c r="I791" s="117"/>
      <c r="J791" s="117"/>
      <c r="K791" s="117"/>
      <c r="L791" s="117"/>
      <c r="M791" s="117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  <c r="AA791" s="117"/>
      <c r="AB791" s="117"/>
    </row>
    <row r="792">
      <c r="A792" s="114"/>
      <c r="B792" s="117"/>
      <c r="C792" s="116"/>
      <c r="D792" s="116"/>
      <c r="E792" s="116"/>
      <c r="F792" s="116"/>
      <c r="G792" s="117"/>
      <c r="H792" s="117"/>
      <c r="I792" s="117"/>
      <c r="J792" s="117"/>
      <c r="K792" s="117"/>
      <c r="L792" s="117"/>
      <c r="M792" s="117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  <c r="AA792" s="117"/>
      <c r="AB792" s="117"/>
    </row>
    <row r="793">
      <c r="A793" s="114"/>
      <c r="B793" s="117"/>
      <c r="C793" s="116"/>
      <c r="D793" s="116"/>
      <c r="E793" s="116"/>
      <c r="F793" s="116"/>
      <c r="G793" s="117"/>
      <c r="H793" s="117"/>
      <c r="I793" s="117"/>
      <c r="J793" s="117"/>
      <c r="K793" s="117"/>
      <c r="L793" s="117"/>
      <c r="M793" s="117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  <c r="Y793" s="117"/>
      <c r="Z793" s="117"/>
      <c r="AA793" s="117"/>
      <c r="AB793" s="117"/>
    </row>
    <row r="794">
      <c r="A794" s="114"/>
      <c r="B794" s="117"/>
      <c r="C794" s="116"/>
      <c r="D794" s="116"/>
      <c r="E794" s="116"/>
      <c r="F794" s="116"/>
      <c r="G794" s="117"/>
      <c r="H794" s="117"/>
      <c r="I794" s="117"/>
      <c r="J794" s="117"/>
      <c r="K794" s="117"/>
      <c r="L794" s="117"/>
      <c r="M794" s="117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  <c r="AA794" s="117"/>
      <c r="AB794" s="117"/>
    </row>
    <row r="795">
      <c r="A795" s="114"/>
      <c r="B795" s="117"/>
      <c r="C795" s="116"/>
      <c r="D795" s="116"/>
      <c r="E795" s="116"/>
      <c r="F795" s="116"/>
      <c r="G795" s="117"/>
      <c r="H795" s="117"/>
      <c r="I795" s="117"/>
      <c r="J795" s="117"/>
      <c r="K795" s="117"/>
      <c r="L795" s="117"/>
      <c r="M795" s="117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  <c r="AA795" s="117"/>
      <c r="AB795" s="117"/>
    </row>
    <row r="796">
      <c r="A796" s="114"/>
      <c r="B796" s="117"/>
      <c r="C796" s="116"/>
      <c r="D796" s="116"/>
      <c r="E796" s="116"/>
      <c r="F796" s="116"/>
      <c r="G796" s="117"/>
      <c r="H796" s="117"/>
      <c r="I796" s="117"/>
      <c r="J796" s="117"/>
      <c r="K796" s="117"/>
      <c r="L796" s="117"/>
      <c r="M796" s="117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  <c r="AA796" s="117"/>
      <c r="AB796" s="117"/>
    </row>
    <row r="797">
      <c r="A797" s="114"/>
      <c r="B797" s="117"/>
      <c r="C797" s="116"/>
      <c r="D797" s="116"/>
      <c r="E797" s="116"/>
      <c r="F797" s="116"/>
      <c r="G797" s="117"/>
      <c r="H797" s="117"/>
      <c r="I797" s="117"/>
      <c r="J797" s="117"/>
      <c r="K797" s="117"/>
      <c r="L797" s="117"/>
      <c r="M797" s="117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  <c r="AA797" s="117"/>
      <c r="AB797" s="117"/>
    </row>
    <row r="798">
      <c r="A798" s="114"/>
      <c r="B798" s="117"/>
      <c r="C798" s="116"/>
      <c r="D798" s="116"/>
      <c r="E798" s="116"/>
      <c r="F798" s="116"/>
      <c r="G798" s="117"/>
      <c r="H798" s="117"/>
      <c r="I798" s="117"/>
      <c r="J798" s="117"/>
      <c r="K798" s="117"/>
      <c r="L798" s="117"/>
      <c r="M798" s="117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  <c r="AA798" s="117"/>
      <c r="AB798" s="117"/>
    </row>
    <row r="799">
      <c r="A799" s="114"/>
      <c r="B799" s="117"/>
      <c r="C799" s="116"/>
      <c r="D799" s="116"/>
      <c r="E799" s="116"/>
      <c r="F799" s="116"/>
      <c r="G799" s="117"/>
      <c r="H799" s="117"/>
      <c r="I799" s="117"/>
      <c r="J799" s="117"/>
      <c r="K799" s="117"/>
      <c r="L799" s="117"/>
      <c r="M799" s="117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  <c r="AA799" s="117"/>
      <c r="AB799" s="117"/>
    </row>
    <row r="800">
      <c r="A800" s="114"/>
      <c r="B800" s="117"/>
      <c r="C800" s="116"/>
      <c r="D800" s="116"/>
      <c r="E800" s="116"/>
      <c r="F800" s="116"/>
      <c r="G800" s="117"/>
      <c r="H800" s="117"/>
      <c r="I800" s="117"/>
      <c r="J800" s="117"/>
      <c r="K800" s="117"/>
      <c r="L800" s="117"/>
      <c r="M800" s="117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  <c r="AA800" s="117"/>
      <c r="AB800" s="117"/>
    </row>
    <row r="801">
      <c r="A801" s="114"/>
      <c r="B801" s="117"/>
      <c r="C801" s="116"/>
      <c r="D801" s="116"/>
      <c r="E801" s="116"/>
      <c r="F801" s="116"/>
      <c r="G801" s="117"/>
      <c r="H801" s="117"/>
      <c r="I801" s="117"/>
      <c r="J801" s="117"/>
      <c r="K801" s="117"/>
      <c r="L801" s="117"/>
      <c r="M801" s="117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  <c r="AA801" s="117"/>
      <c r="AB801" s="117"/>
    </row>
    <row r="802">
      <c r="A802" s="114"/>
      <c r="B802" s="117"/>
      <c r="C802" s="116"/>
      <c r="D802" s="116"/>
      <c r="E802" s="116"/>
      <c r="F802" s="116"/>
      <c r="G802" s="117"/>
      <c r="H802" s="117"/>
      <c r="I802" s="117"/>
      <c r="J802" s="117"/>
      <c r="K802" s="117"/>
      <c r="L802" s="117"/>
      <c r="M802" s="117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  <c r="AA802" s="117"/>
      <c r="AB802" s="117"/>
    </row>
    <row r="803">
      <c r="A803" s="114"/>
      <c r="B803" s="117"/>
      <c r="C803" s="116"/>
      <c r="D803" s="116"/>
      <c r="E803" s="116"/>
      <c r="F803" s="116"/>
      <c r="G803" s="117"/>
      <c r="H803" s="117"/>
      <c r="I803" s="117"/>
      <c r="J803" s="117"/>
      <c r="K803" s="117"/>
      <c r="L803" s="117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  <c r="AA803" s="117"/>
      <c r="AB803" s="117"/>
    </row>
    <row r="804">
      <c r="A804" s="114"/>
      <c r="B804" s="117"/>
      <c r="C804" s="116"/>
      <c r="D804" s="116"/>
      <c r="E804" s="116"/>
      <c r="F804" s="116"/>
      <c r="G804" s="117"/>
      <c r="H804" s="117"/>
      <c r="I804" s="117"/>
      <c r="J804" s="117"/>
      <c r="K804" s="117"/>
      <c r="L804" s="117"/>
      <c r="M804" s="117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  <c r="AA804" s="117"/>
      <c r="AB804" s="117"/>
    </row>
    <row r="805">
      <c r="A805" s="114"/>
      <c r="B805" s="117"/>
      <c r="C805" s="116"/>
      <c r="D805" s="116"/>
      <c r="E805" s="116"/>
      <c r="F805" s="116"/>
      <c r="G805" s="117"/>
      <c r="H805" s="117"/>
      <c r="I805" s="117"/>
      <c r="J805" s="117"/>
      <c r="K805" s="117"/>
      <c r="L805" s="117"/>
      <c r="M805" s="117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17"/>
      <c r="Y805" s="117"/>
      <c r="Z805" s="117"/>
      <c r="AA805" s="117"/>
      <c r="AB805" s="117"/>
    </row>
    <row r="806">
      <c r="A806" s="114"/>
      <c r="B806" s="117"/>
      <c r="C806" s="116"/>
      <c r="D806" s="116"/>
      <c r="E806" s="116"/>
      <c r="F806" s="116"/>
      <c r="G806" s="117"/>
      <c r="H806" s="117"/>
      <c r="I806" s="117"/>
      <c r="J806" s="117"/>
      <c r="K806" s="117"/>
      <c r="L806" s="117"/>
      <c r="M806" s="117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  <c r="AA806" s="117"/>
      <c r="AB806" s="117"/>
    </row>
    <row r="807">
      <c r="A807" s="114"/>
      <c r="B807" s="117"/>
      <c r="C807" s="116"/>
      <c r="D807" s="116"/>
      <c r="E807" s="116"/>
      <c r="F807" s="116"/>
      <c r="G807" s="117"/>
      <c r="H807" s="117"/>
      <c r="I807" s="117"/>
      <c r="J807" s="117"/>
      <c r="K807" s="117"/>
      <c r="L807" s="117"/>
      <c r="M807" s="117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  <c r="AA807" s="117"/>
      <c r="AB807" s="117"/>
    </row>
    <row r="808">
      <c r="A808" s="114"/>
      <c r="B808" s="117"/>
      <c r="C808" s="116"/>
      <c r="D808" s="116"/>
      <c r="E808" s="116"/>
      <c r="F808" s="116"/>
      <c r="G808" s="117"/>
      <c r="H808" s="117"/>
      <c r="I808" s="117"/>
      <c r="J808" s="117"/>
      <c r="K808" s="117"/>
      <c r="L808" s="117"/>
      <c r="M808" s="117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  <c r="AA808" s="117"/>
      <c r="AB808" s="117"/>
    </row>
    <row r="809">
      <c r="A809" s="114"/>
      <c r="B809" s="117"/>
      <c r="C809" s="116"/>
      <c r="D809" s="116"/>
      <c r="E809" s="116"/>
      <c r="F809" s="116"/>
      <c r="G809" s="117"/>
      <c r="H809" s="117"/>
      <c r="I809" s="117"/>
      <c r="J809" s="117"/>
      <c r="K809" s="117"/>
      <c r="L809" s="117"/>
      <c r="M809" s="117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  <c r="AA809" s="117"/>
      <c r="AB809" s="117"/>
    </row>
    <row r="810">
      <c r="A810" s="114"/>
      <c r="B810" s="117"/>
      <c r="C810" s="116"/>
      <c r="D810" s="116"/>
      <c r="E810" s="116"/>
      <c r="F810" s="116"/>
      <c r="G810" s="117"/>
      <c r="H810" s="117"/>
      <c r="I810" s="117"/>
      <c r="J810" s="117"/>
      <c r="K810" s="117"/>
      <c r="L810" s="117"/>
      <c r="M810" s="117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  <c r="AA810" s="117"/>
      <c r="AB810" s="117"/>
    </row>
    <row r="811">
      <c r="A811" s="114"/>
      <c r="B811" s="117"/>
      <c r="C811" s="116"/>
      <c r="D811" s="116"/>
      <c r="E811" s="116"/>
      <c r="F811" s="116"/>
      <c r="G811" s="117"/>
      <c r="H811" s="117"/>
      <c r="I811" s="117"/>
      <c r="J811" s="117"/>
      <c r="K811" s="117"/>
      <c r="L811" s="117"/>
      <c r="M811" s="117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17"/>
      <c r="Y811" s="117"/>
      <c r="Z811" s="117"/>
      <c r="AA811" s="117"/>
      <c r="AB811" s="117"/>
    </row>
    <row r="812">
      <c r="A812" s="114"/>
      <c r="B812" s="117"/>
      <c r="C812" s="116"/>
      <c r="D812" s="116"/>
      <c r="E812" s="116"/>
      <c r="F812" s="116"/>
      <c r="G812" s="117"/>
      <c r="H812" s="117"/>
      <c r="I812" s="117"/>
      <c r="J812" s="117"/>
      <c r="K812" s="117"/>
      <c r="L812" s="117"/>
      <c r="M812" s="117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  <c r="AA812" s="117"/>
      <c r="AB812" s="117"/>
    </row>
    <row r="813">
      <c r="A813" s="114"/>
      <c r="B813" s="117"/>
      <c r="C813" s="116"/>
      <c r="D813" s="116"/>
      <c r="E813" s="116"/>
      <c r="F813" s="116"/>
      <c r="G813" s="117"/>
      <c r="H813" s="117"/>
      <c r="I813" s="117"/>
      <c r="J813" s="117"/>
      <c r="K813" s="117"/>
      <c r="L813" s="117"/>
      <c r="M813" s="117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  <c r="AA813" s="117"/>
      <c r="AB813" s="117"/>
    </row>
    <row r="814">
      <c r="A814" s="114"/>
      <c r="B814" s="117"/>
      <c r="C814" s="116"/>
      <c r="D814" s="116"/>
      <c r="E814" s="116"/>
      <c r="F814" s="116"/>
      <c r="G814" s="117"/>
      <c r="H814" s="117"/>
      <c r="I814" s="117"/>
      <c r="J814" s="117"/>
      <c r="K814" s="117"/>
      <c r="L814" s="117"/>
      <c r="M814" s="117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17"/>
      <c r="Y814" s="117"/>
      <c r="Z814" s="117"/>
      <c r="AA814" s="117"/>
      <c r="AB814" s="117"/>
    </row>
    <row r="815">
      <c r="A815" s="114"/>
      <c r="B815" s="117"/>
      <c r="C815" s="116"/>
      <c r="D815" s="116"/>
      <c r="E815" s="116"/>
      <c r="F815" s="116"/>
      <c r="G815" s="117"/>
      <c r="H815" s="117"/>
      <c r="I815" s="117"/>
      <c r="J815" s="117"/>
      <c r="K815" s="117"/>
      <c r="L815" s="117"/>
      <c r="M815" s="117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  <c r="AA815" s="117"/>
      <c r="AB815" s="117"/>
    </row>
    <row r="816">
      <c r="A816" s="114"/>
      <c r="B816" s="117"/>
      <c r="C816" s="116"/>
      <c r="D816" s="116"/>
      <c r="E816" s="116"/>
      <c r="F816" s="116"/>
      <c r="G816" s="117"/>
      <c r="H816" s="117"/>
      <c r="I816" s="117"/>
      <c r="J816" s="117"/>
      <c r="K816" s="117"/>
      <c r="L816" s="117"/>
      <c r="M816" s="117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  <c r="AA816" s="117"/>
      <c r="AB816" s="117"/>
    </row>
    <row r="817">
      <c r="A817" s="114"/>
      <c r="B817" s="117"/>
      <c r="C817" s="116"/>
      <c r="D817" s="116"/>
      <c r="E817" s="116"/>
      <c r="F817" s="116"/>
      <c r="G817" s="117"/>
      <c r="H817" s="117"/>
      <c r="I817" s="117"/>
      <c r="J817" s="117"/>
      <c r="K817" s="117"/>
      <c r="L817" s="117"/>
      <c r="M817" s="117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17"/>
      <c r="Y817" s="117"/>
      <c r="Z817" s="117"/>
      <c r="AA817" s="117"/>
      <c r="AB817" s="117"/>
    </row>
    <row r="818">
      <c r="A818" s="114"/>
      <c r="B818" s="117"/>
      <c r="C818" s="116"/>
      <c r="D818" s="116"/>
      <c r="E818" s="116"/>
      <c r="F818" s="116"/>
      <c r="G818" s="117"/>
      <c r="H818" s="117"/>
      <c r="I818" s="117"/>
      <c r="J818" s="117"/>
      <c r="K818" s="117"/>
      <c r="L818" s="117"/>
      <c r="M818" s="117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  <c r="AA818" s="117"/>
      <c r="AB818" s="117"/>
    </row>
    <row r="819">
      <c r="A819" s="114"/>
      <c r="B819" s="117"/>
      <c r="C819" s="116"/>
      <c r="D819" s="116"/>
      <c r="E819" s="116"/>
      <c r="F819" s="116"/>
      <c r="G819" s="117"/>
      <c r="H819" s="117"/>
      <c r="I819" s="117"/>
      <c r="J819" s="117"/>
      <c r="K819" s="117"/>
      <c r="L819" s="117"/>
      <c r="M819" s="117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  <c r="AA819" s="117"/>
      <c r="AB819" s="117"/>
    </row>
    <row r="820">
      <c r="A820" s="114"/>
      <c r="B820" s="117"/>
      <c r="C820" s="116"/>
      <c r="D820" s="116"/>
      <c r="E820" s="116"/>
      <c r="F820" s="116"/>
      <c r="G820" s="117"/>
      <c r="H820" s="117"/>
      <c r="I820" s="117"/>
      <c r="J820" s="117"/>
      <c r="K820" s="117"/>
      <c r="L820" s="117"/>
      <c r="M820" s="117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117"/>
      <c r="AB820" s="117"/>
    </row>
    <row r="821">
      <c r="A821" s="114"/>
      <c r="B821" s="117"/>
      <c r="C821" s="116"/>
      <c r="D821" s="116"/>
      <c r="E821" s="116"/>
      <c r="F821" s="116"/>
      <c r="G821" s="117"/>
      <c r="H821" s="117"/>
      <c r="I821" s="117"/>
      <c r="J821" s="117"/>
      <c r="K821" s="117"/>
      <c r="L821" s="117"/>
      <c r="M821" s="117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  <c r="AA821" s="117"/>
      <c r="AB821" s="117"/>
    </row>
    <row r="822">
      <c r="A822" s="114"/>
      <c r="B822" s="117"/>
      <c r="C822" s="116"/>
      <c r="D822" s="116"/>
      <c r="E822" s="116"/>
      <c r="F822" s="116"/>
      <c r="G822" s="117"/>
      <c r="H822" s="117"/>
      <c r="I822" s="117"/>
      <c r="J822" s="117"/>
      <c r="K822" s="117"/>
      <c r="L822" s="117"/>
      <c r="M822" s="117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  <c r="AA822" s="117"/>
      <c r="AB822" s="117"/>
    </row>
    <row r="823">
      <c r="A823" s="114"/>
      <c r="B823" s="117"/>
      <c r="C823" s="116"/>
      <c r="D823" s="116"/>
      <c r="E823" s="116"/>
      <c r="F823" s="116"/>
      <c r="G823" s="117"/>
      <c r="H823" s="117"/>
      <c r="I823" s="117"/>
      <c r="J823" s="117"/>
      <c r="K823" s="117"/>
      <c r="L823" s="117"/>
      <c r="M823" s="117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  <c r="AA823" s="117"/>
      <c r="AB823" s="117"/>
    </row>
    <row r="824">
      <c r="A824" s="114"/>
      <c r="B824" s="117"/>
      <c r="C824" s="116"/>
      <c r="D824" s="116"/>
      <c r="E824" s="116"/>
      <c r="F824" s="116"/>
      <c r="G824" s="117"/>
      <c r="H824" s="117"/>
      <c r="I824" s="117"/>
      <c r="J824" s="117"/>
      <c r="K824" s="117"/>
      <c r="L824" s="117"/>
      <c r="M824" s="117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  <c r="AA824" s="117"/>
      <c r="AB824" s="117"/>
    </row>
    <row r="825">
      <c r="A825" s="114"/>
      <c r="B825" s="117"/>
      <c r="C825" s="116"/>
      <c r="D825" s="116"/>
      <c r="E825" s="116"/>
      <c r="F825" s="116"/>
      <c r="G825" s="117"/>
      <c r="H825" s="117"/>
      <c r="I825" s="117"/>
      <c r="J825" s="117"/>
      <c r="K825" s="117"/>
      <c r="L825" s="117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  <c r="AA825" s="117"/>
      <c r="AB825" s="117"/>
    </row>
    <row r="826">
      <c r="A826" s="114"/>
      <c r="B826" s="117"/>
      <c r="C826" s="116"/>
      <c r="D826" s="116"/>
      <c r="E826" s="116"/>
      <c r="F826" s="116"/>
      <c r="G826" s="117"/>
      <c r="H826" s="117"/>
      <c r="I826" s="117"/>
      <c r="J826" s="117"/>
      <c r="K826" s="117"/>
      <c r="L826" s="117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  <c r="AA826" s="117"/>
      <c r="AB826" s="117"/>
    </row>
    <row r="827">
      <c r="A827" s="114"/>
      <c r="B827" s="117"/>
      <c r="C827" s="116"/>
      <c r="D827" s="116"/>
      <c r="E827" s="116"/>
      <c r="F827" s="116"/>
      <c r="G827" s="117"/>
      <c r="H827" s="117"/>
      <c r="I827" s="117"/>
      <c r="J827" s="117"/>
      <c r="K827" s="117"/>
      <c r="L827" s="117"/>
      <c r="M827" s="117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  <c r="AA827" s="117"/>
      <c r="AB827" s="117"/>
    </row>
    <row r="828">
      <c r="A828" s="114"/>
      <c r="B828" s="117"/>
      <c r="C828" s="116"/>
      <c r="D828" s="116"/>
      <c r="E828" s="116"/>
      <c r="F828" s="116"/>
      <c r="G828" s="117"/>
      <c r="H828" s="117"/>
      <c r="I828" s="117"/>
      <c r="J828" s="117"/>
      <c r="K828" s="117"/>
      <c r="L828" s="117"/>
      <c r="M828" s="117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  <c r="AA828" s="117"/>
      <c r="AB828" s="117"/>
    </row>
    <row r="829">
      <c r="A829" s="114"/>
      <c r="B829" s="117"/>
      <c r="C829" s="116"/>
      <c r="D829" s="116"/>
      <c r="E829" s="116"/>
      <c r="F829" s="116"/>
      <c r="G829" s="117"/>
      <c r="H829" s="117"/>
      <c r="I829" s="117"/>
      <c r="J829" s="117"/>
      <c r="K829" s="117"/>
      <c r="L829" s="117"/>
      <c r="M829" s="117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17"/>
      <c r="Y829" s="117"/>
      <c r="Z829" s="117"/>
      <c r="AA829" s="117"/>
      <c r="AB829" s="117"/>
    </row>
    <row r="830">
      <c r="A830" s="114"/>
      <c r="B830" s="117"/>
      <c r="C830" s="116"/>
      <c r="D830" s="116"/>
      <c r="E830" s="116"/>
      <c r="F830" s="116"/>
      <c r="G830" s="117"/>
      <c r="H830" s="117"/>
      <c r="I830" s="117"/>
      <c r="J830" s="117"/>
      <c r="K830" s="117"/>
      <c r="L830" s="117"/>
      <c r="M830" s="117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  <c r="AA830" s="117"/>
      <c r="AB830" s="117"/>
    </row>
    <row r="831">
      <c r="A831" s="114"/>
      <c r="B831" s="117"/>
      <c r="C831" s="116"/>
      <c r="D831" s="116"/>
      <c r="E831" s="116"/>
      <c r="F831" s="116"/>
      <c r="G831" s="117"/>
      <c r="H831" s="117"/>
      <c r="I831" s="117"/>
      <c r="J831" s="117"/>
      <c r="K831" s="117"/>
      <c r="L831" s="117"/>
      <c r="M831" s="117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  <c r="AA831" s="117"/>
      <c r="AB831" s="117"/>
    </row>
    <row r="832">
      <c r="A832" s="114"/>
      <c r="B832" s="117"/>
      <c r="C832" s="116"/>
      <c r="D832" s="116"/>
      <c r="E832" s="116"/>
      <c r="F832" s="116"/>
      <c r="G832" s="117"/>
      <c r="H832" s="117"/>
      <c r="I832" s="117"/>
      <c r="J832" s="117"/>
      <c r="K832" s="117"/>
      <c r="L832" s="117"/>
      <c r="M832" s="117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  <c r="AA832" s="117"/>
      <c r="AB832" s="117"/>
    </row>
    <row r="833">
      <c r="A833" s="114"/>
      <c r="B833" s="117"/>
      <c r="C833" s="116"/>
      <c r="D833" s="116"/>
      <c r="E833" s="116"/>
      <c r="F833" s="116"/>
      <c r="G833" s="117"/>
      <c r="H833" s="117"/>
      <c r="I833" s="117"/>
      <c r="J833" s="117"/>
      <c r="K833" s="117"/>
      <c r="L833" s="117"/>
      <c r="M833" s="117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  <c r="AA833" s="117"/>
      <c r="AB833" s="117"/>
    </row>
    <row r="834">
      <c r="A834" s="114"/>
      <c r="B834" s="117"/>
      <c r="C834" s="116"/>
      <c r="D834" s="116"/>
      <c r="E834" s="116"/>
      <c r="F834" s="116"/>
      <c r="G834" s="117"/>
      <c r="H834" s="117"/>
      <c r="I834" s="117"/>
      <c r="J834" s="117"/>
      <c r="K834" s="117"/>
      <c r="L834" s="117"/>
      <c r="M834" s="117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  <c r="AA834" s="117"/>
      <c r="AB834" s="117"/>
    </row>
    <row r="835">
      <c r="A835" s="114"/>
      <c r="B835" s="117"/>
      <c r="C835" s="116"/>
      <c r="D835" s="116"/>
      <c r="E835" s="116"/>
      <c r="F835" s="116"/>
      <c r="G835" s="117"/>
      <c r="H835" s="117"/>
      <c r="I835" s="117"/>
      <c r="J835" s="117"/>
      <c r="K835" s="117"/>
      <c r="L835" s="117"/>
      <c r="M835" s="117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  <c r="AA835" s="117"/>
      <c r="AB835" s="117"/>
    </row>
    <row r="836">
      <c r="A836" s="114"/>
      <c r="B836" s="117"/>
      <c r="C836" s="116"/>
      <c r="D836" s="116"/>
      <c r="E836" s="116"/>
      <c r="F836" s="116"/>
      <c r="G836" s="117"/>
      <c r="H836" s="117"/>
      <c r="I836" s="117"/>
      <c r="J836" s="117"/>
      <c r="K836" s="117"/>
      <c r="L836" s="117"/>
      <c r="M836" s="117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  <c r="AA836" s="117"/>
      <c r="AB836" s="117"/>
    </row>
    <row r="837">
      <c r="A837" s="114"/>
      <c r="B837" s="117"/>
      <c r="C837" s="116"/>
      <c r="D837" s="116"/>
      <c r="E837" s="116"/>
      <c r="F837" s="116"/>
      <c r="G837" s="117"/>
      <c r="H837" s="117"/>
      <c r="I837" s="117"/>
      <c r="J837" s="117"/>
      <c r="K837" s="117"/>
      <c r="L837" s="117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  <c r="AA837" s="117"/>
      <c r="AB837" s="117"/>
    </row>
    <row r="838">
      <c r="A838" s="114"/>
      <c r="B838" s="117"/>
      <c r="C838" s="116"/>
      <c r="D838" s="116"/>
      <c r="E838" s="116"/>
      <c r="F838" s="116"/>
      <c r="G838" s="117"/>
      <c r="H838" s="117"/>
      <c r="I838" s="117"/>
      <c r="J838" s="117"/>
      <c r="K838" s="117"/>
      <c r="L838" s="117"/>
      <c r="M838" s="117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  <c r="AA838" s="117"/>
      <c r="AB838" s="117"/>
    </row>
    <row r="839">
      <c r="A839" s="114"/>
      <c r="B839" s="117"/>
      <c r="C839" s="116"/>
      <c r="D839" s="116"/>
      <c r="E839" s="116"/>
      <c r="F839" s="116"/>
      <c r="G839" s="117"/>
      <c r="H839" s="117"/>
      <c r="I839" s="117"/>
      <c r="J839" s="117"/>
      <c r="K839" s="117"/>
      <c r="L839" s="117"/>
      <c r="M839" s="117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  <c r="AA839" s="117"/>
      <c r="AB839" s="117"/>
    </row>
    <row r="840">
      <c r="A840" s="114"/>
      <c r="B840" s="117"/>
      <c r="C840" s="116"/>
      <c r="D840" s="116"/>
      <c r="E840" s="116"/>
      <c r="F840" s="116"/>
      <c r="G840" s="117"/>
      <c r="H840" s="117"/>
      <c r="I840" s="117"/>
      <c r="J840" s="117"/>
      <c r="K840" s="117"/>
      <c r="L840" s="117"/>
      <c r="M840" s="117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  <c r="AA840" s="117"/>
      <c r="AB840" s="117"/>
    </row>
    <row r="841">
      <c r="A841" s="114"/>
      <c r="B841" s="117"/>
      <c r="C841" s="116"/>
      <c r="D841" s="116"/>
      <c r="E841" s="116"/>
      <c r="F841" s="116"/>
      <c r="G841" s="117"/>
      <c r="H841" s="117"/>
      <c r="I841" s="117"/>
      <c r="J841" s="117"/>
      <c r="K841" s="117"/>
      <c r="L841" s="117"/>
      <c r="M841" s="117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17"/>
      <c r="Y841" s="117"/>
      <c r="Z841" s="117"/>
      <c r="AA841" s="117"/>
      <c r="AB841" s="117"/>
    </row>
    <row r="842">
      <c r="A842" s="114"/>
      <c r="B842" s="117"/>
      <c r="C842" s="116"/>
      <c r="D842" s="116"/>
      <c r="E842" s="116"/>
      <c r="F842" s="116"/>
      <c r="G842" s="117"/>
      <c r="H842" s="117"/>
      <c r="I842" s="117"/>
      <c r="J842" s="117"/>
      <c r="K842" s="117"/>
      <c r="L842" s="117"/>
      <c r="M842" s="117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  <c r="AA842" s="117"/>
      <c r="AB842" s="117"/>
    </row>
    <row r="843">
      <c r="A843" s="114"/>
      <c r="B843" s="117"/>
      <c r="C843" s="116"/>
      <c r="D843" s="116"/>
      <c r="E843" s="116"/>
      <c r="F843" s="116"/>
      <c r="G843" s="117"/>
      <c r="H843" s="117"/>
      <c r="I843" s="117"/>
      <c r="J843" s="117"/>
      <c r="K843" s="117"/>
      <c r="L843" s="117"/>
      <c r="M843" s="117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  <c r="AA843" s="117"/>
      <c r="AB843" s="117"/>
    </row>
    <row r="844">
      <c r="A844" s="114"/>
      <c r="B844" s="117"/>
      <c r="C844" s="116"/>
      <c r="D844" s="116"/>
      <c r="E844" s="116"/>
      <c r="F844" s="116"/>
      <c r="G844" s="117"/>
      <c r="H844" s="117"/>
      <c r="I844" s="117"/>
      <c r="J844" s="117"/>
      <c r="K844" s="117"/>
      <c r="L844" s="117"/>
      <c r="M844" s="117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  <c r="AA844" s="117"/>
      <c r="AB844" s="117"/>
    </row>
    <row r="845">
      <c r="A845" s="114"/>
      <c r="B845" s="117"/>
      <c r="C845" s="116"/>
      <c r="D845" s="116"/>
      <c r="E845" s="116"/>
      <c r="F845" s="116"/>
      <c r="G845" s="117"/>
      <c r="H845" s="117"/>
      <c r="I845" s="117"/>
      <c r="J845" s="117"/>
      <c r="K845" s="117"/>
      <c r="L845" s="117"/>
      <c r="M845" s="117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  <c r="AA845" s="117"/>
      <c r="AB845" s="117"/>
    </row>
    <row r="846">
      <c r="A846" s="114"/>
      <c r="B846" s="117"/>
      <c r="C846" s="116"/>
      <c r="D846" s="116"/>
      <c r="E846" s="116"/>
      <c r="F846" s="116"/>
      <c r="G846" s="117"/>
      <c r="H846" s="117"/>
      <c r="I846" s="117"/>
      <c r="J846" s="117"/>
      <c r="K846" s="117"/>
      <c r="L846" s="117"/>
      <c r="M846" s="117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  <c r="AA846" s="117"/>
      <c r="AB846" s="117"/>
    </row>
    <row r="847">
      <c r="A847" s="114"/>
      <c r="B847" s="117"/>
      <c r="C847" s="116"/>
      <c r="D847" s="116"/>
      <c r="E847" s="116"/>
      <c r="F847" s="116"/>
      <c r="G847" s="117"/>
      <c r="H847" s="117"/>
      <c r="I847" s="117"/>
      <c r="J847" s="117"/>
      <c r="K847" s="117"/>
      <c r="L847" s="117"/>
      <c r="M847" s="117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  <c r="AA847" s="117"/>
      <c r="AB847" s="117"/>
    </row>
    <row r="848">
      <c r="A848" s="114"/>
      <c r="B848" s="117"/>
      <c r="C848" s="116"/>
      <c r="D848" s="116"/>
      <c r="E848" s="116"/>
      <c r="F848" s="116"/>
      <c r="G848" s="117"/>
      <c r="H848" s="117"/>
      <c r="I848" s="117"/>
      <c r="J848" s="117"/>
      <c r="K848" s="117"/>
      <c r="L848" s="117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  <c r="AA848" s="117"/>
      <c r="AB848" s="117"/>
    </row>
    <row r="849">
      <c r="A849" s="114"/>
      <c r="B849" s="117"/>
      <c r="C849" s="116"/>
      <c r="D849" s="116"/>
      <c r="E849" s="116"/>
      <c r="F849" s="116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  <c r="AA849" s="117"/>
      <c r="AB849" s="117"/>
    </row>
    <row r="850">
      <c r="A850" s="114"/>
      <c r="B850" s="117"/>
      <c r="C850" s="116"/>
      <c r="D850" s="116"/>
      <c r="E850" s="116"/>
      <c r="F850" s="116"/>
      <c r="G850" s="117"/>
      <c r="H850" s="117"/>
      <c r="I850" s="117"/>
      <c r="J850" s="117"/>
      <c r="K850" s="117"/>
      <c r="L850" s="117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  <c r="AA850" s="117"/>
      <c r="AB850" s="117"/>
    </row>
    <row r="851">
      <c r="A851" s="114"/>
      <c r="B851" s="117"/>
      <c r="C851" s="116"/>
      <c r="D851" s="116"/>
      <c r="E851" s="116"/>
      <c r="F851" s="116"/>
      <c r="G851" s="117"/>
      <c r="H851" s="117"/>
      <c r="I851" s="117"/>
      <c r="J851" s="117"/>
      <c r="K851" s="117"/>
      <c r="L851" s="117"/>
      <c r="M851" s="117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  <c r="AA851" s="117"/>
      <c r="AB851" s="117"/>
    </row>
    <row r="852">
      <c r="A852" s="114"/>
      <c r="B852" s="117"/>
      <c r="C852" s="116"/>
      <c r="D852" s="116"/>
      <c r="E852" s="116"/>
      <c r="F852" s="116"/>
      <c r="G852" s="117"/>
      <c r="H852" s="117"/>
      <c r="I852" s="117"/>
      <c r="J852" s="117"/>
      <c r="K852" s="117"/>
      <c r="L852" s="117"/>
      <c r="M852" s="117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  <c r="AA852" s="117"/>
      <c r="AB852" s="117"/>
    </row>
    <row r="853">
      <c r="A853" s="114"/>
      <c r="B853" s="117"/>
      <c r="C853" s="116"/>
      <c r="D853" s="116"/>
      <c r="E853" s="116"/>
      <c r="F853" s="116"/>
      <c r="G853" s="117"/>
      <c r="H853" s="117"/>
      <c r="I853" s="117"/>
      <c r="J853" s="117"/>
      <c r="K853" s="117"/>
      <c r="L853" s="117"/>
      <c r="M853" s="117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17"/>
      <c r="Y853" s="117"/>
      <c r="Z853" s="117"/>
      <c r="AA853" s="117"/>
      <c r="AB853" s="117"/>
    </row>
    <row r="854">
      <c r="A854" s="114"/>
      <c r="B854" s="117"/>
      <c r="C854" s="116"/>
      <c r="D854" s="116"/>
      <c r="E854" s="116"/>
      <c r="F854" s="116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  <c r="AA854" s="117"/>
      <c r="AB854" s="117"/>
    </row>
    <row r="855">
      <c r="A855" s="114"/>
      <c r="B855" s="117"/>
      <c r="C855" s="116"/>
      <c r="D855" s="116"/>
      <c r="E855" s="116"/>
      <c r="F855" s="116"/>
      <c r="G855" s="117"/>
      <c r="H855" s="117"/>
      <c r="I855" s="117"/>
      <c r="J855" s="117"/>
      <c r="K855" s="117"/>
      <c r="L855" s="117"/>
      <c r="M855" s="117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  <c r="AA855" s="117"/>
      <c r="AB855" s="117"/>
    </row>
    <row r="856">
      <c r="A856" s="114"/>
      <c r="B856" s="117"/>
      <c r="C856" s="116"/>
      <c r="D856" s="116"/>
      <c r="E856" s="116"/>
      <c r="F856" s="116"/>
      <c r="G856" s="117"/>
      <c r="H856" s="117"/>
      <c r="I856" s="117"/>
      <c r="J856" s="117"/>
      <c r="K856" s="117"/>
      <c r="L856" s="117"/>
      <c r="M856" s="117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  <c r="AA856" s="117"/>
      <c r="AB856" s="117"/>
    </row>
    <row r="857">
      <c r="A857" s="114"/>
      <c r="B857" s="117"/>
      <c r="C857" s="116"/>
      <c r="D857" s="116"/>
      <c r="E857" s="116"/>
      <c r="F857" s="116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  <c r="AA857" s="117"/>
      <c r="AB857" s="117"/>
    </row>
    <row r="858">
      <c r="A858" s="114"/>
      <c r="B858" s="117"/>
      <c r="C858" s="116"/>
      <c r="D858" s="116"/>
      <c r="E858" s="116"/>
      <c r="F858" s="116"/>
      <c r="G858" s="117"/>
      <c r="H858" s="117"/>
      <c r="I858" s="11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117"/>
      <c r="AB858" s="117"/>
    </row>
    <row r="859">
      <c r="A859" s="114"/>
      <c r="B859" s="117"/>
      <c r="C859" s="116"/>
      <c r="D859" s="116"/>
      <c r="E859" s="116"/>
      <c r="F859" s="116"/>
      <c r="G859" s="117"/>
      <c r="H859" s="117"/>
      <c r="I859" s="11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  <c r="AA859" s="117"/>
      <c r="AB859" s="117"/>
    </row>
    <row r="860">
      <c r="A860" s="114"/>
      <c r="B860" s="117"/>
      <c r="C860" s="116"/>
      <c r="D860" s="116"/>
      <c r="E860" s="116"/>
      <c r="F860" s="116"/>
      <c r="G860" s="117"/>
      <c r="H860" s="117"/>
      <c r="I860" s="117"/>
      <c r="J860" s="117"/>
      <c r="K860" s="117"/>
      <c r="L860" s="117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  <c r="AA860" s="117"/>
      <c r="AB860" s="117"/>
    </row>
    <row r="861">
      <c r="A861" s="114"/>
      <c r="B861" s="117"/>
      <c r="C861" s="116"/>
      <c r="D861" s="116"/>
      <c r="E861" s="116"/>
      <c r="F861" s="116"/>
      <c r="G861" s="117"/>
      <c r="H861" s="117"/>
      <c r="I861" s="117"/>
      <c r="J861" s="117"/>
      <c r="K861" s="117"/>
      <c r="L861" s="117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  <c r="AA861" s="117"/>
      <c r="AB861" s="117"/>
    </row>
    <row r="862">
      <c r="A862" s="114"/>
      <c r="B862" s="117"/>
      <c r="C862" s="116"/>
      <c r="D862" s="116"/>
      <c r="E862" s="116"/>
      <c r="F862" s="116"/>
      <c r="G862" s="117"/>
      <c r="H862" s="117"/>
      <c r="I862" s="117"/>
      <c r="J862" s="117"/>
      <c r="K862" s="117"/>
      <c r="L862" s="117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  <c r="Y862" s="117"/>
      <c r="Z862" s="117"/>
      <c r="AA862" s="117"/>
      <c r="AB862" s="117"/>
    </row>
    <row r="863">
      <c r="A863" s="114"/>
      <c r="B863" s="117"/>
      <c r="C863" s="116"/>
      <c r="D863" s="116"/>
      <c r="E863" s="116"/>
      <c r="F863" s="116"/>
      <c r="G863" s="117"/>
      <c r="H863" s="117"/>
      <c r="I863" s="117"/>
      <c r="J863" s="117"/>
      <c r="K863" s="117"/>
      <c r="L863" s="117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  <c r="AA863" s="117"/>
      <c r="AB863" s="117"/>
    </row>
    <row r="864">
      <c r="A864" s="114"/>
      <c r="B864" s="117"/>
      <c r="C864" s="116"/>
      <c r="D864" s="116"/>
      <c r="E864" s="116"/>
      <c r="F864" s="116"/>
      <c r="G864" s="117"/>
      <c r="H864" s="117"/>
      <c r="I864" s="117"/>
      <c r="J864" s="117"/>
      <c r="K864" s="117"/>
      <c r="L864" s="117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  <c r="AA864" s="117"/>
      <c r="AB864" s="117"/>
    </row>
    <row r="865">
      <c r="A865" s="114"/>
      <c r="B865" s="117"/>
      <c r="C865" s="116"/>
      <c r="D865" s="116"/>
      <c r="E865" s="116"/>
      <c r="F865" s="116"/>
      <c r="G865" s="117"/>
      <c r="H865" s="117"/>
      <c r="I865" s="117"/>
      <c r="J865" s="117"/>
      <c r="K865" s="117"/>
      <c r="L865" s="117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  <c r="Y865" s="117"/>
      <c r="Z865" s="117"/>
      <c r="AA865" s="117"/>
      <c r="AB865" s="117"/>
    </row>
    <row r="866">
      <c r="A866" s="114"/>
      <c r="B866" s="117"/>
      <c r="C866" s="116"/>
      <c r="D866" s="116"/>
      <c r="E866" s="116"/>
      <c r="F866" s="116"/>
      <c r="G866" s="117"/>
      <c r="H866" s="117"/>
      <c r="I866" s="117"/>
      <c r="J866" s="117"/>
      <c r="K866" s="117"/>
      <c r="L866" s="117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  <c r="AA866" s="117"/>
      <c r="AB866" s="117"/>
    </row>
    <row r="867">
      <c r="A867" s="114"/>
      <c r="B867" s="117"/>
      <c r="C867" s="116"/>
      <c r="D867" s="116"/>
      <c r="E867" s="116"/>
      <c r="F867" s="116"/>
      <c r="G867" s="117"/>
      <c r="H867" s="117"/>
      <c r="I867" s="117"/>
      <c r="J867" s="117"/>
      <c r="K867" s="117"/>
      <c r="L867" s="117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  <c r="AA867" s="117"/>
      <c r="AB867" s="117"/>
    </row>
    <row r="868">
      <c r="A868" s="114"/>
      <c r="B868" s="117"/>
      <c r="C868" s="116"/>
      <c r="D868" s="116"/>
      <c r="E868" s="116"/>
      <c r="F868" s="116"/>
      <c r="G868" s="117"/>
      <c r="H868" s="117"/>
      <c r="I868" s="117"/>
      <c r="J868" s="117"/>
      <c r="K868" s="117"/>
      <c r="L868" s="117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  <c r="AA868" s="117"/>
      <c r="AB868" s="117"/>
    </row>
    <row r="869">
      <c r="A869" s="114"/>
      <c r="B869" s="117"/>
      <c r="C869" s="116"/>
      <c r="D869" s="116"/>
      <c r="E869" s="116"/>
      <c r="F869" s="116"/>
      <c r="G869" s="117"/>
      <c r="H869" s="117"/>
      <c r="I869" s="117"/>
      <c r="J869" s="117"/>
      <c r="K869" s="117"/>
      <c r="L869" s="117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  <c r="AA869" s="117"/>
      <c r="AB869" s="117"/>
    </row>
    <row r="870">
      <c r="A870" s="114"/>
      <c r="B870" s="117"/>
      <c r="C870" s="116"/>
      <c r="D870" s="116"/>
      <c r="E870" s="116"/>
      <c r="F870" s="116"/>
      <c r="G870" s="117"/>
      <c r="H870" s="117"/>
      <c r="I870" s="117"/>
      <c r="J870" s="117"/>
      <c r="K870" s="117"/>
      <c r="L870" s="117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  <c r="AA870" s="117"/>
      <c r="AB870" s="117"/>
    </row>
    <row r="871">
      <c r="A871" s="114"/>
      <c r="B871" s="117"/>
      <c r="C871" s="116"/>
      <c r="D871" s="116"/>
      <c r="E871" s="116"/>
      <c r="F871" s="116"/>
      <c r="G871" s="117"/>
      <c r="H871" s="117"/>
      <c r="I871" s="117"/>
      <c r="J871" s="117"/>
      <c r="K871" s="117"/>
      <c r="L871" s="117"/>
      <c r="M871" s="117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  <c r="AA871" s="117"/>
      <c r="AB871" s="117"/>
    </row>
    <row r="872">
      <c r="A872" s="114"/>
      <c r="B872" s="117"/>
      <c r="C872" s="116"/>
      <c r="D872" s="116"/>
      <c r="E872" s="116"/>
      <c r="F872" s="116"/>
      <c r="G872" s="117"/>
      <c r="H872" s="117"/>
      <c r="I872" s="117"/>
      <c r="J872" s="117"/>
      <c r="K872" s="117"/>
      <c r="L872" s="117"/>
      <c r="M872" s="117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  <c r="AA872" s="117"/>
      <c r="AB872" s="117"/>
    </row>
    <row r="873">
      <c r="A873" s="114"/>
      <c r="B873" s="117"/>
      <c r="C873" s="116"/>
      <c r="D873" s="116"/>
      <c r="E873" s="116"/>
      <c r="F873" s="116"/>
      <c r="G873" s="117"/>
      <c r="H873" s="117"/>
      <c r="I873" s="117"/>
      <c r="J873" s="117"/>
      <c r="K873" s="117"/>
      <c r="L873" s="117"/>
      <c r="M873" s="117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  <c r="AA873" s="117"/>
      <c r="AB873" s="117"/>
    </row>
    <row r="874">
      <c r="A874" s="114"/>
      <c r="B874" s="117"/>
      <c r="C874" s="116"/>
      <c r="D874" s="116"/>
      <c r="E874" s="116"/>
      <c r="F874" s="116"/>
      <c r="G874" s="117"/>
      <c r="H874" s="117"/>
      <c r="I874" s="117"/>
      <c r="J874" s="117"/>
      <c r="K874" s="117"/>
      <c r="L874" s="117"/>
      <c r="M874" s="117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  <c r="AA874" s="117"/>
      <c r="AB874" s="117"/>
    </row>
    <row r="875">
      <c r="A875" s="114"/>
      <c r="B875" s="117"/>
      <c r="C875" s="116"/>
      <c r="D875" s="116"/>
      <c r="E875" s="116"/>
      <c r="F875" s="116"/>
      <c r="G875" s="117"/>
      <c r="H875" s="117"/>
      <c r="I875" s="117"/>
      <c r="J875" s="117"/>
      <c r="K875" s="117"/>
      <c r="L875" s="117"/>
      <c r="M875" s="117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  <c r="AA875" s="117"/>
      <c r="AB875" s="117"/>
    </row>
    <row r="876">
      <c r="A876" s="114"/>
      <c r="B876" s="117"/>
      <c r="C876" s="116"/>
      <c r="D876" s="116"/>
      <c r="E876" s="116"/>
      <c r="F876" s="116"/>
      <c r="G876" s="117"/>
      <c r="H876" s="117"/>
      <c r="I876" s="117"/>
      <c r="J876" s="117"/>
      <c r="K876" s="117"/>
      <c r="L876" s="117"/>
      <c r="M876" s="117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  <c r="AA876" s="117"/>
      <c r="AB876" s="117"/>
    </row>
    <row r="877">
      <c r="A877" s="114"/>
      <c r="B877" s="117"/>
      <c r="C877" s="116"/>
      <c r="D877" s="116"/>
      <c r="E877" s="116"/>
      <c r="F877" s="116"/>
      <c r="G877" s="117"/>
      <c r="H877" s="117"/>
      <c r="I877" s="117"/>
      <c r="J877" s="117"/>
      <c r="K877" s="117"/>
      <c r="L877" s="117"/>
      <c r="M877" s="117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17"/>
      <c r="Y877" s="117"/>
      <c r="Z877" s="117"/>
      <c r="AA877" s="117"/>
      <c r="AB877" s="117"/>
    </row>
    <row r="878">
      <c r="A878" s="114"/>
      <c r="B878" s="117"/>
      <c r="C878" s="116"/>
      <c r="D878" s="116"/>
      <c r="E878" s="116"/>
      <c r="F878" s="116"/>
      <c r="G878" s="117"/>
      <c r="H878" s="117"/>
      <c r="I878" s="117"/>
      <c r="J878" s="117"/>
      <c r="K878" s="117"/>
      <c r="L878" s="117"/>
      <c r="M878" s="117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  <c r="AA878" s="117"/>
      <c r="AB878" s="117"/>
    </row>
    <row r="879">
      <c r="A879" s="114"/>
      <c r="B879" s="117"/>
      <c r="C879" s="116"/>
      <c r="D879" s="116"/>
      <c r="E879" s="116"/>
      <c r="F879" s="116"/>
      <c r="G879" s="117"/>
      <c r="H879" s="117"/>
      <c r="I879" s="117"/>
      <c r="J879" s="117"/>
      <c r="K879" s="117"/>
      <c r="L879" s="117"/>
      <c r="M879" s="117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  <c r="AA879" s="117"/>
      <c r="AB879" s="117"/>
    </row>
    <row r="880">
      <c r="A880" s="114"/>
      <c r="B880" s="117"/>
      <c r="C880" s="116"/>
      <c r="D880" s="116"/>
      <c r="E880" s="116"/>
      <c r="F880" s="116"/>
      <c r="G880" s="117"/>
      <c r="H880" s="117"/>
      <c r="I880" s="117"/>
      <c r="J880" s="117"/>
      <c r="K880" s="117"/>
      <c r="L880" s="117"/>
      <c r="M880" s="117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  <c r="AA880" s="117"/>
      <c r="AB880" s="117"/>
    </row>
    <row r="881">
      <c r="A881" s="114"/>
      <c r="B881" s="117"/>
      <c r="C881" s="116"/>
      <c r="D881" s="116"/>
      <c r="E881" s="116"/>
      <c r="F881" s="116"/>
      <c r="G881" s="117"/>
      <c r="H881" s="117"/>
      <c r="I881" s="117"/>
      <c r="J881" s="117"/>
      <c r="K881" s="117"/>
      <c r="L881" s="117"/>
      <c r="M881" s="117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  <c r="AA881" s="117"/>
      <c r="AB881" s="117"/>
    </row>
    <row r="882">
      <c r="A882" s="114"/>
      <c r="B882" s="117"/>
      <c r="C882" s="116"/>
      <c r="D882" s="116"/>
      <c r="E882" s="116"/>
      <c r="F882" s="116"/>
      <c r="G882" s="117"/>
      <c r="H882" s="117"/>
      <c r="I882" s="117"/>
      <c r="J882" s="117"/>
      <c r="K882" s="117"/>
      <c r="L882" s="117"/>
      <c r="M882" s="117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  <c r="AA882" s="117"/>
      <c r="AB882" s="117"/>
    </row>
    <row r="883">
      <c r="A883" s="114"/>
      <c r="B883" s="117"/>
      <c r="C883" s="116"/>
      <c r="D883" s="116"/>
      <c r="E883" s="116"/>
      <c r="F883" s="116"/>
      <c r="G883" s="117"/>
      <c r="H883" s="117"/>
      <c r="I883" s="117"/>
      <c r="J883" s="117"/>
      <c r="K883" s="117"/>
      <c r="L883" s="117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  <c r="AA883" s="117"/>
      <c r="AB883" s="117"/>
    </row>
    <row r="884">
      <c r="A884" s="114"/>
      <c r="B884" s="117"/>
      <c r="C884" s="116"/>
      <c r="D884" s="116"/>
      <c r="E884" s="116"/>
      <c r="F884" s="116"/>
      <c r="G884" s="117"/>
      <c r="H884" s="117"/>
      <c r="I884" s="117"/>
      <c r="J884" s="117"/>
      <c r="K884" s="117"/>
      <c r="L884" s="117"/>
      <c r="M884" s="117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  <c r="AA884" s="117"/>
      <c r="AB884" s="117"/>
    </row>
    <row r="885">
      <c r="A885" s="114"/>
      <c r="B885" s="117"/>
      <c r="C885" s="116"/>
      <c r="D885" s="116"/>
      <c r="E885" s="116"/>
      <c r="F885" s="116"/>
      <c r="G885" s="117"/>
      <c r="H885" s="117"/>
      <c r="I885" s="117"/>
      <c r="J885" s="117"/>
      <c r="K885" s="117"/>
      <c r="L885" s="117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  <c r="AA885" s="117"/>
      <c r="AB885" s="117"/>
    </row>
    <row r="886">
      <c r="A886" s="114"/>
      <c r="B886" s="117"/>
      <c r="C886" s="116"/>
      <c r="D886" s="116"/>
      <c r="E886" s="116"/>
      <c r="F886" s="116"/>
      <c r="G886" s="117"/>
      <c r="H886" s="117"/>
      <c r="I886" s="117"/>
      <c r="J886" s="117"/>
      <c r="K886" s="117"/>
      <c r="L886" s="117"/>
      <c r="M886" s="117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  <c r="AA886" s="117"/>
      <c r="AB886" s="117"/>
    </row>
    <row r="887">
      <c r="A887" s="114"/>
      <c r="B887" s="117"/>
      <c r="C887" s="116"/>
      <c r="D887" s="116"/>
      <c r="E887" s="116"/>
      <c r="F887" s="116"/>
      <c r="G887" s="117"/>
      <c r="H887" s="117"/>
      <c r="I887" s="117"/>
      <c r="J887" s="117"/>
      <c r="K887" s="117"/>
      <c r="L887" s="117"/>
      <c r="M887" s="117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  <c r="AA887" s="117"/>
      <c r="AB887" s="117"/>
    </row>
    <row r="888">
      <c r="A888" s="114"/>
      <c r="B888" s="117"/>
      <c r="C888" s="116"/>
      <c r="D888" s="116"/>
      <c r="E888" s="116"/>
      <c r="F888" s="116"/>
      <c r="G888" s="117"/>
      <c r="H888" s="117"/>
      <c r="I888" s="117"/>
      <c r="J888" s="117"/>
      <c r="K888" s="117"/>
      <c r="L888" s="117"/>
      <c r="M888" s="117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  <c r="AA888" s="117"/>
      <c r="AB888" s="117"/>
    </row>
    <row r="889">
      <c r="A889" s="114"/>
      <c r="B889" s="117"/>
      <c r="C889" s="116"/>
      <c r="D889" s="116"/>
      <c r="E889" s="116"/>
      <c r="F889" s="116"/>
      <c r="G889" s="117"/>
      <c r="H889" s="117"/>
      <c r="I889" s="117"/>
      <c r="J889" s="117"/>
      <c r="K889" s="117"/>
      <c r="L889" s="117"/>
      <c r="M889" s="117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17"/>
      <c r="Y889" s="117"/>
      <c r="Z889" s="117"/>
      <c r="AA889" s="117"/>
      <c r="AB889" s="117"/>
    </row>
    <row r="890">
      <c r="A890" s="114"/>
      <c r="B890" s="117"/>
      <c r="C890" s="116"/>
      <c r="D890" s="116"/>
      <c r="E890" s="116"/>
      <c r="F890" s="116"/>
      <c r="G890" s="117"/>
      <c r="H890" s="117"/>
      <c r="I890" s="117"/>
      <c r="J890" s="117"/>
      <c r="K890" s="117"/>
      <c r="L890" s="117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  <c r="AA890" s="117"/>
      <c r="AB890" s="117"/>
    </row>
    <row r="891">
      <c r="A891" s="114"/>
      <c r="B891" s="117"/>
      <c r="C891" s="116"/>
      <c r="D891" s="116"/>
      <c r="E891" s="116"/>
      <c r="F891" s="116"/>
      <c r="G891" s="117"/>
      <c r="H891" s="117"/>
      <c r="I891" s="117"/>
      <c r="J891" s="117"/>
      <c r="K891" s="117"/>
      <c r="L891" s="117"/>
      <c r="M891" s="117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  <c r="AA891" s="117"/>
      <c r="AB891" s="117"/>
    </row>
    <row r="892">
      <c r="A892" s="114"/>
      <c r="B892" s="117"/>
      <c r="C892" s="116"/>
      <c r="D892" s="116"/>
      <c r="E892" s="116"/>
      <c r="F892" s="116"/>
      <c r="G892" s="117"/>
      <c r="H892" s="117"/>
      <c r="I892" s="117"/>
      <c r="J892" s="117"/>
      <c r="K892" s="117"/>
      <c r="L892" s="117"/>
      <c r="M892" s="117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  <c r="AA892" s="117"/>
      <c r="AB892" s="117"/>
    </row>
    <row r="893">
      <c r="A893" s="114"/>
      <c r="B893" s="117"/>
      <c r="C893" s="116"/>
      <c r="D893" s="116"/>
      <c r="E893" s="116"/>
      <c r="F893" s="116"/>
      <c r="G893" s="117"/>
      <c r="H893" s="117"/>
      <c r="I893" s="117"/>
      <c r="J893" s="117"/>
      <c r="K893" s="117"/>
      <c r="L893" s="117"/>
      <c r="M893" s="117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  <c r="AA893" s="117"/>
      <c r="AB893" s="117"/>
    </row>
    <row r="894">
      <c r="A894" s="114"/>
      <c r="B894" s="117"/>
      <c r="C894" s="116"/>
      <c r="D894" s="116"/>
      <c r="E894" s="116"/>
      <c r="F894" s="116"/>
      <c r="G894" s="117"/>
      <c r="H894" s="117"/>
      <c r="I894" s="117"/>
      <c r="J894" s="117"/>
      <c r="K894" s="117"/>
      <c r="L894" s="117"/>
      <c r="M894" s="117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  <c r="AA894" s="117"/>
      <c r="AB894" s="117"/>
    </row>
    <row r="895">
      <c r="A895" s="114"/>
      <c r="B895" s="117"/>
      <c r="C895" s="116"/>
      <c r="D895" s="116"/>
      <c r="E895" s="116"/>
      <c r="F895" s="116"/>
      <c r="G895" s="117"/>
      <c r="H895" s="117"/>
      <c r="I895" s="117"/>
      <c r="J895" s="117"/>
      <c r="K895" s="117"/>
      <c r="L895" s="117"/>
      <c r="M895" s="117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  <c r="AA895" s="117"/>
      <c r="AB895" s="117"/>
    </row>
    <row r="896">
      <c r="A896" s="114"/>
      <c r="B896" s="117"/>
      <c r="C896" s="116"/>
      <c r="D896" s="116"/>
      <c r="E896" s="116"/>
      <c r="F896" s="116"/>
      <c r="G896" s="117"/>
      <c r="H896" s="117"/>
      <c r="I896" s="117"/>
      <c r="J896" s="117"/>
      <c r="K896" s="117"/>
      <c r="L896" s="117"/>
      <c r="M896" s="117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117"/>
      <c r="AB896" s="117"/>
    </row>
    <row r="897">
      <c r="A897" s="114"/>
      <c r="B897" s="117"/>
      <c r="C897" s="116"/>
      <c r="D897" s="116"/>
      <c r="E897" s="116"/>
      <c r="F897" s="116"/>
      <c r="G897" s="117"/>
      <c r="H897" s="117"/>
      <c r="I897" s="117"/>
      <c r="J897" s="117"/>
      <c r="K897" s="117"/>
      <c r="L897" s="117"/>
      <c r="M897" s="117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  <c r="AA897" s="117"/>
      <c r="AB897" s="117"/>
    </row>
    <row r="898">
      <c r="A898" s="114"/>
      <c r="B898" s="117"/>
      <c r="C898" s="116"/>
      <c r="D898" s="116"/>
      <c r="E898" s="116"/>
      <c r="F898" s="116"/>
      <c r="G898" s="117"/>
      <c r="H898" s="117"/>
      <c r="I898" s="117"/>
      <c r="J898" s="117"/>
      <c r="K898" s="117"/>
      <c r="L898" s="117"/>
      <c r="M898" s="117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  <c r="AA898" s="117"/>
      <c r="AB898" s="117"/>
    </row>
    <row r="899">
      <c r="A899" s="114"/>
      <c r="B899" s="117"/>
      <c r="C899" s="116"/>
      <c r="D899" s="116"/>
      <c r="E899" s="116"/>
      <c r="F899" s="116"/>
      <c r="G899" s="117"/>
      <c r="H899" s="117"/>
      <c r="I899" s="117"/>
      <c r="J899" s="117"/>
      <c r="K899" s="117"/>
      <c r="L899" s="117"/>
      <c r="M899" s="117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  <c r="AA899" s="117"/>
      <c r="AB899" s="117"/>
    </row>
    <row r="900">
      <c r="A900" s="114"/>
      <c r="B900" s="117"/>
      <c r="C900" s="116"/>
      <c r="D900" s="116"/>
      <c r="E900" s="116"/>
      <c r="F900" s="116"/>
      <c r="G900" s="117"/>
      <c r="H900" s="117"/>
      <c r="I900" s="117"/>
      <c r="J900" s="117"/>
      <c r="K900" s="117"/>
      <c r="L900" s="117"/>
      <c r="M900" s="117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  <c r="AA900" s="117"/>
      <c r="AB900" s="117"/>
    </row>
    <row r="901">
      <c r="A901" s="114"/>
      <c r="B901" s="117"/>
      <c r="C901" s="116"/>
      <c r="D901" s="116"/>
      <c r="E901" s="116"/>
      <c r="F901" s="116"/>
      <c r="G901" s="117"/>
      <c r="H901" s="117"/>
      <c r="I901" s="117"/>
      <c r="J901" s="117"/>
      <c r="K901" s="117"/>
      <c r="L901" s="117"/>
      <c r="M901" s="117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  <c r="X901" s="117"/>
      <c r="Y901" s="117"/>
      <c r="Z901" s="117"/>
      <c r="AA901" s="117"/>
      <c r="AB901" s="117"/>
    </row>
    <row r="902">
      <c r="A902" s="114"/>
      <c r="B902" s="117"/>
      <c r="C902" s="116"/>
      <c r="D902" s="116"/>
      <c r="E902" s="116"/>
      <c r="F902" s="116"/>
      <c r="G902" s="117"/>
      <c r="H902" s="117"/>
      <c r="I902" s="117"/>
      <c r="J902" s="117"/>
      <c r="K902" s="117"/>
      <c r="L902" s="117"/>
      <c r="M902" s="117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  <c r="AA902" s="117"/>
      <c r="AB902" s="117"/>
    </row>
    <row r="903">
      <c r="A903" s="114"/>
      <c r="B903" s="117"/>
      <c r="C903" s="116"/>
      <c r="D903" s="116"/>
      <c r="E903" s="116"/>
      <c r="F903" s="116"/>
      <c r="G903" s="117"/>
      <c r="H903" s="117"/>
      <c r="I903" s="117"/>
      <c r="J903" s="117"/>
      <c r="K903" s="117"/>
      <c r="L903" s="117"/>
      <c r="M903" s="117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  <c r="AA903" s="117"/>
      <c r="AB903" s="117"/>
    </row>
    <row r="904">
      <c r="A904" s="114"/>
      <c r="B904" s="117"/>
      <c r="C904" s="116"/>
      <c r="D904" s="116"/>
      <c r="E904" s="116"/>
      <c r="F904" s="116"/>
      <c r="G904" s="117"/>
      <c r="H904" s="117"/>
      <c r="I904" s="117"/>
      <c r="J904" s="117"/>
      <c r="K904" s="117"/>
      <c r="L904" s="117"/>
      <c r="M904" s="117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  <c r="AA904" s="117"/>
      <c r="AB904" s="117"/>
    </row>
    <row r="905">
      <c r="A905" s="114"/>
      <c r="B905" s="117"/>
      <c r="C905" s="116"/>
      <c r="D905" s="116"/>
      <c r="E905" s="116"/>
      <c r="F905" s="116"/>
      <c r="G905" s="117"/>
      <c r="H905" s="117"/>
      <c r="I905" s="117"/>
      <c r="J905" s="117"/>
      <c r="K905" s="117"/>
      <c r="L905" s="117"/>
      <c r="M905" s="117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  <c r="AA905" s="117"/>
      <c r="AB905" s="117"/>
    </row>
    <row r="906">
      <c r="A906" s="114"/>
      <c r="B906" s="117"/>
      <c r="C906" s="116"/>
      <c r="D906" s="116"/>
      <c r="E906" s="116"/>
      <c r="F906" s="116"/>
      <c r="G906" s="117"/>
      <c r="H906" s="117"/>
      <c r="I906" s="117"/>
      <c r="J906" s="117"/>
      <c r="K906" s="117"/>
      <c r="L906" s="117"/>
      <c r="M906" s="117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  <c r="AA906" s="117"/>
      <c r="AB906" s="117"/>
    </row>
    <row r="907">
      <c r="A907" s="114"/>
      <c r="B907" s="117"/>
      <c r="C907" s="116"/>
      <c r="D907" s="116"/>
      <c r="E907" s="116"/>
      <c r="F907" s="116"/>
      <c r="G907" s="117"/>
      <c r="H907" s="117"/>
      <c r="I907" s="117"/>
      <c r="J907" s="117"/>
      <c r="K907" s="117"/>
      <c r="L907" s="117"/>
      <c r="M907" s="117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  <c r="AA907" s="117"/>
      <c r="AB907" s="117"/>
    </row>
    <row r="908">
      <c r="A908" s="114"/>
      <c r="B908" s="117"/>
      <c r="C908" s="116"/>
      <c r="D908" s="116"/>
      <c r="E908" s="116"/>
      <c r="F908" s="116"/>
      <c r="G908" s="117"/>
      <c r="H908" s="117"/>
      <c r="I908" s="117"/>
      <c r="J908" s="117"/>
      <c r="K908" s="117"/>
      <c r="L908" s="117"/>
      <c r="M908" s="117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  <c r="AA908" s="117"/>
      <c r="AB908" s="117"/>
    </row>
    <row r="909">
      <c r="A909" s="114"/>
      <c r="B909" s="117"/>
      <c r="C909" s="116"/>
      <c r="D909" s="116"/>
      <c r="E909" s="116"/>
      <c r="F909" s="116"/>
      <c r="G909" s="117"/>
      <c r="H909" s="117"/>
      <c r="I909" s="117"/>
      <c r="J909" s="117"/>
      <c r="K909" s="117"/>
      <c r="L909" s="117"/>
      <c r="M909" s="117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  <c r="AA909" s="117"/>
      <c r="AB909" s="117"/>
    </row>
    <row r="910">
      <c r="A910" s="114"/>
      <c r="B910" s="117"/>
      <c r="C910" s="116"/>
      <c r="D910" s="116"/>
      <c r="E910" s="116"/>
      <c r="F910" s="116"/>
      <c r="G910" s="117"/>
      <c r="H910" s="117"/>
      <c r="I910" s="117"/>
      <c r="J910" s="117"/>
      <c r="K910" s="117"/>
      <c r="L910" s="117"/>
      <c r="M910" s="117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  <c r="AA910" s="117"/>
      <c r="AB910" s="117"/>
    </row>
    <row r="911">
      <c r="A911" s="114"/>
      <c r="B911" s="117"/>
      <c r="C911" s="116"/>
      <c r="D911" s="116"/>
      <c r="E911" s="116"/>
      <c r="F911" s="116"/>
      <c r="G911" s="117"/>
      <c r="H911" s="117"/>
      <c r="I911" s="117"/>
      <c r="J911" s="117"/>
      <c r="K911" s="117"/>
      <c r="L911" s="117"/>
      <c r="M911" s="117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  <c r="AA911" s="117"/>
      <c r="AB911" s="117"/>
    </row>
    <row r="912">
      <c r="A912" s="114"/>
      <c r="B912" s="117"/>
      <c r="C912" s="116"/>
      <c r="D912" s="116"/>
      <c r="E912" s="116"/>
      <c r="F912" s="116"/>
      <c r="G912" s="117"/>
      <c r="H912" s="117"/>
      <c r="I912" s="117"/>
      <c r="J912" s="117"/>
      <c r="K912" s="117"/>
      <c r="L912" s="117"/>
      <c r="M912" s="117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  <c r="AA912" s="117"/>
      <c r="AB912" s="117"/>
    </row>
    <row r="913">
      <c r="A913" s="114"/>
      <c r="B913" s="117"/>
      <c r="C913" s="116"/>
      <c r="D913" s="116"/>
      <c r="E913" s="116"/>
      <c r="F913" s="116"/>
      <c r="G913" s="117"/>
      <c r="H913" s="117"/>
      <c r="I913" s="117"/>
      <c r="J913" s="117"/>
      <c r="K913" s="117"/>
      <c r="L913" s="117"/>
      <c r="M913" s="117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  <c r="X913" s="117"/>
      <c r="Y913" s="117"/>
      <c r="Z913" s="117"/>
      <c r="AA913" s="117"/>
      <c r="AB913" s="117"/>
    </row>
    <row r="914">
      <c r="A914" s="114"/>
      <c r="B914" s="117"/>
      <c r="C914" s="116"/>
      <c r="D914" s="116"/>
      <c r="E914" s="116"/>
      <c r="F914" s="116"/>
      <c r="G914" s="117"/>
      <c r="H914" s="117"/>
      <c r="I914" s="117"/>
      <c r="J914" s="117"/>
      <c r="K914" s="117"/>
      <c r="L914" s="117"/>
      <c r="M914" s="117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  <c r="X914" s="117"/>
      <c r="Y914" s="117"/>
      <c r="Z914" s="117"/>
      <c r="AA914" s="117"/>
      <c r="AB914" s="117"/>
    </row>
    <row r="915">
      <c r="A915" s="114"/>
      <c r="B915" s="117"/>
      <c r="C915" s="116"/>
      <c r="D915" s="116"/>
      <c r="E915" s="116"/>
      <c r="F915" s="116"/>
      <c r="G915" s="117"/>
      <c r="H915" s="117"/>
      <c r="I915" s="117"/>
      <c r="J915" s="117"/>
      <c r="K915" s="117"/>
      <c r="L915" s="117"/>
      <c r="M915" s="117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  <c r="AA915" s="117"/>
      <c r="AB915" s="117"/>
    </row>
    <row r="916">
      <c r="A916" s="114"/>
      <c r="B916" s="117"/>
      <c r="C916" s="116"/>
      <c r="D916" s="116"/>
      <c r="E916" s="116"/>
      <c r="F916" s="116"/>
      <c r="G916" s="117"/>
      <c r="H916" s="117"/>
      <c r="I916" s="117"/>
      <c r="J916" s="117"/>
      <c r="K916" s="117"/>
      <c r="L916" s="117"/>
      <c r="M916" s="117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  <c r="X916" s="117"/>
      <c r="Y916" s="117"/>
      <c r="Z916" s="117"/>
      <c r="AA916" s="117"/>
      <c r="AB916" s="117"/>
    </row>
    <row r="917">
      <c r="A917" s="114"/>
      <c r="B917" s="117"/>
      <c r="C917" s="116"/>
      <c r="D917" s="116"/>
      <c r="E917" s="116"/>
      <c r="F917" s="116"/>
      <c r="G917" s="117"/>
      <c r="H917" s="117"/>
      <c r="I917" s="117"/>
      <c r="J917" s="117"/>
      <c r="K917" s="117"/>
      <c r="L917" s="117"/>
      <c r="M917" s="117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  <c r="AA917" s="117"/>
      <c r="AB917" s="117"/>
    </row>
    <row r="918">
      <c r="A918" s="114"/>
      <c r="B918" s="117"/>
      <c r="C918" s="116"/>
      <c r="D918" s="116"/>
      <c r="E918" s="116"/>
      <c r="F918" s="116"/>
      <c r="G918" s="117"/>
      <c r="H918" s="117"/>
      <c r="I918" s="117"/>
      <c r="J918" s="117"/>
      <c r="K918" s="117"/>
      <c r="L918" s="117"/>
      <c r="M918" s="117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  <c r="AA918" s="117"/>
      <c r="AB918" s="117"/>
    </row>
    <row r="919">
      <c r="A919" s="114"/>
      <c r="B919" s="117"/>
      <c r="C919" s="116"/>
      <c r="D919" s="116"/>
      <c r="E919" s="116"/>
      <c r="F919" s="116"/>
      <c r="G919" s="117"/>
      <c r="H919" s="117"/>
      <c r="I919" s="117"/>
      <c r="J919" s="117"/>
      <c r="K919" s="117"/>
      <c r="L919" s="117"/>
      <c r="M919" s="117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  <c r="AA919" s="117"/>
      <c r="AB919" s="117"/>
    </row>
    <row r="920">
      <c r="A920" s="114"/>
      <c r="B920" s="117"/>
      <c r="C920" s="116"/>
      <c r="D920" s="116"/>
      <c r="E920" s="116"/>
      <c r="F920" s="116"/>
      <c r="G920" s="117"/>
      <c r="H920" s="117"/>
      <c r="I920" s="117"/>
      <c r="J920" s="117"/>
      <c r="K920" s="117"/>
      <c r="L920" s="117"/>
      <c r="M920" s="117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  <c r="AA920" s="117"/>
      <c r="AB920" s="117"/>
    </row>
    <row r="921">
      <c r="A921" s="114"/>
      <c r="B921" s="117"/>
      <c r="C921" s="116"/>
      <c r="D921" s="116"/>
      <c r="E921" s="116"/>
      <c r="F921" s="116"/>
      <c r="G921" s="117"/>
      <c r="H921" s="117"/>
      <c r="I921" s="117"/>
      <c r="J921" s="117"/>
      <c r="K921" s="117"/>
      <c r="L921" s="117"/>
      <c r="M921" s="117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  <c r="AA921" s="117"/>
      <c r="AB921" s="117"/>
    </row>
    <row r="922">
      <c r="A922" s="114"/>
      <c r="B922" s="117"/>
      <c r="C922" s="116"/>
      <c r="D922" s="116"/>
      <c r="E922" s="116"/>
      <c r="F922" s="116"/>
      <c r="G922" s="117"/>
      <c r="H922" s="117"/>
      <c r="I922" s="117"/>
      <c r="J922" s="117"/>
      <c r="K922" s="117"/>
      <c r="L922" s="117"/>
      <c r="M922" s="117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  <c r="AA922" s="117"/>
      <c r="AB922" s="117"/>
    </row>
    <row r="923">
      <c r="A923" s="114"/>
      <c r="B923" s="117"/>
      <c r="C923" s="116"/>
      <c r="D923" s="116"/>
      <c r="E923" s="116"/>
      <c r="F923" s="116"/>
      <c r="G923" s="117"/>
      <c r="H923" s="117"/>
      <c r="I923" s="117"/>
      <c r="J923" s="117"/>
      <c r="K923" s="117"/>
      <c r="L923" s="117"/>
      <c r="M923" s="117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  <c r="AA923" s="117"/>
      <c r="AB923" s="117"/>
    </row>
    <row r="924">
      <c r="A924" s="114"/>
      <c r="B924" s="117"/>
      <c r="C924" s="116"/>
      <c r="D924" s="116"/>
      <c r="E924" s="116"/>
      <c r="F924" s="116"/>
      <c r="G924" s="117"/>
      <c r="H924" s="117"/>
      <c r="I924" s="117"/>
      <c r="J924" s="117"/>
      <c r="K924" s="117"/>
      <c r="L924" s="117"/>
      <c r="M924" s="117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  <c r="AA924" s="117"/>
      <c r="AB924" s="117"/>
    </row>
    <row r="925">
      <c r="A925" s="114"/>
      <c r="B925" s="117"/>
      <c r="C925" s="116"/>
      <c r="D925" s="116"/>
      <c r="E925" s="116"/>
      <c r="F925" s="116"/>
      <c r="G925" s="117"/>
      <c r="H925" s="117"/>
      <c r="I925" s="117"/>
      <c r="J925" s="117"/>
      <c r="K925" s="117"/>
      <c r="L925" s="117"/>
      <c r="M925" s="117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  <c r="X925" s="117"/>
      <c r="Y925" s="117"/>
      <c r="Z925" s="117"/>
      <c r="AA925" s="117"/>
      <c r="AB925" s="117"/>
    </row>
    <row r="926">
      <c r="A926" s="114"/>
      <c r="B926" s="117"/>
      <c r="C926" s="116"/>
      <c r="D926" s="116"/>
      <c r="E926" s="116"/>
      <c r="F926" s="116"/>
      <c r="G926" s="117"/>
      <c r="H926" s="117"/>
      <c r="I926" s="117"/>
      <c r="J926" s="117"/>
      <c r="K926" s="117"/>
      <c r="L926" s="117"/>
      <c r="M926" s="117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  <c r="AA926" s="117"/>
      <c r="AB926" s="117"/>
    </row>
    <row r="927">
      <c r="A927" s="114"/>
      <c r="B927" s="117"/>
      <c r="C927" s="116"/>
      <c r="D927" s="116"/>
      <c r="E927" s="116"/>
      <c r="F927" s="116"/>
      <c r="G927" s="117"/>
      <c r="H927" s="117"/>
      <c r="I927" s="117"/>
      <c r="J927" s="117"/>
      <c r="K927" s="117"/>
      <c r="L927" s="117"/>
      <c r="M927" s="117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  <c r="AA927" s="117"/>
      <c r="AB927" s="117"/>
    </row>
    <row r="928">
      <c r="A928" s="114"/>
      <c r="B928" s="117"/>
      <c r="C928" s="116"/>
      <c r="D928" s="116"/>
      <c r="E928" s="116"/>
      <c r="F928" s="116"/>
      <c r="G928" s="117"/>
      <c r="H928" s="117"/>
      <c r="I928" s="117"/>
      <c r="J928" s="117"/>
      <c r="K928" s="117"/>
      <c r="L928" s="117"/>
      <c r="M928" s="117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  <c r="AA928" s="117"/>
      <c r="AB928" s="117"/>
    </row>
    <row r="929">
      <c r="A929" s="114"/>
      <c r="B929" s="117"/>
      <c r="C929" s="116"/>
      <c r="D929" s="116"/>
      <c r="E929" s="116"/>
      <c r="F929" s="116"/>
      <c r="G929" s="117"/>
      <c r="H929" s="117"/>
      <c r="I929" s="117"/>
      <c r="J929" s="117"/>
      <c r="K929" s="117"/>
      <c r="L929" s="117"/>
      <c r="M929" s="117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  <c r="AA929" s="117"/>
      <c r="AB929" s="117"/>
    </row>
    <row r="930">
      <c r="A930" s="114"/>
      <c r="B930" s="117"/>
      <c r="C930" s="116"/>
      <c r="D930" s="116"/>
      <c r="E930" s="116"/>
      <c r="F930" s="116"/>
      <c r="G930" s="117"/>
      <c r="H930" s="117"/>
      <c r="I930" s="117"/>
      <c r="J930" s="117"/>
      <c r="K930" s="117"/>
      <c r="L930" s="117"/>
      <c r="M930" s="117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  <c r="AA930" s="117"/>
      <c r="AB930" s="117"/>
    </row>
    <row r="931">
      <c r="A931" s="114"/>
      <c r="B931" s="117"/>
      <c r="C931" s="116"/>
      <c r="D931" s="116"/>
      <c r="E931" s="116"/>
      <c r="F931" s="116"/>
      <c r="G931" s="117"/>
      <c r="H931" s="117"/>
      <c r="I931" s="117"/>
      <c r="J931" s="117"/>
      <c r="K931" s="117"/>
      <c r="L931" s="117"/>
      <c r="M931" s="117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  <c r="AA931" s="117"/>
      <c r="AB931" s="117"/>
    </row>
    <row r="932">
      <c r="A932" s="114"/>
      <c r="B932" s="117"/>
      <c r="C932" s="116"/>
      <c r="D932" s="116"/>
      <c r="E932" s="116"/>
      <c r="F932" s="116"/>
      <c r="G932" s="117"/>
      <c r="H932" s="117"/>
      <c r="I932" s="117"/>
      <c r="J932" s="117"/>
      <c r="K932" s="117"/>
      <c r="L932" s="117"/>
      <c r="M932" s="117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  <c r="AA932" s="117"/>
      <c r="AB932" s="117"/>
    </row>
    <row r="933">
      <c r="A933" s="114"/>
      <c r="B933" s="117"/>
      <c r="C933" s="116"/>
      <c r="D933" s="116"/>
      <c r="E933" s="116"/>
      <c r="F933" s="116"/>
      <c r="G933" s="117"/>
      <c r="H933" s="117"/>
      <c r="I933" s="117"/>
      <c r="J933" s="117"/>
      <c r="K933" s="117"/>
      <c r="L933" s="117"/>
      <c r="M933" s="117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  <c r="AA933" s="117"/>
      <c r="AB933" s="117"/>
    </row>
    <row r="934">
      <c r="A934" s="114"/>
      <c r="B934" s="117"/>
      <c r="C934" s="116"/>
      <c r="D934" s="116"/>
      <c r="E934" s="116"/>
      <c r="F934" s="116"/>
      <c r="G934" s="117"/>
      <c r="H934" s="117"/>
      <c r="I934" s="117"/>
      <c r="J934" s="117"/>
      <c r="K934" s="117"/>
      <c r="L934" s="117"/>
      <c r="M934" s="117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117"/>
      <c r="AB934" s="117"/>
    </row>
    <row r="935">
      <c r="A935" s="114"/>
      <c r="B935" s="117"/>
      <c r="C935" s="116"/>
      <c r="D935" s="116"/>
      <c r="E935" s="116"/>
      <c r="F935" s="116"/>
      <c r="G935" s="117"/>
      <c r="H935" s="117"/>
      <c r="I935" s="117"/>
      <c r="J935" s="117"/>
      <c r="K935" s="117"/>
      <c r="L935" s="117"/>
      <c r="M935" s="117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  <c r="AA935" s="117"/>
      <c r="AB935" s="117"/>
    </row>
    <row r="936">
      <c r="A936" s="114"/>
      <c r="B936" s="117"/>
      <c r="C936" s="116"/>
      <c r="D936" s="116"/>
      <c r="E936" s="116"/>
      <c r="F936" s="116"/>
      <c r="G936" s="117"/>
      <c r="H936" s="117"/>
      <c r="I936" s="117"/>
      <c r="J936" s="117"/>
      <c r="K936" s="117"/>
      <c r="L936" s="117"/>
      <c r="M936" s="117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  <c r="AA936" s="117"/>
      <c r="AB936" s="117"/>
    </row>
    <row r="937">
      <c r="A937" s="114"/>
      <c r="B937" s="117"/>
      <c r="C937" s="116"/>
      <c r="D937" s="116"/>
      <c r="E937" s="116"/>
      <c r="F937" s="116"/>
      <c r="G937" s="117"/>
      <c r="H937" s="117"/>
      <c r="I937" s="117"/>
      <c r="J937" s="117"/>
      <c r="K937" s="117"/>
      <c r="L937" s="117"/>
      <c r="M937" s="117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  <c r="X937" s="117"/>
      <c r="Y937" s="117"/>
      <c r="Z937" s="117"/>
      <c r="AA937" s="117"/>
      <c r="AB937" s="117"/>
    </row>
    <row r="938">
      <c r="A938" s="114"/>
      <c r="B938" s="117"/>
      <c r="C938" s="116"/>
      <c r="D938" s="116"/>
      <c r="E938" s="116"/>
      <c r="F938" s="116"/>
      <c r="G938" s="117"/>
      <c r="H938" s="117"/>
      <c r="I938" s="117"/>
      <c r="J938" s="117"/>
      <c r="K938" s="117"/>
      <c r="L938" s="117"/>
      <c r="M938" s="117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  <c r="AA938" s="117"/>
      <c r="AB938" s="117"/>
    </row>
    <row r="939">
      <c r="A939" s="114"/>
      <c r="B939" s="117"/>
      <c r="C939" s="116"/>
      <c r="D939" s="116"/>
      <c r="E939" s="116"/>
      <c r="F939" s="116"/>
      <c r="G939" s="117"/>
      <c r="H939" s="117"/>
      <c r="I939" s="117"/>
      <c r="J939" s="117"/>
      <c r="K939" s="117"/>
      <c r="L939" s="117"/>
      <c r="M939" s="117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  <c r="AA939" s="117"/>
      <c r="AB939" s="117"/>
    </row>
    <row r="940">
      <c r="A940" s="114"/>
      <c r="B940" s="117"/>
      <c r="C940" s="116"/>
      <c r="D940" s="116"/>
      <c r="E940" s="116"/>
      <c r="F940" s="116"/>
      <c r="G940" s="117"/>
      <c r="H940" s="117"/>
      <c r="I940" s="117"/>
      <c r="J940" s="117"/>
      <c r="K940" s="117"/>
      <c r="L940" s="117"/>
      <c r="M940" s="117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  <c r="AA940" s="117"/>
      <c r="AB940" s="117"/>
    </row>
    <row r="941">
      <c r="A941" s="114"/>
      <c r="B941" s="117"/>
      <c r="C941" s="116"/>
      <c r="D941" s="116"/>
      <c r="E941" s="116"/>
      <c r="F941" s="116"/>
      <c r="G941" s="117"/>
      <c r="H941" s="117"/>
      <c r="I941" s="117"/>
      <c r="J941" s="117"/>
      <c r="K941" s="117"/>
      <c r="L941" s="117"/>
      <c r="M941" s="117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  <c r="AA941" s="117"/>
      <c r="AB941" s="117"/>
    </row>
    <row r="942">
      <c r="A942" s="114"/>
      <c r="B942" s="117"/>
      <c r="C942" s="116"/>
      <c r="D942" s="116"/>
      <c r="E942" s="116"/>
      <c r="F942" s="116"/>
      <c r="G942" s="117"/>
      <c r="H942" s="117"/>
      <c r="I942" s="117"/>
      <c r="J942" s="117"/>
      <c r="K942" s="117"/>
      <c r="L942" s="117"/>
      <c r="M942" s="117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  <c r="AA942" s="117"/>
      <c r="AB942" s="117"/>
    </row>
    <row r="943">
      <c r="A943" s="114"/>
      <c r="B943" s="117"/>
      <c r="C943" s="116"/>
      <c r="D943" s="116"/>
      <c r="E943" s="116"/>
      <c r="F943" s="116"/>
      <c r="G943" s="117"/>
      <c r="H943" s="117"/>
      <c r="I943" s="117"/>
      <c r="J943" s="117"/>
      <c r="K943" s="117"/>
      <c r="L943" s="117"/>
      <c r="M943" s="117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  <c r="AA943" s="117"/>
      <c r="AB943" s="117"/>
    </row>
    <row r="944">
      <c r="A944" s="114"/>
      <c r="B944" s="117"/>
      <c r="C944" s="116"/>
      <c r="D944" s="116"/>
      <c r="E944" s="116"/>
      <c r="F944" s="116"/>
      <c r="G944" s="117"/>
      <c r="H944" s="117"/>
      <c r="I944" s="117"/>
      <c r="J944" s="117"/>
      <c r="K944" s="117"/>
      <c r="L944" s="117"/>
      <c r="M944" s="117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  <c r="AA944" s="117"/>
      <c r="AB944" s="117"/>
    </row>
    <row r="945">
      <c r="A945" s="114"/>
      <c r="B945" s="117"/>
      <c r="C945" s="116"/>
      <c r="D945" s="116"/>
      <c r="E945" s="116"/>
      <c r="F945" s="116"/>
      <c r="G945" s="117"/>
      <c r="H945" s="117"/>
      <c r="I945" s="117"/>
      <c r="J945" s="117"/>
      <c r="K945" s="117"/>
      <c r="L945" s="117"/>
      <c r="M945" s="117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  <c r="AA945" s="117"/>
      <c r="AB945" s="117"/>
    </row>
    <row r="946">
      <c r="A946" s="114"/>
      <c r="B946" s="117"/>
      <c r="C946" s="116"/>
      <c r="D946" s="116"/>
      <c r="E946" s="116"/>
      <c r="F946" s="116"/>
      <c r="G946" s="117"/>
      <c r="H946" s="117"/>
      <c r="I946" s="117"/>
      <c r="J946" s="117"/>
      <c r="K946" s="117"/>
      <c r="L946" s="117"/>
      <c r="M946" s="117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  <c r="AA946" s="117"/>
      <c r="AB946" s="117"/>
    </row>
    <row r="947">
      <c r="A947" s="114"/>
      <c r="B947" s="117"/>
      <c r="C947" s="116"/>
      <c r="D947" s="116"/>
      <c r="E947" s="116"/>
      <c r="F947" s="116"/>
      <c r="G947" s="117"/>
      <c r="H947" s="117"/>
      <c r="I947" s="117"/>
      <c r="J947" s="117"/>
      <c r="K947" s="117"/>
      <c r="L947" s="117"/>
      <c r="M947" s="117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  <c r="AA947" s="117"/>
      <c r="AB947" s="117"/>
    </row>
    <row r="948">
      <c r="A948" s="114"/>
      <c r="B948" s="117"/>
      <c r="C948" s="116"/>
      <c r="D948" s="116"/>
      <c r="E948" s="116"/>
      <c r="F948" s="116"/>
      <c r="G948" s="117"/>
      <c r="H948" s="117"/>
      <c r="I948" s="117"/>
      <c r="J948" s="117"/>
      <c r="K948" s="117"/>
      <c r="L948" s="117"/>
      <c r="M948" s="117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  <c r="AA948" s="117"/>
      <c r="AB948" s="117"/>
    </row>
    <row r="949">
      <c r="A949" s="114"/>
      <c r="B949" s="117"/>
      <c r="C949" s="116"/>
      <c r="D949" s="116"/>
      <c r="E949" s="116"/>
      <c r="F949" s="116"/>
      <c r="G949" s="117"/>
      <c r="H949" s="117"/>
      <c r="I949" s="117"/>
      <c r="J949" s="117"/>
      <c r="K949" s="117"/>
      <c r="L949" s="117"/>
      <c r="M949" s="117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  <c r="X949" s="117"/>
      <c r="Y949" s="117"/>
      <c r="Z949" s="117"/>
      <c r="AA949" s="117"/>
      <c r="AB949" s="117"/>
    </row>
    <row r="950">
      <c r="A950" s="114"/>
      <c r="B950" s="117"/>
      <c r="C950" s="116"/>
      <c r="D950" s="116"/>
      <c r="E950" s="116"/>
      <c r="F950" s="116"/>
      <c r="G950" s="117"/>
      <c r="H950" s="117"/>
      <c r="I950" s="117"/>
      <c r="J950" s="117"/>
      <c r="K950" s="117"/>
      <c r="L950" s="117"/>
      <c r="M950" s="117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  <c r="AA950" s="117"/>
      <c r="AB950" s="117"/>
    </row>
    <row r="951">
      <c r="A951" s="114"/>
      <c r="B951" s="117"/>
      <c r="C951" s="116"/>
      <c r="D951" s="116"/>
      <c r="E951" s="116"/>
      <c r="F951" s="116"/>
      <c r="G951" s="117"/>
      <c r="H951" s="117"/>
      <c r="I951" s="117"/>
      <c r="J951" s="117"/>
      <c r="K951" s="117"/>
      <c r="L951" s="117"/>
      <c r="M951" s="117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  <c r="AA951" s="117"/>
      <c r="AB951" s="117"/>
    </row>
    <row r="952">
      <c r="A952" s="114"/>
      <c r="B952" s="117"/>
      <c r="C952" s="116"/>
      <c r="D952" s="116"/>
      <c r="E952" s="116"/>
      <c r="F952" s="116"/>
      <c r="G952" s="117"/>
      <c r="H952" s="117"/>
      <c r="I952" s="117"/>
      <c r="J952" s="117"/>
      <c r="K952" s="117"/>
      <c r="L952" s="117"/>
      <c r="M952" s="117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  <c r="AA952" s="117"/>
      <c r="AB952" s="117"/>
    </row>
    <row r="953">
      <c r="A953" s="114"/>
      <c r="B953" s="117"/>
      <c r="C953" s="116"/>
      <c r="D953" s="116"/>
      <c r="E953" s="116"/>
      <c r="F953" s="116"/>
      <c r="G953" s="117"/>
      <c r="H953" s="117"/>
      <c r="I953" s="117"/>
      <c r="J953" s="117"/>
      <c r="K953" s="117"/>
      <c r="L953" s="117"/>
      <c r="M953" s="117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  <c r="X953" s="117"/>
      <c r="Y953" s="117"/>
      <c r="Z953" s="117"/>
      <c r="AA953" s="117"/>
      <c r="AB953" s="117"/>
    </row>
    <row r="954">
      <c r="A954" s="114"/>
      <c r="B954" s="117"/>
      <c r="C954" s="116"/>
      <c r="D954" s="116"/>
      <c r="E954" s="116"/>
      <c r="F954" s="116"/>
      <c r="G954" s="117"/>
      <c r="H954" s="117"/>
      <c r="I954" s="117"/>
      <c r="J954" s="117"/>
      <c r="K954" s="117"/>
      <c r="L954" s="117"/>
      <c r="M954" s="117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  <c r="X954" s="117"/>
      <c r="Y954" s="117"/>
      <c r="Z954" s="117"/>
      <c r="AA954" s="117"/>
      <c r="AB954" s="117"/>
    </row>
    <row r="955">
      <c r="A955" s="114"/>
      <c r="B955" s="117"/>
      <c r="C955" s="116"/>
      <c r="D955" s="116"/>
      <c r="E955" s="116"/>
      <c r="F955" s="116"/>
      <c r="G955" s="117"/>
      <c r="H955" s="117"/>
      <c r="I955" s="117"/>
      <c r="J955" s="117"/>
      <c r="K955" s="117"/>
      <c r="L955" s="117"/>
      <c r="M955" s="117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  <c r="X955" s="117"/>
      <c r="Y955" s="117"/>
      <c r="Z955" s="117"/>
      <c r="AA955" s="117"/>
      <c r="AB955" s="117"/>
    </row>
    <row r="956">
      <c r="A956" s="114"/>
      <c r="B956" s="117"/>
      <c r="C956" s="116"/>
      <c r="D956" s="116"/>
      <c r="E956" s="116"/>
      <c r="F956" s="116"/>
      <c r="G956" s="117"/>
      <c r="H956" s="117"/>
      <c r="I956" s="117"/>
      <c r="J956" s="117"/>
      <c r="K956" s="117"/>
      <c r="L956" s="117"/>
      <c r="M956" s="117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  <c r="X956" s="117"/>
      <c r="Y956" s="117"/>
      <c r="Z956" s="117"/>
      <c r="AA956" s="117"/>
      <c r="AB956" s="117"/>
    </row>
    <row r="957">
      <c r="A957" s="114"/>
      <c r="B957" s="117"/>
      <c r="C957" s="116"/>
      <c r="D957" s="116"/>
      <c r="E957" s="116"/>
      <c r="F957" s="116"/>
      <c r="G957" s="117"/>
      <c r="H957" s="117"/>
      <c r="I957" s="117"/>
      <c r="J957" s="117"/>
      <c r="K957" s="117"/>
      <c r="L957" s="117"/>
      <c r="M957" s="117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  <c r="X957" s="117"/>
      <c r="Y957" s="117"/>
      <c r="Z957" s="117"/>
      <c r="AA957" s="117"/>
      <c r="AB957" s="117"/>
    </row>
    <row r="958">
      <c r="A958" s="114"/>
      <c r="B958" s="117"/>
      <c r="C958" s="116"/>
      <c r="D958" s="116"/>
      <c r="E958" s="116"/>
      <c r="F958" s="116"/>
      <c r="G958" s="117"/>
      <c r="H958" s="117"/>
      <c r="I958" s="117"/>
      <c r="J958" s="117"/>
      <c r="K958" s="117"/>
      <c r="L958" s="117"/>
      <c r="M958" s="117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  <c r="X958" s="117"/>
      <c r="Y958" s="117"/>
      <c r="Z958" s="117"/>
      <c r="AA958" s="117"/>
      <c r="AB958" s="117"/>
    </row>
    <row r="959">
      <c r="A959" s="114"/>
      <c r="B959" s="117"/>
      <c r="C959" s="116"/>
      <c r="D959" s="116"/>
      <c r="E959" s="116"/>
      <c r="F959" s="116"/>
      <c r="G959" s="117"/>
      <c r="H959" s="117"/>
      <c r="I959" s="117"/>
      <c r="J959" s="117"/>
      <c r="K959" s="117"/>
      <c r="L959" s="117"/>
      <c r="M959" s="117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  <c r="X959" s="117"/>
      <c r="Y959" s="117"/>
      <c r="Z959" s="117"/>
      <c r="AA959" s="117"/>
      <c r="AB959" s="117"/>
    </row>
    <row r="960">
      <c r="A960" s="114"/>
      <c r="B960" s="117"/>
      <c r="C960" s="116"/>
      <c r="D960" s="116"/>
      <c r="E960" s="116"/>
      <c r="F960" s="116"/>
      <c r="G960" s="117"/>
      <c r="H960" s="117"/>
      <c r="I960" s="117"/>
      <c r="J960" s="117"/>
      <c r="K960" s="117"/>
      <c r="L960" s="117"/>
      <c r="M960" s="117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  <c r="X960" s="117"/>
      <c r="Y960" s="117"/>
      <c r="Z960" s="117"/>
      <c r="AA960" s="117"/>
      <c r="AB960" s="117"/>
    </row>
    <row r="961">
      <c r="A961" s="114"/>
      <c r="B961" s="117"/>
      <c r="C961" s="116"/>
      <c r="D961" s="116"/>
      <c r="E961" s="116"/>
      <c r="F961" s="116"/>
      <c r="G961" s="117"/>
      <c r="H961" s="117"/>
      <c r="I961" s="117"/>
      <c r="J961" s="117"/>
      <c r="K961" s="117"/>
      <c r="L961" s="117"/>
      <c r="M961" s="117"/>
      <c r="N961" s="117"/>
      <c r="O961" s="117"/>
      <c r="P961" s="117"/>
      <c r="Q961" s="117"/>
      <c r="R961" s="117"/>
      <c r="S961" s="117"/>
      <c r="T961" s="117"/>
      <c r="U961" s="117"/>
      <c r="V961" s="117"/>
      <c r="W961" s="117"/>
      <c r="X961" s="117"/>
      <c r="Y961" s="117"/>
      <c r="Z961" s="117"/>
      <c r="AA961" s="117"/>
      <c r="AB961" s="117"/>
    </row>
    <row r="962">
      <c r="A962" s="114"/>
      <c r="B962" s="117"/>
      <c r="C962" s="116"/>
      <c r="D962" s="116"/>
      <c r="E962" s="116"/>
      <c r="F962" s="116"/>
      <c r="G962" s="117"/>
      <c r="H962" s="117"/>
      <c r="I962" s="117"/>
      <c r="J962" s="117"/>
      <c r="K962" s="117"/>
      <c r="L962" s="117"/>
      <c r="M962" s="117"/>
      <c r="N962" s="117"/>
      <c r="O962" s="117"/>
      <c r="P962" s="117"/>
      <c r="Q962" s="117"/>
      <c r="R962" s="117"/>
      <c r="S962" s="117"/>
      <c r="T962" s="117"/>
      <c r="U962" s="117"/>
      <c r="V962" s="117"/>
      <c r="W962" s="117"/>
      <c r="X962" s="117"/>
      <c r="Y962" s="117"/>
      <c r="Z962" s="117"/>
      <c r="AA962" s="117"/>
      <c r="AB962" s="117"/>
    </row>
    <row r="963">
      <c r="A963" s="114"/>
      <c r="B963" s="117"/>
      <c r="C963" s="116"/>
      <c r="D963" s="116"/>
      <c r="E963" s="116"/>
      <c r="F963" s="116"/>
      <c r="G963" s="117"/>
      <c r="H963" s="117"/>
      <c r="I963" s="117"/>
      <c r="J963" s="117"/>
      <c r="K963" s="117"/>
      <c r="L963" s="117"/>
      <c r="M963" s="117"/>
      <c r="N963" s="117"/>
      <c r="O963" s="117"/>
      <c r="P963" s="117"/>
      <c r="Q963" s="117"/>
      <c r="R963" s="117"/>
      <c r="S963" s="117"/>
      <c r="T963" s="117"/>
      <c r="U963" s="117"/>
      <c r="V963" s="117"/>
      <c r="W963" s="117"/>
      <c r="X963" s="117"/>
      <c r="Y963" s="117"/>
      <c r="Z963" s="117"/>
      <c r="AA963" s="117"/>
      <c r="AB963" s="117"/>
    </row>
    <row r="964">
      <c r="A964" s="114"/>
      <c r="B964" s="117"/>
      <c r="C964" s="116"/>
      <c r="D964" s="116"/>
      <c r="E964" s="116"/>
      <c r="F964" s="116"/>
      <c r="G964" s="117"/>
      <c r="H964" s="117"/>
      <c r="I964" s="117"/>
      <c r="J964" s="117"/>
      <c r="K964" s="117"/>
      <c r="L964" s="117"/>
      <c r="M964" s="117"/>
      <c r="N964" s="117"/>
      <c r="O964" s="117"/>
      <c r="P964" s="117"/>
      <c r="Q964" s="117"/>
      <c r="R964" s="117"/>
      <c r="S964" s="117"/>
      <c r="T964" s="117"/>
      <c r="U964" s="117"/>
      <c r="V964" s="117"/>
      <c r="W964" s="117"/>
      <c r="X964" s="117"/>
      <c r="Y964" s="117"/>
      <c r="Z964" s="117"/>
      <c r="AA964" s="117"/>
      <c r="AB964" s="117"/>
    </row>
    <row r="965">
      <c r="A965" s="114"/>
      <c r="B965" s="117"/>
      <c r="C965" s="116"/>
      <c r="D965" s="116"/>
      <c r="E965" s="116"/>
      <c r="F965" s="116"/>
      <c r="G965" s="117"/>
      <c r="H965" s="117"/>
      <c r="I965" s="117"/>
      <c r="J965" s="117"/>
      <c r="K965" s="117"/>
      <c r="L965" s="117"/>
      <c r="M965" s="117"/>
      <c r="N965" s="117"/>
      <c r="O965" s="117"/>
      <c r="P965" s="117"/>
      <c r="Q965" s="117"/>
      <c r="R965" s="117"/>
      <c r="S965" s="117"/>
      <c r="T965" s="117"/>
      <c r="U965" s="117"/>
      <c r="V965" s="117"/>
      <c r="W965" s="117"/>
      <c r="X965" s="117"/>
      <c r="Y965" s="117"/>
      <c r="Z965" s="117"/>
      <c r="AA965" s="117"/>
      <c r="AB965" s="117"/>
    </row>
    <row r="966">
      <c r="A966" s="114"/>
      <c r="B966" s="117"/>
      <c r="C966" s="116"/>
      <c r="D966" s="116"/>
      <c r="E966" s="116"/>
      <c r="F966" s="116"/>
      <c r="G966" s="117"/>
      <c r="H966" s="117"/>
      <c r="I966" s="117"/>
      <c r="J966" s="117"/>
      <c r="K966" s="117"/>
      <c r="L966" s="117"/>
      <c r="M966" s="117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  <c r="AA966" s="117"/>
      <c r="AB966" s="117"/>
    </row>
    <row r="967">
      <c r="A967" s="114"/>
      <c r="B967" s="117"/>
      <c r="C967" s="116"/>
      <c r="D967" s="116"/>
      <c r="E967" s="116"/>
      <c r="F967" s="116"/>
      <c r="G967" s="117"/>
      <c r="H967" s="117"/>
      <c r="I967" s="117"/>
      <c r="J967" s="117"/>
      <c r="K967" s="117"/>
      <c r="L967" s="117"/>
      <c r="M967" s="117"/>
      <c r="N967" s="117"/>
      <c r="O967" s="117"/>
      <c r="P967" s="117"/>
      <c r="Q967" s="117"/>
      <c r="R967" s="117"/>
      <c r="S967" s="117"/>
      <c r="T967" s="117"/>
      <c r="U967" s="117"/>
      <c r="V967" s="117"/>
      <c r="W967" s="117"/>
      <c r="X967" s="117"/>
      <c r="Y967" s="117"/>
      <c r="Z967" s="117"/>
      <c r="AA967" s="117"/>
      <c r="AB967" s="117"/>
    </row>
    <row r="968">
      <c r="A968" s="114"/>
      <c r="B968" s="117"/>
      <c r="C968" s="116"/>
      <c r="D968" s="116"/>
      <c r="E968" s="116"/>
      <c r="F968" s="116"/>
      <c r="G968" s="117"/>
      <c r="H968" s="117"/>
      <c r="I968" s="117"/>
      <c r="J968" s="117"/>
      <c r="K968" s="117"/>
      <c r="L968" s="117"/>
      <c r="M968" s="117"/>
      <c r="N968" s="117"/>
      <c r="O968" s="117"/>
      <c r="P968" s="117"/>
      <c r="Q968" s="117"/>
      <c r="R968" s="117"/>
      <c r="S968" s="117"/>
      <c r="T968" s="117"/>
      <c r="U968" s="117"/>
      <c r="V968" s="117"/>
      <c r="W968" s="117"/>
      <c r="X968" s="117"/>
      <c r="Y968" s="117"/>
      <c r="Z968" s="117"/>
      <c r="AA968" s="117"/>
      <c r="AB968" s="117"/>
    </row>
    <row r="969">
      <c r="A969" s="114"/>
      <c r="B969" s="117"/>
      <c r="C969" s="116"/>
      <c r="D969" s="116"/>
      <c r="E969" s="116"/>
      <c r="F969" s="116"/>
      <c r="G969" s="117"/>
      <c r="H969" s="117"/>
      <c r="I969" s="117"/>
      <c r="J969" s="117"/>
      <c r="K969" s="117"/>
      <c r="L969" s="117"/>
      <c r="M969" s="117"/>
      <c r="N969" s="117"/>
      <c r="O969" s="117"/>
      <c r="P969" s="117"/>
      <c r="Q969" s="117"/>
      <c r="R969" s="117"/>
      <c r="S969" s="117"/>
      <c r="T969" s="117"/>
      <c r="U969" s="117"/>
      <c r="V969" s="117"/>
      <c r="W969" s="117"/>
      <c r="X969" s="117"/>
      <c r="Y969" s="117"/>
      <c r="Z969" s="117"/>
      <c r="AA969" s="117"/>
      <c r="AB969" s="117"/>
    </row>
    <row r="970">
      <c r="A970" s="114"/>
      <c r="B970" s="117"/>
      <c r="C970" s="116"/>
      <c r="D970" s="116"/>
      <c r="E970" s="116"/>
      <c r="F970" s="116"/>
      <c r="G970" s="117"/>
      <c r="H970" s="117"/>
      <c r="I970" s="117"/>
      <c r="J970" s="117"/>
      <c r="K970" s="117"/>
      <c r="L970" s="117"/>
      <c r="M970" s="117"/>
      <c r="N970" s="117"/>
      <c r="O970" s="117"/>
      <c r="P970" s="117"/>
      <c r="Q970" s="117"/>
      <c r="R970" s="117"/>
      <c r="S970" s="117"/>
      <c r="T970" s="117"/>
      <c r="U970" s="117"/>
      <c r="V970" s="117"/>
      <c r="W970" s="117"/>
      <c r="X970" s="117"/>
      <c r="Y970" s="117"/>
      <c r="Z970" s="117"/>
      <c r="AA970" s="117"/>
      <c r="AB970" s="117"/>
    </row>
    <row r="971">
      <c r="A971" s="114"/>
      <c r="B971" s="117"/>
      <c r="C971" s="116"/>
      <c r="D971" s="116"/>
      <c r="E971" s="116"/>
      <c r="F971" s="116"/>
      <c r="G971" s="117"/>
      <c r="H971" s="117"/>
      <c r="I971" s="117"/>
      <c r="J971" s="117"/>
      <c r="K971" s="117"/>
      <c r="L971" s="117"/>
      <c r="M971" s="117"/>
      <c r="N971" s="117"/>
      <c r="O971" s="117"/>
      <c r="P971" s="117"/>
      <c r="Q971" s="117"/>
      <c r="R971" s="117"/>
      <c r="S971" s="117"/>
      <c r="T971" s="117"/>
      <c r="U971" s="117"/>
      <c r="V971" s="117"/>
      <c r="W971" s="117"/>
      <c r="X971" s="117"/>
      <c r="Y971" s="117"/>
      <c r="Z971" s="117"/>
      <c r="AA971" s="117"/>
      <c r="AB971" s="117"/>
    </row>
    <row r="972">
      <c r="A972" s="114"/>
      <c r="B972" s="117"/>
      <c r="C972" s="116"/>
      <c r="D972" s="116"/>
      <c r="E972" s="116"/>
      <c r="F972" s="116"/>
      <c r="G972" s="117"/>
      <c r="H972" s="117"/>
      <c r="I972" s="117"/>
      <c r="J972" s="117"/>
      <c r="K972" s="117"/>
      <c r="L972" s="117"/>
      <c r="M972" s="117"/>
      <c r="N972" s="117"/>
      <c r="O972" s="117"/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117"/>
      <c r="AB972" s="117"/>
    </row>
    <row r="973">
      <c r="A973" s="114"/>
      <c r="B973" s="117"/>
      <c r="C973" s="116"/>
      <c r="D973" s="116"/>
      <c r="E973" s="116"/>
      <c r="F973" s="116"/>
      <c r="G973" s="117"/>
      <c r="H973" s="117"/>
      <c r="I973" s="117"/>
      <c r="J973" s="117"/>
      <c r="K973" s="117"/>
      <c r="L973" s="117"/>
      <c r="M973" s="117"/>
      <c r="N973" s="117"/>
      <c r="O973" s="117"/>
      <c r="P973" s="117"/>
      <c r="Q973" s="117"/>
      <c r="R973" s="117"/>
      <c r="S973" s="117"/>
      <c r="T973" s="117"/>
      <c r="U973" s="117"/>
      <c r="V973" s="117"/>
      <c r="W973" s="117"/>
      <c r="X973" s="117"/>
      <c r="Y973" s="117"/>
      <c r="Z973" s="117"/>
      <c r="AA973" s="117"/>
      <c r="AB973" s="117"/>
    </row>
    <row r="974">
      <c r="A974" s="114"/>
      <c r="B974" s="117"/>
      <c r="C974" s="116"/>
      <c r="D974" s="116"/>
      <c r="E974" s="116"/>
      <c r="F974" s="116"/>
      <c r="G974" s="117"/>
      <c r="H974" s="117"/>
      <c r="I974" s="117"/>
      <c r="J974" s="117"/>
      <c r="K974" s="117"/>
      <c r="L974" s="117"/>
      <c r="M974" s="117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  <c r="AA974" s="117"/>
      <c r="AB974" s="117"/>
    </row>
    <row r="975">
      <c r="A975" s="114"/>
      <c r="B975" s="117"/>
      <c r="C975" s="116"/>
      <c r="D975" s="116"/>
      <c r="E975" s="116"/>
      <c r="F975" s="116"/>
      <c r="G975" s="117"/>
      <c r="H975" s="117"/>
      <c r="I975" s="117"/>
      <c r="J975" s="117"/>
      <c r="K975" s="117"/>
      <c r="L975" s="117"/>
      <c r="M975" s="117"/>
      <c r="N975" s="117"/>
      <c r="O975" s="117"/>
      <c r="P975" s="117"/>
      <c r="Q975" s="117"/>
      <c r="R975" s="117"/>
      <c r="S975" s="117"/>
      <c r="T975" s="117"/>
      <c r="U975" s="117"/>
      <c r="V975" s="117"/>
      <c r="W975" s="117"/>
      <c r="X975" s="117"/>
      <c r="Y975" s="117"/>
      <c r="Z975" s="117"/>
      <c r="AA975" s="117"/>
      <c r="AB975" s="117"/>
    </row>
    <row r="976">
      <c r="A976" s="114"/>
      <c r="B976" s="117"/>
      <c r="C976" s="116"/>
      <c r="D976" s="116"/>
      <c r="E976" s="116"/>
      <c r="F976" s="116"/>
      <c r="G976" s="117"/>
      <c r="H976" s="117"/>
      <c r="I976" s="117"/>
      <c r="J976" s="117"/>
      <c r="K976" s="117"/>
      <c r="L976" s="117"/>
      <c r="M976" s="117"/>
      <c r="N976" s="117"/>
      <c r="O976" s="117"/>
      <c r="P976" s="117"/>
      <c r="Q976" s="117"/>
      <c r="R976" s="117"/>
      <c r="S976" s="117"/>
      <c r="T976" s="117"/>
      <c r="U976" s="117"/>
      <c r="V976" s="117"/>
      <c r="W976" s="117"/>
      <c r="X976" s="117"/>
      <c r="Y976" s="117"/>
      <c r="Z976" s="117"/>
      <c r="AA976" s="117"/>
      <c r="AB976" s="117"/>
    </row>
    <row r="977">
      <c r="A977" s="114"/>
      <c r="B977" s="117"/>
      <c r="C977" s="116"/>
      <c r="D977" s="116"/>
      <c r="E977" s="116"/>
      <c r="F977" s="116"/>
      <c r="G977" s="117"/>
      <c r="H977" s="117"/>
      <c r="I977" s="117"/>
      <c r="J977" s="117"/>
      <c r="K977" s="117"/>
      <c r="L977" s="117"/>
      <c r="M977" s="117"/>
      <c r="N977" s="117"/>
      <c r="O977" s="117"/>
      <c r="P977" s="117"/>
      <c r="Q977" s="117"/>
      <c r="R977" s="117"/>
      <c r="S977" s="117"/>
      <c r="T977" s="117"/>
      <c r="U977" s="117"/>
      <c r="V977" s="117"/>
      <c r="W977" s="117"/>
      <c r="X977" s="117"/>
      <c r="Y977" s="117"/>
      <c r="Z977" s="117"/>
      <c r="AA977" s="117"/>
      <c r="AB977" s="117"/>
    </row>
    <row r="978">
      <c r="A978" s="114"/>
      <c r="B978" s="117"/>
      <c r="C978" s="116"/>
      <c r="D978" s="116"/>
      <c r="E978" s="116"/>
      <c r="F978" s="116"/>
      <c r="G978" s="117"/>
      <c r="H978" s="117"/>
      <c r="I978" s="117"/>
      <c r="J978" s="117"/>
      <c r="K978" s="117"/>
      <c r="L978" s="117"/>
      <c r="M978" s="117"/>
      <c r="N978" s="117"/>
      <c r="O978" s="117"/>
      <c r="P978" s="117"/>
      <c r="Q978" s="117"/>
      <c r="R978" s="117"/>
      <c r="S978" s="117"/>
      <c r="T978" s="117"/>
      <c r="U978" s="117"/>
      <c r="V978" s="117"/>
      <c r="W978" s="117"/>
      <c r="X978" s="117"/>
      <c r="Y978" s="117"/>
      <c r="Z978" s="117"/>
      <c r="AA978" s="117"/>
      <c r="AB978" s="117"/>
    </row>
    <row r="979">
      <c r="A979" s="114"/>
      <c r="B979" s="117"/>
      <c r="C979" s="116"/>
      <c r="D979" s="116"/>
      <c r="E979" s="116"/>
      <c r="F979" s="116"/>
      <c r="G979" s="117"/>
      <c r="H979" s="117"/>
      <c r="I979" s="117"/>
      <c r="J979" s="117"/>
      <c r="K979" s="117"/>
      <c r="L979" s="117"/>
      <c r="M979" s="117"/>
      <c r="N979" s="117"/>
      <c r="O979" s="117"/>
      <c r="P979" s="117"/>
      <c r="Q979" s="117"/>
      <c r="R979" s="117"/>
      <c r="S979" s="117"/>
      <c r="T979" s="117"/>
      <c r="U979" s="117"/>
      <c r="V979" s="117"/>
      <c r="W979" s="117"/>
      <c r="X979" s="117"/>
      <c r="Y979" s="117"/>
      <c r="Z979" s="117"/>
      <c r="AA979" s="117"/>
      <c r="AB979" s="117"/>
    </row>
    <row r="980">
      <c r="A980" s="114"/>
      <c r="B980" s="117"/>
      <c r="C980" s="116"/>
      <c r="D980" s="116"/>
      <c r="E980" s="116"/>
      <c r="F980" s="116"/>
      <c r="G980" s="117"/>
      <c r="H980" s="117"/>
      <c r="I980" s="117"/>
      <c r="J980" s="117"/>
      <c r="K980" s="117"/>
      <c r="L980" s="117"/>
      <c r="M980" s="117"/>
      <c r="N980" s="117"/>
      <c r="O980" s="117"/>
      <c r="P980" s="117"/>
      <c r="Q980" s="117"/>
      <c r="R980" s="117"/>
      <c r="S980" s="117"/>
      <c r="T980" s="117"/>
      <c r="U980" s="117"/>
      <c r="V980" s="117"/>
      <c r="W980" s="117"/>
      <c r="X980" s="117"/>
      <c r="Y980" s="117"/>
      <c r="Z980" s="117"/>
      <c r="AA980" s="117"/>
      <c r="AB980" s="117"/>
    </row>
    <row r="981">
      <c r="A981" s="114"/>
      <c r="B981" s="117"/>
      <c r="C981" s="116"/>
      <c r="D981" s="116"/>
      <c r="E981" s="116"/>
      <c r="F981" s="116"/>
      <c r="G981" s="117"/>
      <c r="H981" s="117"/>
      <c r="I981" s="117"/>
      <c r="J981" s="117"/>
      <c r="K981" s="117"/>
      <c r="L981" s="117"/>
      <c r="M981" s="117"/>
      <c r="N981" s="117"/>
      <c r="O981" s="117"/>
      <c r="P981" s="117"/>
      <c r="Q981" s="117"/>
      <c r="R981" s="117"/>
      <c r="S981" s="117"/>
      <c r="T981" s="117"/>
      <c r="U981" s="117"/>
      <c r="V981" s="117"/>
      <c r="W981" s="117"/>
      <c r="X981" s="117"/>
      <c r="Y981" s="117"/>
      <c r="Z981" s="117"/>
      <c r="AA981" s="117"/>
      <c r="AB981" s="117"/>
    </row>
    <row r="982">
      <c r="A982" s="114"/>
      <c r="B982" s="117"/>
      <c r="C982" s="116"/>
      <c r="D982" s="116"/>
      <c r="E982" s="116"/>
      <c r="F982" s="116"/>
      <c r="G982" s="117"/>
      <c r="H982" s="117"/>
      <c r="I982" s="117"/>
      <c r="J982" s="117"/>
      <c r="K982" s="117"/>
      <c r="L982" s="117"/>
      <c r="M982" s="117"/>
      <c r="N982" s="117"/>
      <c r="O982" s="117"/>
      <c r="P982" s="117"/>
      <c r="Q982" s="117"/>
      <c r="R982" s="117"/>
      <c r="S982" s="117"/>
      <c r="T982" s="117"/>
      <c r="U982" s="117"/>
      <c r="V982" s="117"/>
      <c r="W982" s="117"/>
      <c r="X982" s="117"/>
      <c r="Y982" s="117"/>
      <c r="Z982" s="117"/>
      <c r="AA982" s="117"/>
      <c r="AB982" s="117"/>
    </row>
    <row r="983">
      <c r="A983" s="114"/>
      <c r="B983" s="117"/>
      <c r="C983" s="116"/>
      <c r="D983" s="116"/>
      <c r="E983" s="116"/>
      <c r="F983" s="116"/>
      <c r="G983" s="117"/>
      <c r="H983" s="117"/>
      <c r="I983" s="117"/>
      <c r="J983" s="117"/>
      <c r="K983" s="117"/>
      <c r="L983" s="117"/>
      <c r="M983" s="117"/>
      <c r="N983" s="117"/>
      <c r="O983" s="117"/>
      <c r="P983" s="117"/>
      <c r="Q983" s="117"/>
      <c r="R983" s="117"/>
      <c r="S983" s="117"/>
      <c r="T983" s="117"/>
      <c r="U983" s="117"/>
      <c r="V983" s="117"/>
      <c r="W983" s="117"/>
      <c r="X983" s="117"/>
      <c r="Y983" s="117"/>
      <c r="Z983" s="117"/>
      <c r="AA983" s="117"/>
      <c r="AB983" s="117"/>
    </row>
    <row r="984">
      <c r="A984" s="114"/>
      <c r="B984" s="117"/>
      <c r="C984" s="116"/>
      <c r="D984" s="116"/>
      <c r="E984" s="116"/>
      <c r="F984" s="116"/>
      <c r="G984" s="117"/>
      <c r="H984" s="117"/>
      <c r="I984" s="117"/>
      <c r="J984" s="117"/>
      <c r="K984" s="117"/>
      <c r="L984" s="117"/>
      <c r="M984" s="117"/>
      <c r="N984" s="117"/>
      <c r="O984" s="117"/>
      <c r="P984" s="117"/>
      <c r="Q984" s="117"/>
      <c r="R984" s="117"/>
      <c r="S984" s="117"/>
      <c r="T984" s="117"/>
      <c r="U984" s="117"/>
      <c r="V984" s="117"/>
      <c r="W984" s="117"/>
      <c r="X984" s="117"/>
      <c r="Y984" s="117"/>
      <c r="Z984" s="117"/>
      <c r="AA984" s="117"/>
      <c r="AB984" s="117"/>
    </row>
    <row r="985">
      <c r="A985" s="114"/>
      <c r="B985" s="117"/>
      <c r="C985" s="116"/>
      <c r="D985" s="116"/>
      <c r="E985" s="116"/>
      <c r="F985" s="116"/>
      <c r="G985" s="117"/>
      <c r="H985" s="117"/>
      <c r="I985" s="117"/>
      <c r="J985" s="117"/>
      <c r="K985" s="117"/>
      <c r="L985" s="117"/>
      <c r="M985" s="117"/>
      <c r="N985" s="117"/>
      <c r="O985" s="117"/>
      <c r="P985" s="117"/>
      <c r="Q985" s="117"/>
      <c r="R985" s="117"/>
      <c r="S985" s="117"/>
      <c r="T985" s="117"/>
      <c r="U985" s="117"/>
      <c r="V985" s="117"/>
      <c r="W985" s="117"/>
      <c r="X985" s="117"/>
      <c r="Y985" s="117"/>
      <c r="Z985" s="117"/>
      <c r="AA985" s="117"/>
      <c r="AB985" s="117"/>
    </row>
    <row r="986">
      <c r="A986" s="114"/>
      <c r="B986" s="117"/>
      <c r="C986" s="116"/>
      <c r="D986" s="116"/>
      <c r="E986" s="116"/>
      <c r="F986" s="116"/>
      <c r="G986" s="117"/>
      <c r="H986" s="117"/>
      <c r="I986" s="117"/>
      <c r="J986" s="117"/>
      <c r="K986" s="117"/>
      <c r="L986" s="117"/>
      <c r="M986" s="117"/>
      <c r="N986" s="117"/>
      <c r="O986" s="117"/>
      <c r="P986" s="117"/>
      <c r="Q986" s="117"/>
      <c r="R986" s="117"/>
      <c r="S986" s="117"/>
      <c r="T986" s="117"/>
      <c r="U986" s="117"/>
      <c r="V986" s="117"/>
      <c r="W986" s="117"/>
      <c r="X986" s="117"/>
      <c r="Y986" s="117"/>
      <c r="Z986" s="117"/>
      <c r="AA986" s="117"/>
      <c r="AB986" s="117"/>
    </row>
    <row r="987">
      <c r="A987" s="114"/>
      <c r="B987" s="117"/>
      <c r="C987" s="116"/>
      <c r="D987" s="116"/>
      <c r="E987" s="116"/>
      <c r="F987" s="116"/>
      <c r="G987" s="117"/>
      <c r="H987" s="117"/>
      <c r="I987" s="117"/>
      <c r="J987" s="117"/>
      <c r="K987" s="117"/>
      <c r="L987" s="117"/>
      <c r="M987" s="117"/>
      <c r="N987" s="117"/>
      <c r="O987" s="117"/>
      <c r="P987" s="117"/>
      <c r="Q987" s="117"/>
      <c r="R987" s="117"/>
      <c r="S987" s="117"/>
      <c r="T987" s="117"/>
      <c r="U987" s="117"/>
      <c r="V987" s="117"/>
      <c r="W987" s="117"/>
      <c r="X987" s="117"/>
      <c r="Y987" s="117"/>
      <c r="Z987" s="117"/>
      <c r="AA987" s="117"/>
      <c r="AB987" s="117"/>
    </row>
    <row r="988">
      <c r="A988" s="114"/>
      <c r="B988" s="117"/>
      <c r="C988" s="116"/>
      <c r="D988" s="116"/>
      <c r="E988" s="116"/>
      <c r="F988" s="116"/>
      <c r="G988" s="117"/>
      <c r="H988" s="117"/>
      <c r="I988" s="117"/>
      <c r="J988" s="117"/>
      <c r="K988" s="117"/>
      <c r="L988" s="117"/>
      <c r="M988" s="117"/>
      <c r="N988" s="117"/>
      <c r="O988" s="117"/>
      <c r="P988" s="117"/>
      <c r="Q988" s="117"/>
      <c r="R988" s="117"/>
      <c r="S988" s="117"/>
      <c r="T988" s="117"/>
      <c r="U988" s="117"/>
      <c r="V988" s="117"/>
      <c r="W988" s="117"/>
      <c r="X988" s="117"/>
      <c r="Y988" s="117"/>
      <c r="Z988" s="117"/>
      <c r="AA988" s="117"/>
      <c r="AB988" s="117"/>
    </row>
    <row r="989">
      <c r="A989" s="114"/>
      <c r="B989" s="117"/>
      <c r="C989" s="116"/>
      <c r="D989" s="116"/>
      <c r="E989" s="116"/>
      <c r="F989" s="116"/>
      <c r="G989" s="117"/>
      <c r="H989" s="117"/>
      <c r="I989" s="117"/>
      <c r="J989" s="117"/>
      <c r="K989" s="117"/>
      <c r="L989" s="117"/>
      <c r="M989" s="117"/>
      <c r="N989" s="117"/>
      <c r="O989" s="117"/>
      <c r="P989" s="117"/>
      <c r="Q989" s="117"/>
      <c r="R989" s="117"/>
      <c r="S989" s="117"/>
      <c r="T989" s="117"/>
      <c r="U989" s="117"/>
      <c r="V989" s="117"/>
      <c r="W989" s="117"/>
      <c r="X989" s="117"/>
      <c r="Y989" s="117"/>
      <c r="Z989" s="117"/>
      <c r="AA989" s="117"/>
      <c r="AB989" s="117"/>
    </row>
    <row r="990">
      <c r="A990" s="114"/>
      <c r="B990" s="117"/>
      <c r="C990" s="116"/>
      <c r="D990" s="116"/>
      <c r="E990" s="116"/>
      <c r="F990" s="116"/>
      <c r="G990" s="117"/>
      <c r="H990" s="117"/>
      <c r="I990" s="117"/>
      <c r="J990" s="117"/>
      <c r="K990" s="117"/>
      <c r="L990" s="117"/>
      <c r="M990" s="117"/>
      <c r="N990" s="117"/>
      <c r="O990" s="117"/>
      <c r="P990" s="117"/>
      <c r="Q990" s="117"/>
      <c r="R990" s="117"/>
      <c r="S990" s="117"/>
      <c r="T990" s="117"/>
      <c r="U990" s="117"/>
      <c r="V990" s="117"/>
      <c r="W990" s="117"/>
      <c r="X990" s="117"/>
      <c r="Y990" s="117"/>
      <c r="Z990" s="117"/>
      <c r="AA990" s="117"/>
      <c r="AB990" s="117"/>
    </row>
    <row r="991">
      <c r="A991" s="114"/>
      <c r="B991" s="117"/>
      <c r="C991" s="116"/>
      <c r="D991" s="116"/>
      <c r="E991" s="116"/>
      <c r="F991" s="116"/>
      <c r="G991" s="117"/>
      <c r="H991" s="117"/>
      <c r="I991" s="117"/>
      <c r="J991" s="117"/>
      <c r="K991" s="117"/>
      <c r="L991" s="117"/>
      <c r="M991" s="117"/>
      <c r="N991" s="117"/>
      <c r="O991" s="117"/>
      <c r="P991" s="117"/>
      <c r="Q991" s="117"/>
      <c r="R991" s="117"/>
      <c r="S991" s="117"/>
      <c r="T991" s="117"/>
      <c r="U991" s="117"/>
      <c r="V991" s="117"/>
      <c r="W991" s="117"/>
      <c r="X991" s="117"/>
      <c r="Y991" s="117"/>
      <c r="Z991" s="117"/>
      <c r="AA991" s="117"/>
      <c r="AB991" s="117"/>
    </row>
    <row r="992">
      <c r="A992" s="114"/>
      <c r="B992" s="117"/>
      <c r="C992" s="116"/>
      <c r="D992" s="116"/>
      <c r="E992" s="116"/>
      <c r="F992" s="116"/>
      <c r="G992" s="117"/>
      <c r="H992" s="117"/>
      <c r="I992" s="117"/>
      <c r="J992" s="117"/>
      <c r="K992" s="117"/>
      <c r="L992" s="117"/>
      <c r="M992" s="117"/>
      <c r="N992" s="117"/>
      <c r="O992" s="117"/>
      <c r="P992" s="117"/>
      <c r="Q992" s="117"/>
      <c r="R992" s="117"/>
      <c r="S992" s="117"/>
      <c r="T992" s="117"/>
      <c r="U992" s="117"/>
      <c r="V992" s="117"/>
      <c r="W992" s="117"/>
      <c r="X992" s="117"/>
      <c r="Y992" s="117"/>
      <c r="Z992" s="117"/>
      <c r="AA992" s="117"/>
      <c r="AB992" s="117"/>
    </row>
    <row r="993">
      <c r="A993" s="114"/>
      <c r="B993" s="117"/>
      <c r="C993" s="116"/>
      <c r="D993" s="116"/>
      <c r="E993" s="116"/>
      <c r="F993" s="116"/>
      <c r="G993" s="117"/>
      <c r="H993" s="117"/>
      <c r="I993" s="117"/>
      <c r="J993" s="117"/>
      <c r="K993" s="117"/>
      <c r="L993" s="117"/>
      <c r="M993" s="117"/>
      <c r="N993" s="117"/>
      <c r="O993" s="117"/>
      <c r="P993" s="117"/>
      <c r="Q993" s="117"/>
      <c r="R993" s="117"/>
      <c r="S993" s="117"/>
      <c r="T993" s="117"/>
      <c r="U993" s="117"/>
      <c r="V993" s="117"/>
      <c r="W993" s="117"/>
      <c r="X993" s="117"/>
      <c r="Y993" s="117"/>
      <c r="Z993" s="117"/>
      <c r="AA993" s="117"/>
      <c r="AB993" s="117"/>
    </row>
    <row r="994">
      <c r="A994" s="114"/>
      <c r="B994" s="117"/>
      <c r="C994" s="116"/>
      <c r="D994" s="116"/>
      <c r="E994" s="116"/>
      <c r="F994" s="116"/>
      <c r="G994" s="117"/>
      <c r="H994" s="117"/>
      <c r="I994" s="117"/>
      <c r="J994" s="117"/>
      <c r="K994" s="117"/>
      <c r="L994" s="117"/>
      <c r="M994" s="117"/>
      <c r="N994" s="117"/>
      <c r="O994" s="117"/>
      <c r="P994" s="117"/>
      <c r="Q994" s="117"/>
      <c r="R994" s="117"/>
      <c r="S994" s="117"/>
      <c r="T994" s="117"/>
      <c r="U994" s="117"/>
      <c r="V994" s="117"/>
      <c r="W994" s="117"/>
      <c r="X994" s="117"/>
      <c r="Y994" s="117"/>
      <c r="Z994" s="117"/>
      <c r="AA994" s="117"/>
      <c r="AB994" s="117"/>
    </row>
    <row r="995">
      <c r="A995" s="114"/>
      <c r="B995" s="117"/>
      <c r="C995" s="116"/>
      <c r="D995" s="116"/>
      <c r="E995" s="116"/>
      <c r="F995" s="116"/>
      <c r="G995" s="117"/>
      <c r="H995" s="117"/>
      <c r="I995" s="117"/>
      <c r="J995" s="117"/>
      <c r="K995" s="117"/>
      <c r="L995" s="117"/>
      <c r="M995" s="117"/>
      <c r="N995" s="117"/>
      <c r="O995" s="117"/>
      <c r="P995" s="117"/>
      <c r="Q995" s="117"/>
      <c r="R995" s="117"/>
      <c r="S995" s="117"/>
      <c r="T995" s="117"/>
      <c r="U995" s="117"/>
      <c r="V995" s="117"/>
      <c r="W995" s="117"/>
      <c r="X995" s="117"/>
      <c r="Y995" s="117"/>
      <c r="Z995" s="117"/>
      <c r="AA995" s="117"/>
      <c r="AB995" s="117"/>
    </row>
    <row r="996">
      <c r="A996" s="114"/>
      <c r="B996" s="117"/>
      <c r="C996" s="116"/>
      <c r="D996" s="116"/>
      <c r="E996" s="116"/>
      <c r="F996" s="116"/>
      <c r="G996" s="117"/>
      <c r="H996" s="117"/>
      <c r="I996" s="117"/>
      <c r="J996" s="117"/>
      <c r="K996" s="117"/>
      <c r="L996" s="117"/>
      <c r="M996" s="117"/>
      <c r="N996" s="117"/>
      <c r="O996" s="117"/>
      <c r="P996" s="117"/>
      <c r="Q996" s="117"/>
      <c r="R996" s="117"/>
      <c r="S996" s="117"/>
      <c r="T996" s="117"/>
      <c r="U996" s="117"/>
      <c r="V996" s="117"/>
      <c r="W996" s="117"/>
      <c r="X996" s="117"/>
      <c r="Y996" s="117"/>
      <c r="Z996" s="117"/>
      <c r="AA996" s="117"/>
      <c r="AB996" s="117"/>
    </row>
    <row r="997">
      <c r="A997" s="114"/>
      <c r="B997" s="117"/>
      <c r="C997" s="116"/>
      <c r="D997" s="116"/>
      <c r="E997" s="116"/>
      <c r="F997" s="116"/>
      <c r="G997" s="117"/>
      <c r="H997" s="117"/>
      <c r="I997" s="117"/>
      <c r="J997" s="117"/>
      <c r="K997" s="117"/>
      <c r="L997" s="117"/>
      <c r="M997" s="117"/>
      <c r="N997" s="117"/>
      <c r="O997" s="117"/>
      <c r="P997" s="117"/>
      <c r="Q997" s="117"/>
      <c r="R997" s="117"/>
      <c r="S997" s="117"/>
      <c r="T997" s="117"/>
      <c r="U997" s="117"/>
      <c r="V997" s="117"/>
      <c r="W997" s="117"/>
      <c r="X997" s="117"/>
      <c r="Y997" s="117"/>
      <c r="Z997" s="117"/>
      <c r="AA997" s="117"/>
      <c r="AB997" s="117"/>
    </row>
    <row r="998">
      <c r="A998" s="114"/>
      <c r="B998" s="117"/>
      <c r="C998" s="116"/>
      <c r="D998" s="116"/>
      <c r="E998" s="116"/>
      <c r="F998" s="116"/>
      <c r="G998" s="117"/>
      <c r="H998" s="117"/>
      <c r="I998" s="117"/>
      <c r="J998" s="117"/>
      <c r="K998" s="117"/>
      <c r="L998" s="117"/>
      <c r="M998" s="117"/>
      <c r="N998" s="117"/>
      <c r="O998" s="117"/>
      <c r="P998" s="117"/>
      <c r="Q998" s="117"/>
      <c r="R998" s="117"/>
      <c r="S998" s="117"/>
      <c r="T998" s="117"/>
      <c r="U998" s="117"/>
      <c r="V998" s="117"/>
      <c r="W998" s="117"/>
      <c r="X998" s="117"/>
      <c r="Y998" s="117"/>
      <c r="Z998" s="117"/>
      <c r="AA998" s="117"/>
      <c r="AB998" s="117"/>
    </row>
    <row r="999">
      <c r="A999" s="114"/>
      <c r="B999" s="117"/>
      <c r="C999" s="116"/>
      <c r="D999" s="116"/>
      <c r="E999" s="116"/>
      <c r="F999" s="116"/>
      <c r="G999" s="117"/>
      <c r="H999" s="117"/>
      <c r="I999" s="117"/>
      <c r="J999" s="117"/>
      <c r="K999" s="117"/>
      <c r="L999" s="117"/>
      <c r="M999" s="117"/>
      <c r="N999" s="117"/>
      <c r="O999" s="117"/>
      <c r="P999" s="117"/>
      <c r="Q999" s="117"/>
      <c r="R999" s="117"/>
      <c r="S999" s="117"/>
      <c r="T999" s="117"/>
      <c r="U999" s="117"/>
      <c r="V999" s="117"/>
      <c r="W999" s="117"/>
      <c r="X999" s="117"/>
      <c r="Y999" s="117"/>
      <c r="Z999" s="117"/>
      <c r="AA999" s="117"/>
      <c r="AB999" s="117"/>
    </row>
    <row r="1000">
      <c r="A1000" s="114"/>
      <c r="B1000" s="117"/>
      <c r="C1000" s="116"/>
      <c r="D1000" s="116"/>
      <c r="E1000" s="116"/>
      <c r="F1000" s="116"/>
      <c r="G1000" s="117"/>
      <c r="H1000" s="117"/>
      <c r="I1000" s="117"/>
      <c r="J1000" s="117"/>
      <c r="K1000" s="117"/>
      <c r="L1000" s="117"/>
      <c r="M1000" s="117"/>
      <c r="N1000" s="117"/>
      <c r="O1000" s="117"/>
      <c r="P1000" s="117"/>
      <c r="Q1000" s="117"/>
      <c r="R1000" s="117"/>
      <c r="S1000" s="117"/>
      <c r="T1000" s="117"/>
      <c r="U1000" s="117"/>
      <c r="V1000" s="117"/>
      <c r="W1000" s="117"/>
      <c r="X1000" s="117"/>
      <c r="Y1000" s="117"/>
      <c r="Z1000" s="117"/>
      <c r="AA1000" s="117"/>
      <c r="AB1000" s="117"/>
    </row>
    <row r="1001">
      <c r="A1001" s="114"/>
      <c r="B1001" s="117"/>
      <c r="C1001" s="116"/>
      <c r="D1001" s="116"/>
      <c r="E1001" s="116"/>
      <c r="F1001" s="116"/>
      <c r="G1001" s="117"/>
      <c r="H1001" s="117"/>
      <c r="I1001" s="117"/>
      <c r="J1001" s="117"/>
      <c r="K1001" s="117"/>
      <c r="L1001" s="117"/>
      <c r="M1001" s="117"/>
      <c r="N1001" s="117"/>
      <c r="O1001" s="117"/>
      <c r="P1001" s="117"/>
      <c r="Q1001" s="117"/>
      <c r="R1001" s="117"/>
      <c r="S1001" s="117"/>
      <c r="T1001" s="117"/>
      <c r="U1001" s="117"/>
      <c r="V1001" s="117"/>
      <c r="W1001" s="117"/>
      <c r="X1001" s="117"/>
      <c r="Y1001" s="117"/>
      <c r="Z1001" s="117"/>
      <c r="AA1001" s="117"/>
      <c r="AB1001" s="117"/>
    </row>
    <row r="1002">
      <c r="A1002" s="114"/>
      <c r="B1002" s="117"/>
      <c r="C1002" s="116"/>
      <c r="D1002" s="116"/>
      <c r="E1002" s="116"/>
      <c r="F1002" s="116"/>
      <c r="G1002" s="117"/>
      <c r="H1002" s="117"/>
      <c r="I1002" s="117"/>
      <c r="J1002" s="117"/>
      <c r="K1002" s="117"/>
      <c r="L1002" s="117"/>
      <c r="M1002" s="117"/>
      <c r="N1002" s="117"/>
      <c r="O1002" s="117"/>
      <c r="P1002" s="117"/>
      <c r="Q1002" s="117"/>
      <c r="R1002" s="117"/>
      <c r="S1002" s="117"/>
      <c r="T1002" s="117"/>
      <c r="U1002" s="117"/>
      <c r="V1002" s="117"/>
      <c r="W1002" s="117"/>
      <c r="X1002" s="117"/>
      <c r="Y1002" s="117"/>
      <c r="Z1002" s="117"/>
      <c r="AA1002" s="117"/>
      <c r="AB1002" s="117"/>
    </row>
    <row r="1003">
      <c r="A1003" s="114"/>
      <c r="B1003" s="117"/>
      <c r="C1003" s="116"/>
      <c r="D1003" s="116"/>
      <c r="E1003" s="116"/>
      <c r="F1003" s="116"/>
      <c r="G1003" s="117"/>
      <c r="H1003" s="117"/>
      <c r="I1003" s="117"/>
      <c r="J1003" s="117"/>
      <c r="K1003" s="117"/>
      <c r="L1003" s="117"/>
      <c r="M1003" s="117"/>
      <c r="N1003" s="117"/>
      <c r="O1003" s="117"/>
      <c r="P1003" s="117"/>
      <c r="Q1003" s="117"/>
      <c r="R1003" s="117"/>
      <c r="S1003" s="117"/>
      <c r="T1003" s="117"/>
      <c r="U1003" s="117"/>
      <c r="V1003" s="117"/>
      <c r="W1003" s="117"/>
      <c r="X1003" s="117"/>
      <c r="Y1003" s="117"/>
      <c r="Z1003" s="117"/>
      <c r="AA1003" s="117"/>
      <c r="AB1003" s="117"/>
    </row>
    <row r="1004">
      <c r="A1004" s="114"/>
      <c r="B1004" s="117"/>
      <c r="C1004" s="116"/>
      <c r="D1004" s="116"/>
      <c r="E1004" s="116"/>
      <c r="F1004" s="116"/>
      <c r="G1004" s="117"/>
      <c r="H1004" s="117"/>
      <c r="I1004" s="117"/>
      <c r="J1004" s="117"/>
      <c r="K1004" s="117"/>
      <c r="L1004" s="117"/>
      <c r="M1004" s="117"/>
      <c r="N1004" s="117"/>
      <c r="O1004" s="117"/>
      <c r="P1004" s="117"/>
      <c r="Q1004" s="117"/>
      <c r="R1004" s="117"/>
      <c r="S1004" s="117"/>
      <c r="T1004" s="117"/>
      <c r="U1004" s="117"/>
      <c r="V1004" s="117"/>
      <c r="W1004" s="117"/>
      <c r="X1004" s="117"/>
      <c r="Y1004" s="117"/>
      <c r="Z1004" s="117"/>
      <c r="AA1004" s="117"/>
      <c r="AB1004" s="117"/>
    </row>
    <row r="1005">
      <c r="A1005" s="114"/>
      <c r="B1005" s="117"/>
      <c r="C1005" s="116"/>
      <c r="D1005" s="116"/>
      <c r="E1005" s="116"/>
      <c r="F1005" s="116"/>
      <c r="G1005" s="117"/>
      <c r="H1005" s="117"/>
      <c r="I1005" s="117"/>
      <c r="J1005" s="117"/>
      <c r="K1005" s="117"/>
      <c r="L1005" s="117"/>
      <c r="M1005" s="117"/>
      <c r="N1005" s="117"/>
      <c r="O1005" s="117"/>
      <c r="P1005" s="117"/>
      <c r="Q1005" s="117"/>
      <c r="R1005" s="117"/>
      <c r="S1005" s="117"/>
      <c r="T1005" s="117"/>
      <c r="U1005" s="117"/>
      <c r="V1005" s="117"/>
      <c r="W1005" s="117"/>
      <c r="X1005" s="117"/>
      <c r="Y1005" s="117"/>
      <c r="Z1005" s="117"/>
      <c r="AA1005" s="117"/>
      <c r="AB1005" s="117"/>
    </row>
    <row r="1006">
      <c r="A1006" s="114"/>
      <c r="B1006" s="117"/>
      <c r="C1006" s="116"/>
      <c r="D1006" s="116"/>
      <c r="E1006" s="116"/>
      <c r="F1006" s="116"/>
      <c r="G1006" s="117"/>
      <c r="H1006" s="117"/>
      <c r="I1006" s="117"/>
      <c r="J1006" s="117"/>
      <c r="K1006" s="117"/>
      <c r="L1006" s="117"/>
      <c r="M1006" s="117"/>
      <c r="N1006" s="117"/>
      <c r="O1006" s="117"/>
      <c r="P1006" s="117"/>
      <c r="Q1006" s="117"/>
      <c r="R1006" s="117"/>
      <c r="S1006" s="117"/>
      <c r="T1006" s="117"/>
      <c r="U1006" s="117"/>
      <c r="V1006" s="117"/>
      <c r="W1006" s="117"/>
      <c r="X1006" s="117"/>
      <c r="Y1006" s="117"/>
      <c r="Z1006" s="117"/>
      <c r="AA1006" s="117"/>
      <c r="AB1006" s="117"/>
    </row>
    <row r="1007">
      <c r="A1007" s="114"/>
      <c r="B1007" s="117"/>
      <c r="C1007" s="116"/>
      <c r="D1007" s="116"/>
      <c r="E1007" s="116"/>
      <c r="F1007" s="116"/>
      <c r="G1007" s="117"/>
      <c r="H1007" s="117"/>
      <c r="I1007" s="117"/>
      <c r="J1007" s="117"/>
      <c r="K1007" s="117"/>
      <c r="L1007" s="117"/>
      <c r="M1007" s="117"/>
      <c r="N1007" s="117"/>
      <c r="O1007" s="117"/>
      <c r="P1007" s="117"/>
      <c r="Q1007" s="117"/>
      <c r="R1007" s="117"/>
      <c r="S1007" s="117"/>
      <c r="T1007" s="117"/>
      <c r="U1007" s="117"/>
      <c r="V1007" s="117"/>
      <c r="W1007" s="117"/>
      <c r="X1007" s="117"/>
      <c r="Y1007" s="117"/>
      <c r="Z1007" s="117"/>
      <c r="AA1007" s="117"/>
      <c r="AB1007" s="11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4" t="str">
        <f>IFERROR(__xludf.DUMMYFUNCTION("importrange(""https://docs.google.com/spreadsheets/d/1Y6d-tsHrGT_CvoBmJr48T_mwL008Vv39bFCdDy1GMNk/edit?gid=907455009#gid=907455009"",""FuelRider"")"),"")</f>
        <v/>
      </c>
      <c r="B1" s="115" t="str">
        <f>IFERROR(__xludf.DUMMYFUNCTION("""COMPUTED_VALUE"""),"FR Supply Profitability Report")</f>
        <v>FR Supply Profitability Report</v>
      </c>
      <c r="C1" s="116"/>
      <c r="D1" s="116"/>
      <c r="E1" s="116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</row>
    <row r="2">
      <c r="A2" s="114"/>
      <c r="B2" s="118" t="str">
        <f>IFERROR(__xludf.DUMMYFUNCTION("""COMPUTED_VALUE"""),"Net Margins")</f>
        <v>Net Margins</v>
      </c>
      <c r="C2" s="4" t="str">
        <f>IFERROR(__xludf.DUMMYFUNCTION("""COMPUTED_VALUE"""),"Year to Date")</f>
        <v>Year to Date</v>
      </c>
      <c r="D2" s="4" t="str">
        <f>IFERROR(__xludf.DUMMYFUNCTION("""COMPUTED_VALUE"""),"Last Month")</f>
        <v>Last Month</v>
      </c>
      <c r="E2" s="4" t="str">
        <f>IFERROR(__xludf.DUMMYFUNCTION("""COMPUTED_VALUE"""),"Month to Date")</f>
        <v>Month to Date</v>
      </c>
      <c r="F2" s="5" t="str">
        <f>IFERROR(__xludf.DUMMYFUNCTION("""COMPUTED_VALUE"""),"This Week")</f>
        <v>This Week</v>
      </c>
      <c r="G2" s="6" t="str">
        <f>IFERROR(__xludf.DUMMYFUNCTION("""COMPUTED_VALUE"""),"Last Week")</f>
        <v>Last Week</v>
      </c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</row>
    <row r="3">
      <c r="A3" s="114"/>
      <c r="B3" s="119"/>
      <c r="C3" s="120">
        <f>IFERROR(__xludf.DUMMYFUNCTION("""COMPUTED_VALUE"""),2025.0)</f>
        <v>2025</v>
      </c>
      <c r="D3" s="121" t="str">
        <f>IFERROR(__xludf.DUMMYFUNCTION("""COMPUTED_VALUE"""),"November")</f>
        <v>November</v>
      </c>
      <c r="E3" s="121" t="str">
        <f>IFERROR(__xludf.DUMMYFUNCTION("""COMPUTED_VALUE"""),"December")</f>
        <v>December</v>
      </c>
      <c r="F3" s="122">
        <f>IFERROR(__xludf.DUMMYFUNCTION("""COMPUTED_VALUE"""),45999.0)</f>
        <v>45999</v>
      </c>
      <c r="G3" s="122">
        <f>IFERROR(__xludf.DUMMYFUNCTION("""COMPUTED_VALUE"""),45992.0)</f>
        <v>45992</v>
      </c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</row>
    <row r="4">
      <c r="A4" s="114"/>
      <c r="B4" s="123" t="str">
        <f>IFERROR(__xludf.DUMMYFUNCTION("""COMPUTED_VALUE"""),"20% Projection")</f>
        <v>20% Projection</v>
      </c>
      <c r="C4" s="124">
        <f>IFERROR(__xludf.DUMMYFUNCTION("""COMPUTED_VALUE"""),14929.410000000047)</f>
        <v>14929.41</v>
      </c>
      <c r="D4" s="124">
        <f>IFERROR(__xludf.DUMMYFUNCTION("""COMPUTED_VALUE"""),-111.05200000000005)</f>
        <v>-111.052</v>
      </c>
      <c r="E4" s="124">
        <f>IFERROR(__xludf.DUMMYFUNCTION("""COMPUTED_VALUE"""),-20.590000000000057)</f>
        <v>-20.59</v>
      </c>
      <c r="F4" s="124">
        <f>IFERROR(__xludf.DUMMYFUNCTION("""COMPUTED_VALUE"""),-174.74399999999997)</f>
        <v>-174.744</v>
      </c>
      <c r="G4" s="125">
        <f>IFERROR(__xludf.DUMMYFUNCTION("""COMPUTED_VALUE"""),-280.21400000000006)</f>
        <v>-280.214</v>
      </c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</row>
    <row r="5">
      <c r="A5" s="114"/>
      <c r="B5" s="126" t="str">
        <f>IFERROR(__xludf.DUMMYFUNCTION("""COMPUTED_VALUE"""),"Net Profit Al's Supply")</f>
        <v>Net Profit Al's Supply</v>
      </c>
      <c r="C5" s="85">
        <f>IFERROR(__xludf.DUMMYFUNCTION("""COMPUTED_VALUE"""),74647.05000000024)</f>
        <v>74647.05</v>
      </c>
      <c r="D5" s="85">
        <f>IFERROR(__xludf.DUMMYFUNCTION("""COMPUTED_VALUE"""),-555.2600000000002)</f>
        <v>-555.26</v>
      </c>
      <c r="E5" s="85">
        <f>IFERROR(__xludf.DUMMYFUNCTION("""COMPUTED_VALUE"""),-102.95000000000027)</f>
        <v>-102.95</v>
      </c>
      <c r="F5" s="85">
        <f>IFERROR(__xludf.DUMMYFUNCTION("""COMPUTED_VALUE"""),-873.7199999999998)</f>
        <v>-873.72</v>
      </c>
      <c r="G5" s="86">
        <f>IFERROR(__xludf.DUMMYFUNCTION("""COMPUTED_VALUE"""),-1401.0700000000002)</f>
        <v>-1401.07</v>
      </c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</row>
    <row r="6">
      <c r="A6" s="114"/>
      <c r="B6" s="127" t="str">
        <f>IFERROR(__xludf.DUMMYFUNCTION("""COMPUTED_VALUE"""),"Item Profit Vs. Returned Items")</f>
        <v>Item Profit Vs. Returned Items</v>
      </c>
      <c r="C6" s="128">
        <f>IFERROR(__xludf.DUMMYFUNCTION("""COMPUTED_VALUE"""),84548.82000000024)</f>
        <v>84548.82</v>
      </c>
      <c r="D6" s="128">
        <f>IFERROR(__xludf.DUMMYFUNCTION("""COMPUTED_VALUE"""),1390.8799999999997)</f>
        <v>1390.88</v>
      </c>
      <c r="E6" s="128">
        <f>IFERROR(__xludf.DUMMYFUNCTION("""COMPUTED_VALUE"""),1585.1599999999999)</f>
        <v>1585.16</v>
      </c>
      <c r="F6" s="128">
        <f>IFERROR(__xludf.DUMMYFUNCTION("""COMPUTED_VALUE"""),374.17)</f>
        <v>374.17</v>
      </c>
      <c r="G6" s="129">
        <f>IFERROR(__xludf.DUMMYFUNCTION("""COMPUTED_VALUE"""),268.52)</f>
        <v>268.52</v>
      </c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</row>
    <row r="7">
      <c r="A7" s="114"/>
      <c r="B7" s="130" t="str">
        <f>IFERROR(__xludf.DUMMYFUNCTION("""COMPUTED_VALUE"""),"Al's Supply Item Sales Profit")</f>
        <v>Al's Supply Item Sales Profit</v>
      </c>
      <c r="C7" s="131">
        <f>IFERROR(__xludf.DUMMYFUNCTION("""COMPUTED_VALUE"""),99013.83000000025)</f>
        <v>99013.83</v>
      </c>
      <c r="D7" s="131">
        <f>IFERROR(__xludf.DUMMYFUNCTION("""COMPUTED_VALUE"""),1649.1099999999997)</f>
        <v>1649.11</v>
      </c>
      <c r="E7" s="131">
        <f>IFERROR(__xludf.DUMMYFUNCTION("""COMPUTED_VALUE"""),1680.6799999999998)</f>
        <v>1680.68</v>
      </c>
      <c r="F7" s="131">
        <f>IFERROR(__xludf.DUMMYFUNCTION("""COMPUTED_VALUE"""),395.0)</f>
        <v>395</v>
      </c>
      <c r="G7" s="132">
        <f>IFERROR(__xludf.DUMMYFUNCTION("""COMPUTED_VALUE"""),310.66999999999996)</f>
        <v>310.67</v>
      </c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</row>
    <row r="8">
      <c r="A8" s="114"/>
      <c r="B8" s="138" t="str">
        <f>IFERROR(__xludf.DUMMYFUNCTION("""COMPUTED_VALUE"""),"Keystone")</f>
        <v>Keystone</v>
      </c>
      <c r="C8" s="124">
        <f>IFERROR(__xludf.DUMMYFUNCTION("""COMPUTED_VALUE"""),91768.29000000024)</f>
        <v>91768.29</v>
      </c>
      <c r="D8" s="124">
        <f>IFERROR(__xludf.DUMMYFUNCTION("""COMPUTED_VALUE"""),1448.5999999999997)</f>
        <v>1448.6</v>
      </c>
      <c r="E8" s="124">
        <f>IFERROR(__xludf.DUMMYFUNCTION("""COMPUTED_VALUE"""),1407.54)</f>
        <v>1407.54</v>
      </c>
      <c r="F8" s="124">
        <f>IFERROR(__xludf.DUMMYFUNCTION("""COMPUTED_VALUE"""),337.56)</f>
        <v>337.56</v>
      </c>
      <c r="G8" s="125">
        <f>IFERROR(__xludf.DUMMYFUNCTION("""COMPUTED_VALUE"""),218.0)</f>
        <v>218</v>
      </c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</row>
    <row r="9">
      <c r="A9" s="114"/>
      <c r="B9" s="133" t="str">
        <f>IFERROR(__xludf.DUMMYFUNCTION("""COMPUTED_VALUE"""),"eBay")</f>
        <v>eBay</v>
      </c>
      <c r="C9" s="128">
        <f>IFERROR(__xludf.DUMMYFUNCTION("""COMPUTED_VALUE"""),120.95999999999998)</f>
        <v>120.96</v>
      </c>
      <c r="D9" s="128">
        <f>IFERROR(__xludf.DUMMYFUNCTION("""COMPUTED_VALUE"""),22.769999999999996)</f>
        <v>22.77</v>
      </c>
      <c r="E9" s="128">
        <f>IFERROR(__xludf.DUMMYFUNCTION("""COMPUTED_VALUE"""),0.0)</f>
        <v>0</v>
      </c>
      <c r="F9" s="128">
        <f>IFERROR(__xludf.DUMMYFUNCTION("""COMPUTED_VALUE"""),0.0)</f>
        <v>0</v>
      </c>
      <c r="G9" s="129">
        <f>IFERROR(__xludf.DUMMYFUNCTION("""COMPUTED_VALUE"""),22.769999999999996)</f>
        <v>22.77</v>
      </c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</row>
    <row r="10">
      <c r="A10" s="114"/>
      <c r="B10" s="133" t="str">
        <f>IFERROR(__xludf.DUMMYFUNCTION("""COMPUTED_VALUE"""),"TAAS")</f>
        <v>TAAS</v>
      </c>
      <c r="C10" s="128">
        <f>IFERROR(__xludf.DUMMYFUNCTION("""COMPUTED_VALUE"""),1977.0400000000004)</f>
        <v>1977.04</v>
      </c>
      <c r="D10" s="128">
        <f>IFERROR(__xludf.DUMMYFUNCTION("""COMPUTED_VALUE"""),0.0)</f>
        <v>0</v>
      </c>
      <c r="E10" s="128">
        <f>IFERROR(__xludf.DUMMYFUNCTION("""COMPUTED_VALUE"""),0.0)</f>
        <v>0</v>
      </c>
      <c r="F10" s="128">
        <f>IFERROR(__xludf.DUMMYFUNCTION("""COMPUTED_VALUE"""),0.0)</f>
        <v>0</v>
      </c>
      <c r="G10" s="129">
        <f>IFERROR(__xludf.DUMMYFUNCTION("""COMPUTED_VALUE"""),0.0)</f>
        <v>0</v>
      </c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</row>
    <row r="11">
      <c r="A11" s="114"/>
      <c r="B11" s="133" t="str">
        <f>IFERROR(__xludf.DUMMYFUNCTION("""COMPUTED_VALUE"""),"RR-Wally's")</f>
        <v>RR-Wally's</v>
      </c>
      <c r="C11" s="128">
        <f>IFERROR(__xludf.DUMMYFUNCTION("""COMPUTED_VALUE"""),4257.320000000013)</f>
        <v>4257.32</v>
      </c>
      <c r="D11" s="128">
        <f>IFERROR(__xludf.DUMMYFUNCTION("""COMPUTED_VALUE"""),177.74)</f>
        <v>177.74</v>
      </c>
      <c r="E11" s="128">
        <f>IFERROR(__xludf.DUMMYFUNCTION("""COMPUTED_VALUE"""),273.14)</f>
        <v>273.14</v>
      </c>
      <c r="F11" s="128">
        <f>IFERROR(__xludf.DUMMYFUNCTION("""COMPUTED_VALUE"""),57.44)</f>
        <v>57.44</v>
      </c>
      <c r="G11" s="129">
        <f>IFERROR(__xludf.DUMMYFUNCTION("""COMPUTED_VALUE"""),69.9)</f>
        <v>69.9</v>
      </c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</row>
    <row r="12">
      <c r="A12" s="114"/>
      <c r="B12" s="133" t="str">
        <f>IFERROR(__xludf.DUMMYFUNCTION("""COMPUTED_VALUE"""),"RR-FBA")</f>
        <v>RR-FBA</v>
      </c>
      <c r="C12" s="128">
        <f>IFERROR(__xludf.DUMMYFUNCTION("""COMPUTED_VALUE"""),224.7299999999998)</f>
        <v>224.73</v>
      </c>
      <c r="D12" s="128">
        <f>IFERROR(__xludf.DUMMYFUNCTION("""COMPUTED_VALUE"""),0.0)</f>
        <v>0</v>
      </c>
      <c r="E12" s="128">
        <f>IFERROR(__xludf.DUMMYFUNCTION("""COMPUTED_VALUE"""),0.0)</f>
        <v>0</v>
      </c>
      <c r="F12" s="128">
        <f>IFERROR(__xludf.DUMMYFUNCTION("""COMPUTED_VALUE"""),0.0)</f>
        <v>0</v>
      </c>
      <c r="G12" s="129">
        <f>IFERROR(__xludf.DUMMYFUNCTION("""COMPUTED_VALUE"""),0.0)</f>
        <v>0</v>
      </c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</row>
    <row r="13">
      <c r="A13" s="114"/>
      <c r="B13" s="133" t="str">
        <f>IFERROR(__xludf.DUMMYFUNCTION("""COMPUTED_VALUE"""),"Returns-TAAS")</f>
        <v>Returns-TAAS</v>
      </c>
      <c r="C13" s="128">
        <f>IFERROR(__xludf.DUMMYFUNCTION("""COMPUTED_VALUE"""),596.21)</f>
        <v>596.21</v>
      </c>
      <c r="D13" s="128">
        <f>IFERROR(__xludf.DUMMYFUNCTION("""COMPUTED_VALUE"""),0.0)</f>
        <v>0</v>
      </c>
      <c r="E13" s="128">
        <f>IFERROR(__xludf.DUMMYFUNCTION("""COMPUTED_VALUE"""),0.0)</f>
        <v>0</v>
      </c>
      <c r="F13" s="128">
        <f>IFERROR(__xludf.DUMMYFUNCTION("""COMPUTED_VALUE"""),0.0)</f>
        <v>0</v>
      </c>
      <c r="G13" s="129">
        <f>IFERROR(__xludf.DUMMYFUNCTION("""COMPUTED_VALUE"""),0.0)</f>
        <v>0</v>
      </c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</row>
    <row r="14">
      <c r="A14" s="114"/>
      <c r="B14" s="134" t="str">
        <f>IFERROR(__xludf.DUMMYFUNCTION("""COMPUTED_VALUE"""),"Returns - Rico")</f>
        <v>Returns - Rico</v>
      </c>
      <c r="C14" s="131">
        <f>IFERROR(__xludf.DUMMYFUNCTION("""COMPUTED_VALUE"""),69.28)</f>
        <v>69.28</v>
      </c>
      <c r="D14" s="131">
        <f>IFERROR(__xludf.DUMMYFUNCTION("""COMPUTED_VALUE"""),0.0)</f>
        <v>0</v>
      </c>
      <c r="E14" s="131">
        <f>IFERROR(__xludf.DUMMYFUNCTION("""COMPUTED_VALUE"""),0.0)</f>
        <v>0</v>
      </c>
      <c r="F14" s="131">
        <f>IFERROR(__xludf.DUMMYFUNCTION("""COMPUTED_VALUE"""),0.0)</f>
        <v>0</v>
      </c>
      <c r="G14" s="132">
        <f>IFERROR(__xludf.DUMMYFUNCTION("""COMPUTED_VALUE"""),0.0)</f>
        <v>0</v>
      </c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</row>
    <row r="15">
      <c r="A15" s="114"/>
      <c r="B15" s="117"/>
      <c r="C15" s="116"/>
      <c r="D15" s="116"/>
      <c r="E15" s="116"/>
      <c r="F15" s="116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</row>
    <row r="16">
      <c r="A16" s="114"/>
      <c r="B16" s="135" t="str">
        <f>IFERROR(__xludf.DUMMYFUNCTION("""COMPUTED_VALUE"""),"Returns")</f>
        <v>Returns</v>
      </c>
      <c r="C16" s="136">
        <f>IFERROR(__xludf.DUMMYFUNCTION("""COMPUTED_VALUE"""),-14465.010000000013)</f>
        <v>-14465.01</v>
      </c>
      <c r="D16" s="136">
        <f>IFERROR(__xludf.DUMMYFUNCTION("""COMPUTED_VALUE"""),-258.22999999999996)</f>
        <v>-258.23</v>
      </c>
      <c r="E16" s="136">
        <f>IFERROR(__xludf.DUMMYFUNCTION("""COMPUTED_VALUE"""),-95.52)</f>
        <v>-95.52</v>
      </c>
      <c r="F16" s="136">
        <f>IFERROR(__xludf.DUMMYFUNCTION("""COMPUTED_VALUE"""),-20.83)</f>
        <v>-20.83</v>
      </c>
      <c r="G16" s="137">
        <f>IFERROR(__xludf.DUMMYFUNCTION("""COMPUTED_VALUE"""),-42.15)</f>
        <v>-42.15</v>
      </c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</row>
    <row r="17">
      <c r="A17" s="114"/>
      <c r="B17" s="138" t="str">
        <f>IFERROR(__xludf.DUMMYFUNCTION("""COMPUTED_VALUE"""),"Keystone")</f>
        <v>Keystone</v>
      </c>
      <c r="C17" s="124">
        <f>IFERROR(__xludf.DUMMYFUNCTION("""COMPUTED_VALUE"""),-14131.850000000013)</f>
        <v>-14131.85</v>
      </c>
      <c r="D17" s="124">
        <f>IFERROR(__xludf.DUMMYFUNCTION("""COMPUTED_VALUE"""),-258.22999999999996)</f>
        <v>-258.23</v>
      </c>
      <c r="E17" s="124">
        <f>IFERROR(__xludf.DUMMYFUNCTION("""COMPUTED_VALUE"""),-83.52)</f>
        <v>-83.52</v>
      </c>
      <c r="F17" s="124">
        <f>IFERROR(__xludf.DUMMYFUNCTION("""COMPUTED_VALUE"""),-14.83)</f>
        <v>-14.83</v>
      </c>
      <c r="G17" s="125">
        <f>IFERROR(__xludf.DUMMYFUNCTION("""COMPUTED_VALUE"""),-42.15)</f>
        <v>-42.15</v>
      </c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</row>
    <row r="18">
      <c r="A18" s="114"/>
      <c r="B18" s="133" t="str">
        <f>IFERROR(__xludf.DUMMYFUNCTION("""COMPUTED_VALUE"""),"eBay")</f>
        <v>eBay</v>
      </c>
      <c r="C18" s="128">
        <f>IFERROR(__xludf.DUMMYFUNCTION("""COMPUTED_VALUE"""),-19.98)</f>
        <v>-19.98</v>
      </c>
      <c r="D18" s="128">
        <f>IFERROR(__xludf.DUMMYFUNCTION("""COMPUTED_VALUE"""),0.0)</f>
        <v>0</v>
      </c>
      <c r="E18" s="128">
        <f>IFERROR(__xludf.DUMMYFUNCTION("""COMPUTED_VALUE"""),0.0)</f>
        <v>0</v>
      </c>
      <c r="F18" s="128">
        <f>IFERROR(__xludf.DUMMYFUNCTION("""COMPUTED_VALUE"""),0.0)</f>
        <v>0</v>
      </c>
      <c r="G18" s="129">
        <f>IFERROR(__xludf.DUMMYFUNCTION("""COMPUTED_VALUE"""),0.0)</f>
        <v>0</v>
      </c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</row>
    <row r="19">
      <c r="A19" s="114"/>
      <c r="B19" s="133" t="str">
        <f>IFERROR(__xludf.DUMMYFUNCTION("""COMPUTED_VALUE"""),"TAAS")</f>
        <v>TAAS</v>
      </c>
      <c r="C19" s="128">
        <f>IFERROR(__xludf.DUMMYFUNCTION("""COMPUTED_VALUE"""),-82.18)</f>
        <v>-82.18</v>
      </c>
      <c r="D19" s="128">
        <f>IFERROR(__xludf.DUMMYFUNCTION("""COMPUTED_VALUE"""),0.0)</f>
        <v>0</v>
      </c>
      <c r="E19" s="128">
        <f>IFERROR(__xludf.DUMMYFUNCTION("""COMPUTED_VALUE"""),0.0)</f>
        <v>0</v>
      </c>
      <c r="F19" s="128">
        <f>IFERROR(__xludf.DUMMYFUNCTION("""COMPUTED_VALUE"""),0.0)</f>
        <v>0</v>
      </c>
      <c r="G19" s="129">
        <f>IFERROR(__xludf.DUMMYFUNCTION("""COMPUTED_VALUE"""),0.0)</f>
        <v>0</v>
      </c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</row>
    <row r="20">
      <c r="A20" s="114"/>
      <c r="B20" s="133" t="str">
        <f>IFERROR(__xludf.DUMMYFUNCTION("""COMPUTED_VALUE"""),"RR-Wally's")</f>
        <v>RR-Wally's</v>
      </c>
      <c r="C20" s="128">
        <f>IFERROR(__xludf.DUMMYFUNCTION("""COMPUTED_VALUE"""),-174.0)</f>
        <v>-174</v>
      </c>
      <c r="D20" s="128">
        <f>IFERROR(__xludf.DUMMYFUNCTION("""COMPUTED_VALUE"""),0.0)</f>
        <v>0</v>
      </c>
      <c r="E20" s="128">
        <f>IFERROR(__xludf.DUMMYFUNCTION("""COMPUTED_VALUE"""),-12.0)</f>
        <v>-12</v>
      </c>
      <c r="F20" s="128">
        <f>IFERROR(__xludf.DUMMYFUNCTION("""COMPUTED_VALUE"""),-6.0)</f>
        <v>-6</v>
      </c>
      <c r="G20" s="129">
        <f>IFERROR(__xludf.DUMMYFUNCTION("""COMPUTED_VALUE"""),0.0)</f>
        <v>0</v>
      </c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</row>
    <row r="21">
      <c r="A21" s="114"/>
      <c r="B21" s="133" t="str">
        <f>IFERROR(__xludf.DUMMYFUNCTION("""COMPUTED_VALUE"""),"RR-FBA")</f>
        <v>RR-FBA</v>
      </c>
      <c r="C21" s="128">
        <f>IFERROR(__xludf.DUMMYFUNCTION("""COMPUTED_VALUE"""),-7.0)</f>
        <v>-7</v>
      </c>
      <c r="D21" s="128">
        <f>IFERROR(__xludf.DUMMYFUNCTION("""COMPUTED_VALUE"""),0.0)</f>
        <v>0</v>
      </c>
      <c r="E21" s="128">
        <f>IFERROR(__xludf.DUMMYFUNCTION("""COMPUTED_VALUE"""),0.0)</f>
        <v>0</v>
      </c>
      <c r="F21" s="128">
        <f>IFERROR(__xludf.DUMMYFUNCTION("""COMPUTED_VALUE"""),0.0)</f>
        <v>0</v>
      </c>
      <c r="G21" s="129">
        <f>IFERROR(__xludf.DUMMYFUNCTION("""COMPUTED_VALUE"""),0.0)</f>
        <v>0</v>
      </c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</row>
    <row r="22">
      <c r="A22" s="114"/>
      <c r="B22" s="133" t="str">
        <f>IFERROR(__xludf.DUMMYFUNCTION("""COMPUTED_VALUE"""),"Returns-TAAS")</f>
        <v>Returns-TAAS</v>
      </c>
      <c r="C22" s="128">
        <f>IFERROR(__xludf.DUMMYFUNCTION("""COMPUTED_VALUE"""),-50.0)</f>
        <v>-50</v>
      </c>
      <c r="D22" s="128">
        <f>IFERROR(__xludf.DUMMYFUNCTION("""COMPUTED_VALUE"""),0.0)</f>
        <v>0</v>
      </c>
      <c r="E22" s="128">
        <f>IFERROR(__xludf.DUMMYFUNCTION("""COMPUTED_VALUE"""),0.0)</f>
        <v>0</v>
      </c>
      <c r="F22" s="128">
        <f>IFERROR(__xludf.DUMMYFUNCTION("""COMPUTED_VALUE"""),0.0)</f>
        <v>0</v>
      </c>
      <c r="G22" s="129">
        <f>IFERROR(__xludf.DUMMYFUNCTION("""COMPUTED_VALUE"""),0.0)</f>
        <v>0</v>
      </c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</row>
    <row r="23">
      <c r="A23" s="114"/>
      <c r="B23" s="134" t="str">
        <f>IFERROR(__xludf.DUMMYFUNCTION("""COMPUTED_VALUE"""),"Returns - Rico")</f>
        <v>Returns - Rico</v>
      </c>
      <c r="C23" s="131">
        <f>IFERROR(__xludf.DUMMYFUNCTION("""COMPUTED_VALUE"""),0.0)</f>
        <v>0</v>
      </c>
      <c r="D23" s="131">
        <f>IFERROR(__xludf.DUMMYFUNCTION("""COMPUTED_VALUE"""),0.0)</f>
        <v>0</v>
      </c>
      <c r="E23" s="131">
        <f>IFERROR(__xludf.DUMMYFUNCTION("""COMPUTED_VALUE"""),0.0)</f>
        <v>0</v>
      </c>
      <c r="F23" s="131">
        <f>IFERROR(__xludf.DUMMYFUNCTION("""COMPUTED_VALUE"""),0.0)</f>
        <v>0</v>
      </c>
      <c r="G23" s="132">
        <f>IFERROR(__xludf.DUMMYFUNCTION("""COMPUTED_VALUE"""),0.0)</f>
        <v>0</v>
      </c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</row>
    <row r="24">
      <c r="A24" s="114"/>
      <c r="B24" s="117"/>
      <c r="C24" s="116"/>
      <c r="D24" s="116"/>
      <c r="E24" s="116"/>
      <c r="F24" s="116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</row>
    <row r="25">
      <c r="A25" s="114"/>
      <c r="B25" s="135" t="str">
        <f>IFERROR(__xludf.DUMMYFUNCTION("""COMPUTED_VALUE"""),"Other Fees")</f>
        <v>Other Fees</v>
      </c>
      <c r="C25" s="136">
        <f>IFERROR(__xludf.DUMMYFUNCTION("""COMPUTED_VALUE"""),-9901.770000000002)</f>
        <v>-9901.77</v>
      </c>
      <c r="D25" s="136">
        <f>IFERROR(__xludf.DUMMYFUNCTION("""COMPUTED_VALUE"""),-1946.14)</f>
        <v>-1946.14</v>
      </c>
      <c r="E25" s="136">
        <f>IFERROR(__xludf.DUMMYFUNCTION("""COMPUTED_VALUE"""),-1688.1100000000001)</f>
        <v>-1688.11</v>
      </c>
      <c r="F25" s="136">
        <f>IFERROR(__xludf.DUMMYFUNCTION("""COMPUTED_VALUE"""),-1247.8899999999999)</f>
        <v>-1247.89</v>
      </c>
      <c r="G25" s="137">
        <f>IFERROR(__xludf.DUMMYFUNCTION("""COMPUTED_VALUE"""),-1669.5900000000001)</f>
        <v>-1669.59</v>
      </c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</row>
    <row r="26">
      <c r="A26" s="114"/>
      <c r="B26" s="138" t="str">
        <f>IFERROR(__xludf.DUMMYFUNCTION("""COMPUTED_VALUE"""),"Shipping Services")</f>
        <v>Shipping Services</v>
      </c>
      <c r="C26" s="124">
        <f>IFERROR(__xludf.DUMMYFUNCTION("""COMPUTED_VALUE"""),-5570.830000000003)</f>
        <v>-5570.83</v>
      </c>
      <c r="D26" s="124">
        <f>IFERROR(__xludf.DUMMYFUNCTION("""COMPUTED_VALUE"""),-269.04999999999995)</f>
        <v>-269.05</v>
      </c>
      <c r="E26" s="124">
        <f>IFERROR(__xludf.DUMMYFUNCTION("""COMPUTED_VALUE"""),-116.75999999999999)</f>
        <v>-116.76</v>
      </c>
      <c r="F26" s="124">
        <f>IFERROR(__xludf.DUMMYFUNCTION("""COMPUTED_VALUE"""),-27.739999999999995)</f>
        <v>-27.74</v>
      </c>
      <c r="G26" s="125">
        <f>IFERROR(__xludf.DUMMYFUNCTION("""COMPUTED_VALUE"""),-97.44999999999999)</f>
        <v>-97.45</v>
      </c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</row>
    <row r="27">
      <c r="A27" s="114"/>
      <c r="B27" s="133" t="str">
        <f>IFERROR(__xludf.DUMMYFUNCTION("""COMPUTED_VALUE"""),"FBA Inventory Fee")</f>
        <v>FBA Inventory Fee</v>
      </c>
      <c r="C27" s="128">
        <f>IFERROR(__xludf.DUMMYFUNCTION("""COMPUTED_VALUE"""),-338.26)</f>
        <v>-338.26</v>
      </c>
      <c r="D27" s="128">
        <f>IFERROR(__xludf.DUMMYFUNCTION("""COMPUTED_VALUE"""),0.0)</f>
        <v>0</v>
      </c>
      <c r="E27" s="128">
        <f>IFERROR(__xludf.DUMMYFUNCTION("""COMPUTED_VALUE"""),-288.11)</f>
        <v>-288.11</v>
      </c>
      <c r="F27" s="128">
        <f>IFERROR(__xludf.DUMMYFUNCTION("""COMPUTED_VALUE"""),-288.11)</f>
        <v>-288.11</v>
      </c>
      <c r="G27" s="129">
        <f>IFERROR(__xludf.DUMMYFUNCTION("""COMPUTED_VALUE"""),0.0)</f>
        <v>0</v>
      </c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</row>
    <row r="28">
      <c r="A28" s="114"/>
      <c r="B28" s="133" t="str">
        <f>IFERROR(__xludf.DUMMYFUNCTION("""COMPUTED_VALUE"""),"Service Fee")</f>
        <v>Service Fee</v>
      </c>
      <c r="C28" s="128">
        <f>IFERROR(__xludf.DUMMYFUNCTION("""COMPUTED_VALUE"""),-3918.95)</f>
        <v>-3918.95</v>
      </c>
      <c r="D28" s="128">
        <f>IFERROR(__xludf.DUMMYFUNCTION("""COMPUTED_VALUE"""),-1677.0900000000001)</f>
        <v>-1677.09</v>
      </c>
      <c r="E28" s="128">
        <f>IFERROR(__xludf.DUMMYFUNCTION("""COMPUTED_VALUE"""),-1283.24)</f>
        <v>-1283.24</v>
      </c>
      <c r="F28" s="128">
        <f>IFERROR(__xludf.DUMMYFUNCTION("""COMPUTED_VALUE"""),-932.04)</f>
        <v>-932.04</v>
      </c>
      <c r="G28" s="129">
        <f>IFERROR(__xludf.DUMMYFUNCTION("""COMPUTED_VALUE"""),-1572.14)</f>
        <v>-1572.14</v>
      </c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</row>
    <row r="29">
      <c r="A29" s="114"/>
      <c r="B29" s="133" t="str">
        <f>IFERROR(__xludf.DUMMYFUNCTION("""COMPUTED_VALUE"""),"SAFE-T reimbursement")</f>
        <v>SAFE-T reimbursement</v>
      </c>
      <c r="C29" s="128">
        <f>IFERROR(__xludf.DUMMYFUNCTION("""COMPUTED_VALUE"""),182.93)</f>
        <v>182.93</v>
      </c>
      <c r="D29" s="128">
        <f>IFERROR(__xludf.DUMMYFUNCTION("""COMPUTED_VALUE"""),0.0)</f>
        <v>0</v>
      </c>
      <c r="E29" s="128">
        <f>IFERROR(__xludf.DUMMYFUNCTION("""COMPUTED_VALUE"""),0.0)</f>
        <v>0</v>
      </c>
      <c r="F29" s="128">
        <f>IFERROR(__xludf.DUMMYFUNCTION("""COMPUTED_VALUE"""),0.0)</f>
        <v>0</v>
      </c>
      <c r="G29" s="129">
        <f>IFERROR(__xludf.DUMMYFUNCTION("""COMPUTED_VALUE"""),0.0)</f>
        <v>0</v>
      </c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</row>
    <row r="30">
      <c r="A30" s="114"/>
      <c r="B30" s="133" t="str">
        <f>IFERROR(__xludf.DUMMYFUNCTION("""COMPUTED_VALUE"""),"Liquidations Adjustments")</f>
        <v>Liquidations Adjustments</v>
      </c>
      <c r="C30" s="128">
        <f>IFERROR(__xludf.DUMMYFUNCTION("""COMPUTED_VALUE"""),0.0)</f>
        <v>0</v>
      </c>
      <c r="D30" s="128">
        <f>IFERROR(__xludf.DUMMYFUNCTION("""COMPUTED_VALUE"""),0.0)</f>
        <v>0</v>
      </c>
      <c r="E30" s="128">
        <f>IFERROR(__xludf.DUMMYFUNCTION("""COMPUTED_VALUE"""),0.0)</f>
        <v>0</v>
      </c>
      <c r="F30" s="128">
        <f>IFERROR(__xludf.DUMMYFUNCTION("""COMPUTED_VALUE"""),0.0)</f>
        <v>0</v>
      </c>
      <c r="G30" s="129">
        <f>IFERROR(__xludf.DUMMYFUNCTION("""COMPUTED_VALUE"""),0.0)</f>
        <v>0</v>
      </c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</row>
    <row r="31">
      <c r="A31" s="114"/>
      <c r="B31" s="133" t="str">
        <f>IFERROR(__xludf.DUMMYFUNCTION("""COMPUTED_VALUE"""),"Adjustment")</f>
        <v>Adjustment</v>
      </c>
      <c r="C31" s="128">
        <f>IFERROR(__xludf.DUMMYFUNCTION("""COMPUTED_VALUE"""),0.7600000000000002)</f>
        <v>0.76</v>
      </c>
      <c r="D31" s="128">
        <f>IFERROR(__xludf.DUMMYFUNCTION("""COMPUTED_VALUE"""),0.0)</f>
        <v>0</v>
      </c>
      <c r="E31" s="128">
        <f>IFERROR(__xludf.DUMMYFUNCTION("""COMPUTED_VALUE"""),0.0)</f>
        <v>0</v>
      </c>
      <c r="F31" s="128">
        <f>IFERROR(__xludf.DUMMYFUNCTION("""COMPUTED_VALUE"""),0.0)</f>
        <v>0</v>
      </c>
      <c r="G31" s="129">
        <f>IFERROR(__xludf.DUMMYFUNCTION("""COMPUTED_VALUE"""),0.0)</f>
        <v>0</v>
      </c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</row>
    <row r="32">
      <c r="A32" s="114"/>
      <c r="B32" s="134" t="str">
        <f>IFERROR(__xludf.DUMMYFUNCTION("""COMPUTED_VALUE"""),"A-to-z Guarantee Claim")</f>
        <v>A-to-z Guarantee Claim</v>
      </c>
      <c r="C32" s="131">
        <f>IFERROR(__xludf.DUMMYFUNCTION("""COMPUTED_VALUE"""),-257.42)</f>
        <v>-257.42</v>
      </c>
      <c r="D32" s="131">
        <f>IFERROR(__xludf.DUMMYFUNCTION("""COMPUTED_VALUE"""),0.0)</f>
        <v>0</v>
      </c>
      <c r="E32" s="131">
        <f>IFERROR(__xludf.DUMMYFUNCTION("""COMPUTED_VALUE"""),0.0)</f>
        <v>0</v>
      </c>
      <c r="F32" s="131">
        <f>IFERROR(__xludf.DUMMYFUNCTION("""COMPUTED_VALUE"""),0.0)</f>
        <v>0</v>
      </c>
      <c r="G32" s="132">
        <f>IFERROR(__xludf.DUMMYFUNCTION("""COMPUTED_VALUE"""),0.0)</f>
        <v>0</v>
      </c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</row>
    <row r="33">
      <c r="A33" s="114"/>
      <c r="B33" s="117"/>
      <c r="C33" s="116"/>
      <c r="D33" s="116"/>
      <c r="E33" s="116"/>
      <c r="F33" s="116"/>
      <c r="G33" s="116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</row>
    <row r="34">
      <c r="A34" s="114"/>
      <c r="B34" s="123" t="str">
        <f>IFERROR(__xludf.DUMMYFUNCTION("""COMPUTED_VALUE"""),"Purchase Reconciliations")</f>
        <v>Purchase Reconciliations</v>
      </c>
      <c r="C34" s="139"/>
      <c r="D34" s="139"/>
      <c r="E34" s="139"/>
      <c r="F34" s="139"/>
      <c r="G34" s="140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</row>
    <row r="35">
      <c r="A35" s="114"/>
      <c r="B35" s="126" t="str">
        <f>IFERROR(__xludf.DUMMYFUNCTION("""COMPUTED_VALUE"""),"Keystone")</f>
        <v>Keystone</v>
      </c>
      <c r="C35" s="85">
        <f>IFERROR(__xludf.DUMMYFUNCTION("""COMPUTED_VALUE"""),145839.33000000002)</f>
        <v>145839.33</v>
      </c>
      <c r="D35" s="85">
        <f>IFERROR(__xludf.DUMMYFUNCTION("""COMPUTED_VALUE"""),2939.42)</f>
        <v>2939.42</v>
      </c>
      <c r="E35" s="85">
        <f>IFERROR(__xludf.DUMMYFUNCTION("""COMPUTED_VALUE"""),1746.6599999999999)</f>
        <v>1746.66</v>
      </c>
      <c r="F35" s="85">
        <f>IFERROR(__xludf.DUMMYFUNCTION("""COMPUTED_VALUE"""),549.46)</f>
        <v>549.46</v>
      </c>
      <c r="G35" s="86">
        <f>IFERROR(__xludf.DUMMYFUNCTION("""COMPUTED_VALUE"""),358.55999999999995)</f>
        <v>358.56</v>
      </c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</row>
    <row r="36">
      <c r="A36" s="114"/>
      <c r="B36" s="141" t="str">
        <f>IFERROR(__xludf.DUMMYFUNCTION("""COMPUTED_VALUE"""),"eBay")</f>
        <v>eBay</v>
      </c>
      <c r="C36" s="142">
        <f>IFERROR(__xludf.DUMMYFUNCTION("""COMPUTED_VALUE"""),265.7800000000001)</f>
        <v>265.78</v>
      </c>
      <c r="D36" s="142">
        <f>IFERROR(__xludf.DUMMYFUNCTION("""COMPUTED_VALUE"""),29.97)</f>
        <v>29.97</v>
      </c>
      <c r="E36" s="142">
        <f>IFERROR(__xludf.DUMMYFUNCTION("""COMPUTED_VALUE"""),0.0)</f>
        <v>0</v>
      </c>
      <c r="F36" s="142">
        <f>IFERROR(__xludf.DUMMYFUNCTION("""COMPUTED_VALUE"""),0.0)</f>
        <v>0</v>
      </c>
      <c r="G36" s="143">
        <f>IFERROR(__xludf.DUMMYFUNCTION("""COMPUTED_VALUE"""),0.0)</f>
        <v>0</v>
      </c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</row>
    <row r="37">
      <c r="A37" s="114"/>
      <c r="B37" s="117"/>
      <c r="C37" s="116"/>
      <c r="D37" s="116"/>
      <c r="E37" s="116"/>
      <c r="F37" s="116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117"/>
    </row>
    <row r="38">
      <c r="A38" s="114"/>
      <c r="B38" s="118" t="str">
        <f>IFERROR(__xludf.DUMMYFUNCTION("""COMPUTED_VALUE"""),"Sales")</f>
        <v>Sales</v>
      </c>
      <c r="C38" s="4" t="str">
        <f>IFERROR(__xludf.DUMMYFUNCTION("""COMPUTED_VALUE"""),"Year to Date")</f>
        <v>Year to Date</v>
      </c>
      <c r="D38" s="4" t="str">
        <f>IFERROR(__xludf.DUMMYFUNCTION("""COMPUTED_VALUE"""),"Last Month")</f>
        <v>Last Month</v>
      </c>
      <c r="E38" s="4" t="str">
        <f>IFERROR(__xludf.DUMMYFUNCTION("""COMPUTED_VALUE"""),"Month to Date")</f>
        <v>Month to Date</v>
      </c>
      <c r="F38" s="5" t="str">
        <f>IFERROR(__xludf.DUMMYFUNCTION("""COMPUTED_VALUE"""),"This Week")</f>
        <v>This Week</v>
      </c>
      <c r="G38" s="6" t="str">
        <f>IFERROR(__xludf.DUMMYFUNCTION("""COMPUTED_VALUE"""),"Last Week")</f>
        <v>Last Week</v>
      </c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</row>
    <row r="39">
      <c r="A39" s="114"/>
      <c r="B39" s="119"/>
      <c r="C39" s="120">
        <f>IFERROR(__xludf.DUMMYFUNCTION("""COMPUTED_VALUE"""),2025.0)</f>
        <v>2025</v>
      </c>
      <c r="D39" s="121" t="str">
        <f>IFERROR(__xludf.DUMMYFUNCTION("""COMPUTED_VALUE"""),"November")</f>
        <v>November</v>
      </c>
      <c r="E39" s="121" t="str">
        <f>IFERROR(__xludf.DUMMYFUNCTION("""COMPUTED_VALUE"""),"December")</f>
        <v>December</v>
      </c>
      <c r="F39" s="122">
        <f>IFERROR(__xludf.DUMMYFUNCTION("""COMPUTED_VALUE"""),45999.0)</f>
        <v>45999</v>
      </c>
      <c r="G39" s="144">
        <f>IFERROR(__xludf.DUMMYFUNCTION("""COMPUTED_VALUE"""),45992.0)</f>
        <v>45992</v>
      </c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A39" s="117"/>
      <c r="AB39" s="117"/>
    </row>
    <row r="40">
      <c r="A40" s="114"/>
      <c r="B40" s="138" t="str">
        <f>IFERROR(__xludf.DUMMYFUNCTION("""COMPUTED_VALUE"""),"All Vendors")</f>
        <v>All Vendors</v>
      </c>
      <c r="C40" s="139">
        <f>IFERROR(__xludf.DUMMYFUNCTION("""COMPUTED_VALUE"""),248984.1999999986)</f>
        <v>248984.2</v>
      </c>
      <c r="D40" s="139">
        <f>IFERROR(__xludf.DUMMYFUNCTION("""COMPUTED_VALUE"""),4660.5)</f>
        <v>4660.5</v>
      </c>
      <c r="E40" s="139">
        <f>IFERROR(__xludf.DUMMYFUNCTION("""COMPUTED_VALUE"""),3487.3399999999983)</f>
        <v>3487.34</v>
      </c>
      <c r="F40" s="139">
        <f>IFERROR(__xludf.DUMMYFUNCTION("""COMPUTED_VALUE"""),956.46)</f>
        <v>956.46</v>
      </c>
      <c r="G40" s="145">
        <f>IFERROR(__xludf.DUMMYFUNCTION("""COMPUTED_VALUE"""),717.2)</f>
        <v>717.2</v>
      </c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</row>
    <row r="41">
      <c r="A41" s="114"/>
      <c r="B41" s="133" t="str">
        <f>IFERROR(__xludf.DUMMYFUNCTION("""COMPUTED_VALUE"""),"Keystone")</f>
        <v>Keystone</v>
      </c>
      <c r="C41" s="128">
        <f>IFERROR(__xludf.DUMMYFUNCTION("""COMPUTED_VALUE"""),237607.6199999986)</f>
        <v>237607.62</v>
      </c>
      <c r="D41" s="128">
        <f>IFERROR(__xludf.DUMMYFUNCTION("""COMPUTED_VALUE"""),4388.02)</f>
        <v>4388.02</v>
      </c>
      <c r="E41" s="128">
        <f>IFERROR(__xludf.DUMMYFUNCTION("""COMPUTED_VALUE"""),3154.1999999999985)</f>
        <v>3154.2</v>
      </c>
      <c r="F41" s="128">
        <f>IFERROR(__xludf.DUMMYFUNCTION("""COMPUTED_VALUE"""),887.02)</f>
        <v>887.02</v>
      </c>
      <c r="G41" s="129">
        <f>IFERROR(__xludf.DUMMYFUNCTION("""COMPUTED_VALUE"""),576.5600000000001)</f>
        <v>576.56</v>
      </c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7"/>
      <c r="AB41" s="117"/>
    </row>
    <row r="42">
      <c r="A42" s="114"/>
      <c r="B42" s="133" t="str">
        <f>IFERROR(__xludf.DUMMYFUNCTION("""COMPUTED_VALUE"""),"eBay")</f>
        <v>eBay</v>
      </c>
      <c r="C42" s="128">
        <f>IFERROR(__xludf.DUMMYFUNCTION("""COMPUTED_VALUE"""),386.7399999999998)</f>
        <v>386.74</v>
      </c>
      <c r="D42" s="128">
        <f>IFERROR(__xludf.DUMMYFUNCTION("""COMPUTED_VALUE"""),52.739999999999995)</f>
        <v>52.74</v>
      </c>
      <c r="E42" s="128">
        <f>IFERROR(__xludf.DUMMYFUNCTION("""COMPUTED_VALUE"""),0.0)</f>
        <v>0</v>
      </c>
      <c r="F42" s="128">
        <f>IFERROR(__xludf.DUMMYFUNCTION("""COMPUTED_VALUE"""),0.0)</f>
        <v>0</v>
      </c>
      <c r="G42" s="129">
        <f>IFERROR(__xludf.DUMMYFUNCTION("""COMPUTED_VALUE"""),52.739999999999995)</f>
        <v>52.74</v>
      </c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17"/>
    </row>
    <row r="43">
      <c r="A43" s="114"/>
      <c r="B43" s="133" t="str">
        <f>IFERROR(__xludf.DUMMYFUNCTION("""COMPUTED_VALUE"""),"TAAS")</f>
        <v>TAAS</v>
      </c>
      <c r="C43" s="128">
        <f>IFERROR(__xludf.DUMMYFUNCTION("""COMPUTED_VALUE"""),3838.2999999999975)</f>
        <v>3838.3</v>
      </c>
      <c r="D43" s="128">
        <f>IFERROR(__xludf.DUMMYFUNCTION("""COMPUTED_VALUE"""),0.0)</f>
        <v>0</v>
      </c>
      <c r="E43" s="128">
        <f>IFERROR(__xludf.DUMMYFUNCTION("""COMPUTED_VALUE"""),0.0)</f>
        <v>0</v>
      </c>
      <c r="F43" s="128">
        <f>IFERROR(__xludf.DUMMYFUNCTION("""COMPUTED_VALUE"""),0.0)</f>
        <v>0</v>
      </c>
      <c r="G43" s="129">
        <f>IFERROR(__xludf.DUMMYFUNCTION("""COMPUTED_VALUE"""),0.0)</f>
        <v>0</v>
      </c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117"/>
      <c r="AB43" s="117"/>
    </row>
    <row r="44">
      <c r="A44" s="114"/>
      <c r="B44" s="133" t="str">
        <f>IFERROR(__xludf.DUMMYFUNCTION("""COMPUTED_VALUE"""),"RR-Wally's")</f>
        <v>RR-Wally's</v>
      </c>
      <c r="C44" s="128">
        <f>IFERROR(__xludf.DUMMYFUNCTION("""COMPUTED_VALUE"""),5938.319999999994)</f>
        <v>5938.32</v>
      </c>
      <c r="D44" s="128">
        <f>IFERROR(__xludf.DUMMYFUNCTION("""COMPUTED_VALUE"""),219.74)</f>
        <v>219.74</v>
      </c>
      <c r="E44" s="128">
        <f>IFERROR(__xludf.DUMMYFUNCTION("""COMPUTED_VALUE"""),333.14)</f>
        <v>333.14</v>
      </c>
      <c r="F44" s="128">
        <f>IFERROR(__xludf.DUMMYFUNCTION("""COMPUTED_VALUE"""),69.44)</f>
        <v>69.44</v>
      </c>
      <c r="G44" s="129">
        <f>IFERROR(__xludf.DUMMYFUNCTION("""COMPUTED_VALUE"""),87.89999999999999)</f>
        <v>87.9</v>
      </c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</row>
    <row r="45">
      <c r="A45" s="114"/>
      <c r="B45" s="133" t="str">
        <f>IFERROR(__xludf.DUMMYFUNCTION("""COMPUTED_VALUE"""),"RR-FBA")</f>
        <v>RR-FBA</v>
      </c>
      <c r="C45" s="128">
        <f>IFERROR(__xludf.DUMMYFUNCTION("""COMPUTED_VALUE"""),315.73000000000013)</f>
        <v>315.73</v>
      </c>
      <c r="D45" s="128">
        <f>IFERROR(__xludf.DUMMYFUNCTION("""COMPUTED_VALUE"""),0.0)</f>
        <v>0</v>
      </c>
      <c r="E45" s="128">
        <f>IFERROR(__xludf.DUMMYFUNCTION("""COMPUTED_VALUE"""),0.0)</f>
        <v>0</v>
      </c>
      <c r="F45" s="128">
        <f>IFERROR(__xludf.DUMMYFUNCTION("""COMPUTED_VALUE"""),0.0)</f>
        <v>0</v>
      </c>
      <c r="G45" s="129">
        <f>IFERROR(__xludf.DUMMYFUNCTION("""COMPUTED_VALUE"""),0.0)</f>
        <v>0</v>
      </c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117"/>
    </row>
    <row r="46">
      <c r="A46" s="114"/>
      <c r="B46" s="133" t="str">
        <f>IFERROR(__xludf.DUMMYFUNCTION("""COMPUTED_VALUE"""),"Returns-TAAS")</f>
        <v>Returns-TAAS</v>
      </c>
      <c r="C46" s="128">
        <f>IFERROR(__xludf.DUMMYFUNCTION("""COMPUTED_VALUE"""),805.21)</f>
        <v>805.21</v>
      </c>
      <c r="D46" s="128">
        <f>IFERROR(__xludf.DUMMYFUNCTION("""COMPUTED_VALUE"""),0.0)</f>
        <v>0</v>
      </c>
      <c r="E46" s="128">
        <f>IFERROR(__xludf.DUMMYFUNCTION("""COMPUTED_VALUE"""),0.0)</f>
        <v>0</v>
      </c>
      <c r="F46" s="128">
        <f>IFERROR(__xludf.DUMMYFUNCTION("""COMPUTED_VALUE"""),0.0)</f>
        <v>0</v>
      </c>
      <c r="G46" s="129">
        <f>IFERROR(__xludf.DUMMYFUNCTION("""COMPUTED_VALUE"""),0.0)</f>
        <v>0</v>
      </c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/>
      <c r="AB46" s="117"/>
    </row>
    <row r="47">
      <c r="A47" s="114"/>
      <c r="B47" s="134" t="str">
        <f>IFERROR(__xludf.DUMMYFUNCTION("""COMPUTED_VALUE"""),"Returns - Rico")</f>
        <v>Returns - Rico</v>
      </c>
      <c r="C47" s="131">
        <f>IFERROR(__xludf.DUMMYFUNCTION("""COMPUTED_VALUE"""),92.28)</f>
        <v>92.28</v>
      </c>
      <c r="D47" s="131">
        <f>IFERROR(__xludf.DUMMYFUNCTION("""COMPUTED_VALUE"""),0.0)</f>
        <v>0</v>
      </c>
      <c r="E47" s="131">
        <f>IFERROR(__xludf.DUMMYFUNCTION("""COMPUTED_VALUE"""),0.0)</f>
        <v>0</v>
      </c>
      <c r="F47" s="131">
        <f>IFERROR(__xludf.DUMMYFUNCTION("""COMPUTED_VALUE"""),0.0)</f>
        <v>0</v>
      </c>
      <c r="G47" s="132">
        <f>IFERROR(__xludf.DUMMYFUNCTION("""COMPUTED_VALUE"""),0.0)</f>
        <v>0</v>
      </c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117"/>
      <c r="AB47" s="117"/>
    </row>
    <row r="48">
      <c r="A48" s="114"/>
      <c r="B48" s="117"/>
      <c r="C48" s="116"/>
      <c r="D48" s="116"/>
      <c r="E48" s="116"/>
      <c r="F48" s="116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  <c r="AA48" s="117"/>
      <c r="AB48" s="117"/>
    </row>
    <row r="49">
      <c r="A49" s="114"/>
      <c r="B49" s="117"/>
      <c r="C49" s="116"/>
      <c r="D49" s="116"/>
      <c r="E49" s="116"/>
      <c r="F49" s="116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  <c r="AA49" s="117"/>
      <c r="AB49" s="117"/>
    </row>
    <row r="50">
      <c r="A50" s="114"/>
      <c r="B50" s="117"/>
      <c r="C50" s="116"/>
      <c r="D50" s="116"/>
      <c r="E50" s="116"/>
      <c r="F50" s="116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  <c r="AA50" s="117"/>
      <c r="AB50" s="117"/>
    </row>
    <row r="51">
      <c r="A51" s="114"/>
      <c r="B51" s="117"/>
      <c r="C51" s="116"/>
      <c r="D51" s="116"/>
      <c r="E51" s="116"/>
      <c r="F51" s="116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  <c r="AA51" s="117"/>
      <c r="AB51" s="117"/>
    </row>
    <row r="52">
      <c r="A52" s="114"/>
      <c r="B52" s="117"/>
      <c r="C52" s="116"/>
      <c r="D52" s="116"/>
      <c r="E52" s="116"/>
      <c r="F52" s="116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  <c r="AA52" s="117"/>
      <c r="AB52" s="117"/>
    </row>
    <row r="53">
      <c r="A53" s="114"/>
      <c r="B53" s="117"/>
      <c r="C53" s="116"/>
      <c r="D53" s="116"/>
      <c r="E53" s="116"/>
      <c r="F53" s="116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  <c r="AA53" s="117"/>
      <c r="AB53" s="117"/>
    </row>
    <row r="54">
      <c r="A54" s="114"/>
      <c r="B54" s="117"/>
      <c r="C54" s="116"/>
      <c r="D54" s="116"/>
      <c r="E54" s="116"/>
      <c r="F54" s="116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/>
      <c r="AB54" s="117"/>
    </row>
    <row r="55">
      <c r="A55" s="114"/>
      <c r="B55" s="117"/>
      <c r="C55" s="116"/>
      <c r="D55" s="116"/>
      <c r="E55" s="116"/>
      <c r="F55" s="116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  <c r="AA55" s="117"/>
      <c r="AB55" s="117"/>
    </row>
    <row r="56">
      <c r="A56" s="114"/>
      <c r="B56" s="117"/>
      <c r="C56" s="116"/>
      <c r="D56" s="116"/>
      <c r="E56" s="116"/>
      <c r="F56" s="116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  <c r="AA56" s="117"/>
      <c r="AB56" s="117"/>
    </row>
    <row r="57">
      <c r="A57" s="114"/>
      <c r="B57" s="117"/>
      <c r="C57" s="116"/>
      <c r="D57" s="116"/>
      <c r="E57" s="116"/>
      <c r="F57" s="116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  <c r="AA57" s="117"/>
      <c r="AB57" s="117"/>
    </row>
    <row r="58">
      <c r="A58" s="114"/>
      <c r="B58" s="117"/>
      <c r="C58" s="116"/>
      <c r="D58" s="116"/>
      <c r="E58" s="116"/>
      <c r="F58" s="116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  <c r="AA58" s="117"/>
      <c r="AB58" s="117"/>
    </row>
    <row r="59">
      <c r="A59" s="114"/>
      <c r="B59" s="117"/>
      <c r="C59" s="116"/>
      <c r="D59" s="116"/>
      <c r="E59" s="116"/>
      <c r="F59" s="116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  <c r="AA59" s="117"/>
      <c r="AB59" s="117"/>
    </row>
    <row r="60">
      <c r="A60" s="114"/>
      <c r="B60" s="117"/>
      <c r="C60" s="116"/>
      <c r="D60" s="116"/>
      <c r="E60" s="116"/>
      <c r="F60" s="116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117"/>
      <c r="AB60" s="117"/>
    </row>
    <row r="61">
      <c r="A61" s="114"/>
      <c r="B61" s="117"/>
      <c r="C61" s="116"/>
      <c r="D61" s="116"/>
      <c r="E61" s="116"/>
      <c r="F61" s="116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</row>
    <row r="62">
      <c r="A62" s="114"/>
      <c r="B62" s="117"/>
      <c r="C62" s="116"/>
      <c r="D62" s="116"/>
      <c r="E62" s="116"/>
      <c r="F62" s="116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</row>
    <row r="63">
      <c r="A63" s="114"/>
      <c r="B63" s="117"/>
      <c r="C63" s="116"/>
      <c r="D63" s="116"/>
      <c r="E63" s="116"/>
      <c r="F63" s="116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</row>
    <row r="64">
      <c r="A64" s="114"/>
      <c r="B64" s="117"/>
      <c r="C64" s="116"/>
      <c r="D64" s="116"/>
      <c r="E64" s="116"/>
      <c r="F64" s="116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</row>
    <row r="65">
      <c r="A65" s="114"/>
      <c r="B65" s="117"/>
      <c r="C65" s="116"/>
      <c r="D65" s="116"/>
      <c r="E65" s="116"/>
      <c r="F65" s="116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  <c r="AA65" s="117"/>
      <c r="AB65" s="117"/>
    </row>
    <row r="66">
      <c r="A66" s="114"/>
      <c r="B66" s="117"/>
      <c r="C66" s="116"/>
      <c r="D66" s="116"/>
      <c r="E66" s="116"/>
      <c r="F66" s="116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  <c r="AA66" s="117"/>
      <c r="AB66" s="117"/>
    </row>
    <row r="67">
      <c r="A67" s="114"/>
      <c r="B67" s="117"/>
      <c r="C67" s="116"/>
      <c r="D67" s="116"/>
      <c r="E67" s="116"/>
      <c r="F67" s="116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</row>
    <row r="68">
      <c r="A68" s="114"/>
      <c r="B68" s="117"/>
      <c r="C68" s="116"/>
      <c r="D68" s="116"/>
      <c r="E68" s="116"/>
      <c r="F68" s="116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  <c r="AA68" s="117"/>
      <c r="AB68" s="117"/>
    </row>
    <row r="69">
      <c r="A69" s="114"/>
      <c r="B69" s="117"/>
      <c r="C69" s="116"/>
      <c r="D69" s="116"/>
      <c r="E69" s="116"/>
      <c r="F69" s="116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  <c r="AA69" s="117"/>
      <c r="AB69" s="117"/>
    </row>
    <row r="70">
      <c r="A70" s="114"/>
      <c r="B70" s="117"/>
      <c r="C70" s="116"/>
      <c r="D70" s="116"/>
      <c r="E70" s="116"/>
      <c r="F70" s="116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</row>
    <row r="71">
      <c r="A71" s="114"/>
      <c r="B71" s="117"/>
      <c r="C71" s="116"/>
      <c r="D71" s="116"/>
      <c r="E71" s="116"/>
      <c r="F71" s="116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7"/>
      <c r="AB71" s="117"/>
    </row>
    <row r="72">
      <c r="A72" s="114"/>
      <c r="B72" s="117"/>
      <c r="C72" s="116"/>
      <c r="D72" s="116"/>
      <c r="E72" s="116"/>
      <c r="F72" s="116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  <c r="AB72" s="117"/>
    </row>
    <row r="73">
      <c r="A73" s="114"/>
      <c r="B73" s="117"/>
      <c r="C73" s="116"/>
      <c r="D73" s="116"/>
      <c r="E73" s="116"/>
      <c r="F73" s="116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  <c r="AA73" s="117"/>
      <c r="AB73" s="117"/>
    </row>
    <row r="74">
      <c r="A74" s="114"/>
      <c r="B74" s="117"/>
      <c r="C74" s="116"/>
      <c r="D74" s="116"/>
      <c r="E74" s="116"/>
      <c r="F74" s="116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  <c r="AB74" s="117"/>
    </row>
    <row r="75">
      <c r="A75" s="114"/>
      <c r="B75" s="117"/>
      <c r="C75" s="116"/>
      <c r="D75" s="116"/>
      <c r="E75" s="116"/>
      <c r="F75" s="116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  <c r="AA75" s="117"/>
      <c r="AB75" s="117"/>
    </row>
    <row r="76">
      <c r="A76" s="114"/>
      <c r="B76" s="117"/>
      <c r="C76" s="116"/>
      <c r="D76" s="116"/>
      <c r="E76" s="116"/>
      <c r="F76" s="116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</row>
    <row r="77">
      <c r="A77" s="114"/>
      <c r="B77" s="117"/>
      <c r="C77" s="116"/>
      <c r="D77" s="116"/>
      <c r="E77" s="116"/>
      <c r="F77" s="116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  <c r="AA77" s="117"/>
      <c r="AB77" s="117"/>
    </row>
    <row r="78">
      <c r="A78" s="114"/>
      <c r="B78" s="117"/>
      <c r="C78" s="116"/>
      <c r="D78" s="116"/>
      <c r="E78" s="116"/>
      <c r="F78" s="116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</row>
    <row r="79">
      <c r="A79" s="114"/>
      <c r="B79" s="117"/>
      <c r="C79" s="116"/>
      <c r="D79" s="116"/>
      <c r="E79" s="116"/>
      <c r="F79" s="116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  <c r="AA79" s="117"/>
      <c r="AB79" s="117"/>
    </row>
    <row r="80">
      <c r="A80" s="114"/>
      <c r="B80" s="117"/>
      <c r="C80" s="116"/>
      <c r="D80" s="116"/>
      <c r="E80" s="116"/>
      <c r="F80" s="116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</row>
    <row r="81">
      <c r="A81" s="114"/>
      <c r="B81" s="117"/>
      <c r="C81" s="116"/>
      <c r="D81" s="116"/>
      <c r="E81" s="116"/>
      <c r="F81" s="116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  <c r="AB81" s="117"/>
    </row>
    <row r="82">
      <c r="A82" s="114"/>
      <c r="B82" s="117"/>
      <c r="C82" s="116"/>
      <c r="D82" s="116"/>
      <c r="E82" s="116"/>
      <c r="F82" s="116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</row>
    <row r="83">
      <c r="A83" s="114"/>
      <c r="B83" s="117"/>
      <c r="C83" s="116"/>
      <c r="D83" s="116"/>
      <c r="E83" s="116"/>
      <c r="F83" s="116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  <c r="AA83" s="117"/>
      <c r="AB83" s="117"/>
    </row>
    <row r="84">
      <c r="A84" s="114"/>
      <c r="B84" s="117"/>
      <c r="C84" s="116"/>
      <c r="D84" s="116"/>
      <c r="E84" s="116"/>
      <c r="F84" s="116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</row>
    <row r="85">
      <c r="A85" s="114"/>
      <c r="B85" s="117"/>
      <c r="C85" s="116"/>
      <c r="D85" s="116"/>
      <c r="E85" s="116"/>
      <c r="F85" s="116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  <c r="AA85" s="117"/>
      <c r="AB85" s="117"/>
    </row>
    <row r="86">
      <c r="A86" s="114"/>
      <c r="B86" s="117"/>
      <c r="C86" s="116"/>
      <c r="D86" s="116"/>
      <c r="E86" s="116"/>
      <c r="F86" s="116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</row>
    <row r="87">
      <c r="A87" s="114"/>
      <c r="B87" s="117"/>
      <c r="C87" s="116"/>
      <c r="D87" s="116"/>
      <c r="E87" s="116"/>
      <c r="F87" s="116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  <c r="AA87" s="117"/>
      <c r="AB87" s="117"/>
    </row>
    <row r="88">
      <c r="A88" s="114"/>
      <c r="B88" s="117"/>
      <c r="C88" s="116"/>
      <c r="D88" s="116"/>
      <c r="E88" s="116"/>
      <c r="F88" s="116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</row>
    <row r="89">
      <c r="A89" s="114"/>
      <c r="B89" s="117"/>
      <c r="C89" s="116"/>
      <c r="D89" s="116"/>
      <c r="E89" s="116"/>
      <c r="F89" s="116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  <c r="AB89" s="117"/>
    </row>
    <row r="90">
      <c r="A90" s="114"/>
      <c r="B90" s="117"/>
      <c r="C90" s="116"/>
      <c r="D90" s="116"/>
      <c r="E90" s="116"/>
      <c r="F90" s="116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</row>
    <row r="91">
      <c r="A91" s="114"/>
      <c r="B91" s="117"/>
      <c r="C91" s="116"/>
      <c r="D91" s="116"/>
      <c r="E91" s="116"/>
      <c r="F91" s="116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  <c r="AA91" s="117"/>
      <c r="AB91" s="117"/>
    </row>
    <row r="92">
      <c r="A92" s="114"/>
      <c r="B92" s="117"/>
      <c r="C92" s="116"/>
      <c r="D92" s="116"/>
      <c r="E92" s="116"/>
      <c r="F92" s="116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</row>
    <row r="93">
      <c r="A93" s="114"/>
      <c r="B93" s="117"/>
      <c r="C93" s="116"/>
      <c r="D93" s="116"/>
      <c r="E93" s="116"/>
      <c r="F93" s="116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117"/>
      <c r="AB93" s="117"/>
    </row>
    <row r="94">
      <c r="A94" s="114"/>
      <c r="B94" s="117"/>
      <c r="C94" s="116"/>
      <c r="D94" s="116"/>
      <c r="E94" s="116"/>
      <c r="F94" s="116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</row>
    <row r="95">
      <c r="A95" s="114"/>
      <c r="B95" s="117"/>
      <c r="C95" s="116"/>
      <c r="D95" s="116"/>
      <c r="E95" s="116"/>
      <c r="F95" s="116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  <c r="AA95" s="117"/>
      <c r="AB95" s="117"/>
    </row>
    <row r="96">
      <c r="A96" s="114"/>
      <c r="B96" s="117"/>
      <c r="C96" s="116"/>
      <c r="D96" s="116"/>
      <c r="E96" s="116"/>
      <c r="F96" s="116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</row>
    <row r="97">
      <c r="A97" s="114"/>
      <c r="B97" s="117"/>
      <c r="C97" s="116"/>
      <c r="D97" s="116"/>
      <c r="E97" s="116"/>
      <c r="F97" s="116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  <c r="AA97" s="117"/>
      <c r="AB97" s="117"/>
    </row>
    <row r="98">
      <c r="A98" s="114"/>
      <c r="B98" s="117"/>
      <c r="C98" s="116"/>
      <c r="D98" s="116"/>
      <c r="E98" s="116"/>
      <c r="F98" s="116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117"/>
      <c r="AB98" s="117"/>
    </row>
    <row r="99">
      <c r="A99" s="114"/>
      <c r="B99" s="117"/>
      <c r="C99" s="116"/>
      <c r="D99" s="116"/>
      <c r="E99" s="116"/>
      <c r="F99" s="116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  <c r="AA99" s="117"/>
      <c r="AB99" s="117"/>
    </row>
    <row r="100">
      <c r="A100" s="114"/>
      <c r="B100" s="117"/>
      <c r="C100" s="116"/>
      <c r="D100" s="116"/>
      <c r="E100" s="116"/>
      <c r="F100" s="116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  <c r="AB100" s="117"/>
    </row>
    <row r="101">
      <c r="A101" s="114"/>
      <c r="B101" s="117"/>
      <c r="C101" s="116"/>
      <c r="D101" s="116"/>
      <c r="E101" s="116"/>
      <c r="F101" s="116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</row>
    <row r="102">
      <c r="A102" s="114"/>
      <c r="B102" s="117"/>
      <c r="C102" s="116"/>
      <c r="D102" s="116"/>
      <c r="E102" s="116"/>
      <c r="F102" s="116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117"/>
      <c r="AB102" s="117"/>
    </row>
    <row r="103">
      <c r="A103" s="114"/>
      <c r="B103" s="117"/>
      <c r="C103" s="116"/>
      <c r="D103" s="116"/>
      <c r="E103" s="116"/>
      <c r="F103" s="116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  <c r="AA103" s="117"/>
      <c r="AB103" s="117"/>
    </row>
    <row r="104">
      <c r="A104" s="114"/>
      <c r="B104" s="117"/>
      <c r="C104" s="116"/>
      <c r="D104" s="116"/>
      <c r="E104" s="116"/>
      <c r="F104" s="116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  <c r="AA104" s="117"/>
      <c r="AB104" s="117"/>
    </row>
    <row r="105">
      <c r="A105" s="114"/>
      <c r="B105" s="117"/>
      <c r="C105" s="116"/>
      <c r="D105" s="116"/>
      <c r="E105" s="116"/>
      <c r="F105" s="116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  <c r="AA105" s="117"/>
      <c r="AB105" s="117"/>
    </row>
    <row r="106">
      <c r="A106" s="114"/>
      <c r="B106" s="117"/>
      <c r="C106" s="116"/>
      <c r="D106" s="116"/>
      <c r="E106" s="116"/>
      <c r="F106" s="116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  <c r="AA106" s="117"/>
      <c r="AB106" s="117"/>
    </row>
    <row r="107">
      <c r="A107" s="114"/>
      <c r="B107" s="117"/>
      <c r="C107" s="116"/>
      <c r="D107" s="116"/>
      <c r="E107" s="116"/>
      <c r="F107" s="116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  <c r="AA107" s="117"/>
      <c r="AB107" s="117"/>
    </row>
    <row r="108">
      <c r="A108" s="114"/>
      <c r="B108" s="117"/>
      <c r="C108" s="116"/>
      <c r="D108" s="116"/>
      <c r="E108" s="116"/>
      <c r="F108" s="116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  <c r="AA108" s="117"/>
      <c r="AB108" s="117"/>
    </row>
    <row r="109">
      <c r="A109" s="114"/>
      <c r="B109" s="117"/>
      <c r="C109" s="116"/>
      <c r="D109" s="116"/>
      <c r="E109" s="116"/>
      <c r="F109" s="116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  <c r="AA109" s="117"/>
      <c r="AB109" s="117"/>
    </row>
    <row r="110">
      <c r="A110" s="114"/>
      <c r="B110" s="117"/>
      <c r="C110" s="116"/>
      <c r="D110" s="116"/>
      <c r="E110" s="116"/>
      <c r="F110" s="116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  <c r="AA110" s="117"/>
      <c r="AB110" s="117"/>
    </row>
    <row r="111">
      <c r="A111" s="114"/>
      <c r="B111" s="117"/>
      <c r="C111" s="116"/>
      <c r="D111" s="116"/>
      <c r="E111" s="116"/>
      <c r="F111" s="116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  <c r="AA111" s="117"/>
      <c r="AB111" s="117"/>
    </row>
    <row r="112">
      <c r="A112" s="114"/>
      <c r="B112" s="117"/>
      <c r="C112" s="116"/>
      <c r="D112" s="116"/>
      <c r="E112" s="116"/>
      <c r="F112" s="116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  <c r="AA112" s="117"/>
      <c r="AB112" s="117"/>
    </row>
    <row r="113">
      <c r="A113" s="114"/>
      <c r="B113" s="117"/>
      <c r="C113" s="116"/>
      <c r="D113" s="116"/>
      <c r="E113" s="116"/>
      <c r="F113" s="116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  <c r="AB113" s="117"/>
    </row>
    <row r="114">
      <c r="A114" s="114"/>
      <c r="B114" s="117"/>
      <c r="C114" s="116"/>
      <c r="D114" s="116"/>
      <c r="E114" s="116"/>
      <c r="F114" s="116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  <c r="AA114" s="117"/>
      <c r="AB114" s="117"/>
    </row>
    <row r="115">
      <c r="A115" s="114"/>
      <c r="B115" s="117"/>
      <c r="C115" s="116"/>
      <c r="D115" s="116"/>
      <c r="E115" s="116"/>
      <c r="F115" s="116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</row>
    <row r="116">
      <c r="A116" s="114"/>
      <c r="B116" s="117"/>
      <c r="C116" s="116"/>
      <c r="D116" s="116"/>
      <c r="E116" s="116"/>
      <c r="F116" s="116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  <c r="AA116" s="117"/>
      <c r="AB116" s="117"/>
    </row>
    <row r="117">
      <c r="A117" s="114"/>
      <c r="B117" s="117"/>
      <c r="C117" s="116"/>
      <c r="D117" s="116"/>
      <c r="E117" s="116"/>
      <c r="F117" s="116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  <c r="AA117" s="117"/>
      <c r="AB117" s="117"/>
    </row>
    <row r="118">
      <c r="A118" s="114"/>
      <c r="B118" s="117"/>
      <c r="C118" s="116"/>
      <c r="D118" s="116"/>
      <c r="E118" s="116"/>
      <c r="F118" s="116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  <c r="AA118" s="117"/>
      <c r="AB118" s="117"/>
    </row>
    <row r="119">
      <c r="A119" s="114"/>
      <c r="B119" s="117"/>
      <c r="C119" s="116"/>
      <c r="D119" s="116"/>
      <c r="E119" s="116"/>
      <c r="F119" s="116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  <c r="AA119" s="117"/>
      <c r="AB119" s="117"/>
    </row>
    <row r="120">
      <c r="A120" s="114"/>
      <c r="B120" s="117"/>
      <c r="C120" s="116"/>
      <c r="D120" s="116"/>
      <c r="E120" s="116"/>
      <c r="F120" s="116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  <c r="AA120" s="117"/>
      <c r="AB120" s="117"/>
    </row>
    <row r="121">
      <c r="A121" s="114"/>
      <c r="B121" s="117"/>
      <c r="C121" s="116"/>
      <c r="D121" s="116"/>
      <c r="E121" s="116"/>
      <c r="F121" s="116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  <c r="AA121" s="117"/>
      <c r="AB121" s="117"/>
    </row>
    <row r="122">
      <c r="A122" s="114"/>
      <c r="B122" s="117"/>
      <c r="C122" s="116"/>
      <c r="D122" s="116"/>
      <c r="E122" s="116"/>
      <c r="F122" s="116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</row>
    <row r="123">
      <c r="A123" s="114"/>
      <c r="B123" s="117"/>
      <c r="C123" s="116"/>
      <c r="D123" s="116"/>
      <c r="E123" s="116"/>
      <c r="F123" s="116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  <c r="AA123" s="117"/>
      <c r="AB123" s="117"/>
    </row>
    <row r="124">
      <c r="A124" s="114"/>
      <c r="B124" s="117"/>
      <c r="C124" s="116"/>
      <c r="D124" s="116"/>
      <c r="E124" s="116"/>
      <c r="F124" s="116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  <c r="AA124" s="117"/>
      <c r="AB124" s="117"/>
    </row>
    <row r="125">
      <c r="A125" s="114"/>
      <c r="B125" s="117"/>
      <c r="C125" s="116"/>
      <c r="D125" s="116"/>
      <c r="E125" s="116"/>
      <c r="F125" s="116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  <c r="AA125" s="117"/>
      <c r="AB125" s="117"/>
    </row>
    <row r="126">
      <c r="A126" s="114"/>
      <c r="B126" s="117"/>
      <c r="C126" s="116"/>
      <c r="D126" s="116"/>
      <c r="E126" s="116"/>
      <c r="F126" s="116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  <c r="AB126" s="117"/>
    </row>
    <row r="127">
      <c r="A127" s="114"/>
      <c r="B127" s="117"/>
      <c r="C127" s="116"/>
      <c r="D127" s="116"/>
      <c r="E127" s="116"/>
      <c r="F127" s="116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</row>
    <row r="128">
      <c r="A128" s="114"/>
      <c r="B128" s="117"/>
      <c r="C128" s="116"/>
      <c r="D128" s="116"/>
      <c r="E128" s="116"/>
      <c r="F128" s="116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</row>
    <row r="129">
      <c r="A129" s="114"/>
      <c r="B129" s="117"/>
      <c r="C129" s="116"/>
      <c r="D129" s="116"/>
      <c r="E129" s="116"/>
      <c r="F129" s="116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</row>
    <row r="130">
      <c r="A130" s="114"/>
      <c r="B130" s="117"/>
      <c r="C130" s="116"/>
      <c r="D130" s="116"/>
      <c r="E130" s="116"/>
      <c r="F130" s="116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</row>
    <row r="131">
      <c r="A131" s="114"/>
      <c r="B131" s="117"/>
      <c r="C131" s="116"/>
      <c r="D131" s="116"/>
      <c r="E131" s="116"/>
      <c r="F131" s="116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</row>
    <row r="132">
      <c r="A132" s="114"/>
      <c r="B132" s="117"/>
      <c r="C132" s="116"/>
      <c r="D132" s="116"/>
      <c r="E132" s="116"/>
      <c r="F132" s="116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</row>
    <row r="133">
      <c r="A133" s="114"/>
      <c r="B133" s="117"/>
      <c r="C133" s="116"/>
      <c r="D133" s="116"/>
      <c r="E133" s="116"/>
      <c r="F133" s="116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</row>
    <row r="134">
      <c r="A134" s="114"/>
      <c r="B134" s="117"/>
      <c r="C134" s="116"/>
      <c r="D134" s="116"/>
      <c r="E134" s="116"/>
      <c r="F134" s="116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</row>
    <row r="135">
      <c r="A135" s="114"/>
      <c r="B135" s="117"/>
      <c r="C135" s="116"/>
      <c r="D135" s="116"/>
      <c r="E135" s="116"/>
      <c r="F135" s="116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</row>
    <row r="136">
      <c r="A136" s="114"/>
      <c r="B136" s="117"/>
      <c r="C136" s="116"/>
      <c r="D136" s="116"/>
      <c r="E136" s="116"/>
      <c r="F136" s="116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</row>
    <row r="137">
      <c r="A137" s="114"/>
      <c r="B137" s="117"/>
      <c r="C137" s="116"/>
      <c r="D137" s="116"/>
      <c r="E137" s="116"/>
      <c r="F137" s="116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</row>
    <row r="138">
      <c r="A138" s="114"/>
      <c r="B138" s="117"/>
      <c r="C138" s="116"/>
      <c r="D138" s="116"/>
      <c r="E138" s="116"/>
      <c r="F138" s="116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</row>
    <row r="139">
      <c r="A139" s="114"/>
      <c r="B139" s="117"/>
      <c r="C139" s="116"/>
      <c r="D139" s="116"/>
      <c r="E139" s="116"/>
      <c r="F139" s="116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</row>
    <row r="140">
      <c r="A140" s="114"/>
      <c r="B140" s="117"/>
      <c r="C140" s="116"/>
      <c r="D140" s="116"/>
      <c r="E140" s="116"/>
      <c r="F140" s="116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</row>
    <row r="141">
      <c r="A141" s="114"/>
      <c r="B141" s="117"/>
      <c r="C141" s="116"/>
      <c r="D141" s="116"/>
      <c r="E141" s="116"/>
      <c r="F141" s="116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</row>
    <row r="142">
      <c r="A142" s="114"/>
      <c r="B142" s="117"/>
      <c r="C142" s="116"/>
      <c r="D142" s="116"/>
      <c r="E142" s="116"/>
      <c r="F142" s="116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</row>
    <row r="143">
      <c r="A143" s="114"/>
      <c r="B143" s="117"/>
      <c r="C143" s="116"/>
      <c r="D143" s="116"/>
      <c r="E143" s="116"/>
      <c r="F143" s="116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</row>
    <row r="144">
      <c r="A144" s="114"/>
      <c r="B144" s="117"/>
      <c r="C144" s="116"/>
      <c r="D144" s="116"/>
      <c r="E144" s="116"/>
      <c r="F144" s="116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</row>
    <row r="145">
      <c r="A145" s="114"/>
      <c r="B145" s="117"/>
      <c r="C145" s="116"/>
      <c r="D145" s="116"/>
      <c r="E145" s="116"/>
      <c r="F145" s="116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</row>
    <row r="146">
      <c r="A146" s="114"/>
      <c r="B146" s="117"/>
      <c r="C146" s="116"/>
      <c r="D146" s="116"/>
      <c r="E146" s="116"/>
      <c r="F146" s="116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</row>
    <row r="147">
      <c r="A147" s="114"/>
      <c r="B147" s="117"/>
      <c r="C147" s="116"/>
      <c r="D147" s="116"/>
      <c r="E147" s="116"/>
      <c r="F147" s="116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</row>
    <row r="148">
      <c r="A148" s="114"/>
      <c r="B148" s="117"/>
      <c r="C148" s="116"/>
      <c r="D148" s="116"/>
      <c r="E148" s="116"/>
      <c r="F148" s="116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</row>
    <row r="149">
      <c r="A149" s="114"/>
      <c r="B149" s="117"/>
      <c r="C149" s="116"/>
      <c r="D149" s="116"/>
      <c r="E149" s="116"/>
      <c r="F149" s="116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</row>
    <row r="150">
      <c r="A150" s="114"/>
      <c r="B150" s="117"/>
      <c r="C150" s="116"/>
      <c r="D150" s="116"/>
      <c r="E150" s="116"/>
      <c r="F150" s="116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</row>
    <row r="151">
      <c r="A151" s="114"/>
      <c r="B151" s="117"/>
      <c r="C151" s="116"/>
      <c r="D151" s="116"/>
      <c r="E151" s="116"/>
      <c r="F151" s="116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</row>
    <row r="152">
      <c r="A152" s="114"/>
      <c r="B152" s="117"/>
      <c r="C152" s="116"/>
      <c r="D152" s="116"/>
      <c r="E152" s="116"/>
      <c r="F152" s="116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</row>
    <row r="153">
      <c r="A153" s="114"/>
      <c r="B153" s="117"/>
      <c r="C153" s="116"/>
      <c r="D153" s="116"/>
      <c r="E153" s="116"/>
      <c r="F153" s="116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</row>
    <row r="154">
      <c r="A154" s="114"/>
      <c r="B154" s="117"/>
      <c r="C154" s="116"/>
      <c r="D154" s="116"/>
      <c r="E154" s="116"/>
      <c r="F154" s="116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</row>
    <row r="155">
      <c r="A155" s="114"/>
      <c r="B155" s="117"/>
      <c r="C155" s="116"/>
      <c r="D155" s="116"/>
      <c r="E155" s="116"/>
      <c r="F155" s="116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</row>
    <row r="156">
      <c r="A156" s="114"/>
      <c r="B156" s="117"/>
      <c r="C156" s="116"/>
      <c r="D156" s="116"/>
      <c r="E156" s="116"/>
      <c r="F156" s="116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</row>
    <row r="157">
      <c r="A157" s="114"/>
      <c r="B157" s="117"/>
      <c r="C157" s="116"/>
      <c r="D157" s="116"/>
      <c r="E157" s="116"/>
      <c r="F157" s="116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</row>
    <row r="158">
      <c r="A158" s="114"/>
      <c r="B158" s="117"/>
      <c r="C158" s="116"/>
      <c r="D158" s="116"/>
      <c r="E158" s="116"/>
      <c r="F158" s="116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</row>
    <row r="159">
      <c r="A159" s="114"/>
      <c r="B159" s="117"/>
      <c r="C159" s="116"/>
      <c r="D159" s="116"/>
      <c r="E159" s="116"/>
      <c r="F159" s="116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</row>
    <row r="160">
      <c r="A160" s="114"/>
      <c r="B160" s="117"/>
      <c r="C160" s="116"/>
      <c r="D160" s="116"/>
      <c r="E160" s="116"/>
      <c r="F160" s="116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</row>
    <row r="161">
      <c r="A161" s="114"/>
      <c r="B161" s="117"/>
      <c r="C161" s="116"/>
      <c r="D161" s="116"/>
      <c r="E161" s="116"/>
      <c r="F161" s="116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</row>
    <row r="162">
      <c r="A162" s="114"/>
      <c r="B162" s="117"/>
      <c r="C162" s="116"/>
      <c r="D162" s="116"/>
      <c r="E162" s="116"/>
      <c r="F162" s="116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</row>
    <row r="163">
      <c r="A163" s="114"/>
      <c r="B163" s="117"/>
      <c r="C163" s="116"/>
      <c r="D163" s="116"/>
      <c r="E163" s="116"/>
      <c r="F163" s="116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</row>
    <row r="164">
      <c r="A164" s="114"/>
      <c r="B164" s="117"/>
      <c r="C164" s="116"/>
      <c r="D164" s="116"/>
      <c r="E164" s="116"/>
      <c r="F164" s="116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</row>
    <row r="165">
      <c r="A165" s="114"/>
      <c r="B165" s="117"/>
      <c r="C165" s="116"/>
      <c r="D165" s="116"/>
      <c r="E165" s="116"/>
      <c r="F165" s="116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</row>
    <row r="166">
      <c r="A166" s="114"/>
      <c r="B166" s="117"/>
      <c r="C166" s="116"/>
      <c r="D166" s="116"/>
      <c r="E166" s="116"/>
      <c r="F166" s="116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</row>
    <row r="167">
      <c r="A167" s="114"/>
      <c r="B167" s="117"/>
      <c r="C167" s="116"/>
      <c r="D167" s="116"/>
      <c r="E167" s="116"/>
      <c r="F167" s="116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</row>
    <row r="168">
      <c r="A168" s="114"/>
      <c r="B168" s="117"/>
      <c r="C168" s="116"/>
      <c r="D168" s="116"/>
      <c r="E168" s="116"/>
      <c r="F168" s="116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</row>
    <row r="169">
      <c r="A169" s="114"/>
      <c r="B169" s="117"/>
      <c r="C169" s="116"/>
      <c r="D169" s="116"/>
      <c r="E169" s="116"/>
      <c r="F169" s="116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</row>
    <row r="170">
      <c r="A170" s="114"/>
      <c r="B170" s="117"/>
      <c r="C170" s="116"/>
      <c r="D170" s="116"/>
      <c r="E170" s="116"/>
      <c r="F170" s="116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</row>
    <row r="171">
      <c r="A171" s="114"/>
      <c r="B171" s="117"/>
      <c r="C171" s="116"/>
      <c r="D171" s="116"/>
      <c r="E171" s="116"/>
      <c r="F171" s="116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</row>
    <row r="172">
      <c r="A172" s="114"/>
      <c r="B172" s="117"/>
      <c r="C172" s="116"/>
      <c r="D172" s="116"/>
      <c r="E172" s="116"/>
      <c r="F172" s="116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</row>
    <row r="173">
      <c r="A173" s="114"/>
      <c r="B173" s="117"/>
      <c r="C173" s="116"/>
      <c r="D173" s="116"/>
      <c r="E173" s="116"/>
      <c r="F173" s="116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</row>
    <row r="174">
      <c r="A174" s="114"/>
      <c r="B174" s="117"/>
      <c r="C174" s="116"/>
      <c r="D174" s="116"/>
      <c r="E174" s="116"/>
      <c r="F174" s="116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</row>
    <row r="175">
      <c r="A175" s="114"/>
      <c r="B175" s="117"/>
      <c r="C175" s="116"/>
      <c r="D175" s="116"/>
      <c r="E175" s="116"/>
      <c r="F175" s="116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</row>
    <row r="176">
      <c r="A176" s="114"/>
      <c r="B176" s="117"/>
      <c r="C176" s="116"/>
      <c r="D176" s="116"/>
      <c r="E176" s="116"/>
      <c r="F176" s="116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</row>
    <row r="177">
      <c r="A177" s="114"/>
      <c r="B177" s="117"/>
      <c r="C177" s="116"/>
      <c r="D177" s="116"/>
      <c r="E177" s="116"/>
      <c r="F177" s="116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</row>
    <row r="178">
      <c r="A178" s="114"/>
      <c r="B178" s="117"/>
      <c r="C178" s="116"/>
      <c r="D178" s="116"/>
      <c r="E178" s="116"/>
      <c r="F178" s="116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</row>
    <row r="179">
      <c r="A179" s="114"/>
      <c r="B179" s="117"/>
      <c r="C179" s="116"/>
      <c r="D179" s="116"/>
      <c r="E179" s="116"/>
      <c r="F179" s="116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</row>
    <row r="180">
      <c r="A180" s="114"/>
      <c r="B180" s="117"/>
      <c r="C180" s="116"/>
      <c r="D180" s="116"/>
      <c r="E180" s="116"/>
      <c r="F180" s="116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</row>
    <row r="181">
      <c r="A181" s="114"/>
      <c r="B181" s="117"/>
      <c r="C181" s="116"/>
      <c r="D181" s="116"/>
      <c r="E181" s="116"/>
      <c r="F181" s="116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</row>
    <row r="182">
      <c r="A182" s="114"/>
      <c r="B182" s="117"/>
      <c r="C182" s="116"/>
      <c r="D182" s="116"/>
      <c r="E182" s="116"/>
      <c r="F182" s="116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</row>
    <row r="183">
      <c r="A183" s="114"/>
      <c r="B183" s="117"/>
      <c r="C183" s="116"/>
      <c r="D183" s="116"/>
      <c r="E183" s="116"/>
      <c r="F183" s="116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</row>
    <row r="184">
      <c r="A184" s="114"/>
      <c r="B184" s="117"/>
      <c r="C184" s="116"/>
      <c r="D184" s="116"/>
      <c r="E184" s="116"/>
      <c r="F184" s="116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</row>
    <row r="185">
      <c r="A185" s="114"/>
      <c r="B185" s="117"/>
      <c r="C185" s="116"/>
      <c r="D185" s="116"/>
      <c r="E185" s="116"/>
      <c r="F185" s="116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</row>
    <row r="186">
      <c r="A186" s="114"/>
      <c r="B186" s="117"/>
      <c r="C186" s="116"/>
      <c r="D186" s="116"/>
      <c r="E186" s="116"/>
      <c r="F186" s="116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</row>
    <row r="187">
      <c r="A187" s="114"/>
      <c r="B187" s="117"/>
      <c r="C187" s="116"/>
      <c r="D187" s="116"/>
      <c r="E187" s="116"/>
      <c r="F187" s="116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</row>
    <row r="188">
      <c r="A188" s="114"/>
      <c r="B188" s="117"/>
      <c r="C188" s="116"/>
      <c r="D188" s="116"/>
      <c r="E188" s="116"/>
      <c r="F188" s="116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</row>
    <row r="189">
      <c r="A189" s="114"/>
      <c r="B189" s="117"/>
      <c r="C189" s="116"/>
      <c r="D189" s="116"/>
      <c r="E189" s="116"/>
      <c r="F189" s="116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</row>
    <row r="190">
      <c r="A190" s="114"/>
      <c r="B190" s="117"/>
      <c r="C190" s="116"/>
      <c r="D190" s="116"/>
      <c r="E190" s="116"/>
      <c r="F190" s="116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</row>
    <row r="191">
      <c r="A191" s="114"/>
      <c r="B191" s="117"/>
      <c r="C191" s="116"/>
      <c r="D191" s="116"/>
      <c r="E191" s="116"/>
      <c r="F191" s="116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</row>
    <row r="192">
      <c r="A192" s="114"/>
      <c r="B192" s="117"/>
      <c r="C192" s="116"/>
      <c r="D192" s="116"/>
      <c r="E192" s="116"/>
      <c r="F192" s="116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</row>
    <row r="193">
      <c r="A193" s="114"/>
      <c r="B193" s="117"/>
      <c r="C193" s="116"/>
      <c r="D193" s="116"/>
      <c r="E193" s="116"/>
      <c r="F193" s="116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</row>
    <row r="194">
      <c r="A194" s="114"/>
      <c r="B194" s="117"/>
      <c r="C194" s="116"/>
      <c r="D194" s="116"/>
      <c r="E194" s="116"/>
      <c r="F194" s="116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</row>
    <row r="195">
      <c r="A195" s="114"/>
      <c r="B195" s="117"/>
      <c r="C195" s="116"/>
      <c r="D195" s="116"/>
      <c r="E195" s="116"/>
      <c r="F195" s="116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</row>
    <row r="196">
      <c r="A196" s="114"/>
      <c r="B196" s="117"/>
      <c r="C196" s="116"/>
      <c r="D196" s="116"/>
      <c r="E196" s="116"/>
      <c r="F196" s="116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</row>
    <row r="197">
      <c r="A197" s="114"/>
      <c r="B197" s="117"/>
      <c r="C197" s="116"/>
      <c r="D197" s="116"/>
      <c r="E197" s="116"/>
      <c r="F197" s="116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</row>
    <row r="198">
      <c r="A198" s="114"/>
      <c r="B198" s="117"/>
      <c r="C198" s="116"/>
      <c r="D198" s="116"/>
      <c r="E198" s="116"/>
      <c r="F198" s="116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</row>
    <row r="199">
      <c r="A199" s="114"/>
      <c r="B199" s="117"/>
      <c r="C199" s="116"/>
      <c r="D199" s="116"/>
      <c r="E199" s="116"/>
      <c r="F199" s="116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</row>
    <row r="200">
      <c r="A200" s="114"/>
      <c r="B200" s="117"/>
      <c r="C200" s="116"/>
      <c r="D200" s="116"/>
      <c r="E200" s="116"/>
      <c r="F200" s="116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</row>
    <row r="201">
      <c r="A201" s="114"/>
      <c r="B201" s="117"/>
      <c r="C201" s="116"/>
      <c r="D201" s="116"/>
      <c r="E201" s="116"/>
      <c r="F201" s="116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</row>
    <row r="202">
      <c r="A202" s="114"/>
      <c r="B202" s="117"/>
      <c r="C202" s="116"/>
      <c r="D202" s="116"/>
      <c r="E202" s="116"/>
      <c r="F202" s="116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</row>
    <row r="203">
      <c r="A203" s="114"/>
      <c r="B203" s="117"/>
      <c r="C203" s="116"/>
      <c r="D203" s="116"/>
      <c r="E203" s="116"/>
      <c r="F203" s="116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</row>
    <row r="204">
      <c r="A204" s="114"/>
      <c r="B204" s="117"/>
      <c r="C204" s="116"/>
      <c r="D204" s="116"/>
      <c r="E204" s="116"/>
      <c r="F204" s="116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</row>
    <row r="205">
      <c r="A205" s="114"/>
      <c r="B205" s="117"/>
      <c r="C205" s="116"/>
      <c r="D205" s="116"/>
      <c r="E205" s="116"/>
      <c r="F205" s="116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</row>
    <row r="206">
      <c r="A206" s="114"/>
      <c r="B206" s="117"/>
      <c r="C206" s="116"/>
      <c r="D206" s="116"/>
      <c r="E206" s="116"/>
      <c r="F206" s="116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</row>
    <row r="207">
      <c r="A207" s="114"/>
      <c r="B207" s="117"/>
      <c r="C207" s="116"/>
      <c r="D207" s="116"/>
      <c r="E207" s="116"/>
      <c r="F207" s="116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</row>
    <row r="208">
      <c r="A208" s="114"/>
      <c r="B208" s="117"/>
      <c r="C208" s="116"/>
      <c r="D208" s="116"/>
      <c r="E208" s="116"/>
      <c r="F208" s="116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</row>
    <row r="209">
      <c r="A209" s="114"/>
      <c r="B209" s="117"/>
      <c r="C209" s="116"/>
      <c r="D209" s="116"/>
      <c r="E209" s="116"/>
      <c r="F209" s="116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</row>
    <row r="210">
      <c r="A210" s="114"/>
      <c r="B210" s="117"/>
      <c r="C210" s="116"/>
      <c r="D210" s="116"/>
      <c r="E210" s="116"/>
      <c r="F210" s="116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</row>
    <row r="211">
      <c r="A211" s="114"/>
      <c r="B211" s="117"/>
      <c r="C211" s="116"/>
      <c r="D211" s="116"/>
      <c r="E211" s="116"/>
      <c r="F211" s="116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</row>
    <row r="212">
      <c r="A212" s="114"/>
      <c r="B212" s="117"/>
      <c r="C212" s="116"/>
      <c r="D212" s="116"/>
      <c r="E212" s="116"/>
      <c r="F212" s="116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</row>
    <row r="213">
      <c r="A213" s="114"/>
      <c r="B213" s="117"/>
      <c r="C213" s="116"/>
      <c r="D213" s="116"/>
      <c r="E213" s="116"/>
      <c r="F213" s="116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</row>
    <row r="214">
      <c r="A214" s="114"/>
      <c r="B214" s="117"/>
      <c r="C214" s="116"/>
      <c r="D214" s="116"/>
      <c r="E214" s="116"/>
      <c r="F214" s="116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</row>
    <row r="215">
      <c r="A215" s="114"/>
      <c r="B215" s="117"/>
      <c r="C215" s="116"/>
      <c r="D215" s="116"/>
      <c r="E215" s="116"/>
      <c r="F215" s="116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</row>
    <row r="216">
      <c r="A216" s="114"/>
      <c r="B216" s="117"/>
      <c r="C216" s="116"/>
      <c r="D216" s="116"/>
      <c r="E216" s="116"/>
      <c r="F216" s="116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</row>
    <row r="217">
      <c r="A217" s="114"/>
      <c r="B217" s="117"/>
      <c r="C217" s="116"/>
      <c r="D217" s="116"/>
      <c r="E217" s="116"/>
      <c r="F217" s="116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</row>
    <row r="218">
      <c r="A218" s="114"/>
      <c r="B218" s="117"/>
      <c r="C218" s="116"/>
      <c r="D218" s="116"/>
      <c r="E218" s="116"/>
      <c r="F218" s="116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</row>
    <row r="219">
      <c r="A219" s="114"/>
      <c r="B219" s="117"/>
      <c r="C219" s="116"/>
      <c r="D219" s="116"/>
      <c r="E219" s="116"/>
      <c r="F219" s="116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</row>
    <row r="220">
      <c r="A220" s="114"/>
      <c r="B220" s="117"/>
      <c r="C220" s="116"/>
      <c r="D220" s="116"/>
      <c r="E220" s="116"/>
      <c r="F220" s="116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</row>
    <row r="221">
      <c r="A221" s="114"/>
      <c r="B221" s="117"/>
      <c r="C221" s="116"/>
      <c r="D221" s="116"/>
      <c r="E221" s="116"/>
      <c r="F221" s="116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</row>
    <row r="222">
      <c r="A222" s="114"/>
      <c r="B222" s="117"/>
      <c r="C222" s="116"/>
      <c r="D222" s="116"/>
      <c r="E222" s="116"/>
      <c r="F222" s="116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</row>
    <row r="223">
      <c r="A223" s="114"/>
      <c r="B223" s="117"/>
      <c r="C223" s="116"/>
      <c r="D223" s="116"/>
      <c r="E223" s="116"/>
      <c r="F223" s="116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</row>
    <row r="224">
      <c r="A224" s="114"/>
      <c r="B224" s="117"/>
      <c r="C224" s="116"/>
      <c r="D224" s="116"/>
      <c r="E224" s="116"/>
      <c r="F224" s="116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</row>
    <row r="225">
      <c r="A225" s="114"/>
      <c r="B225" s="117"/>
      <c r="C225" s="116"/>
      <c r="D225" s="116"/>
      <c r="E225" s="116"/>
      <c r="F225" s="116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</row>
    <row r="226">
      <c r="A226" s="114"/>
      <c r="B226" s="117"/>
      <c r="C226" s="116"/>
      <c r="D226" s="116"/>
      <c r="E226" s="116"/>
      <c r="F226" s="116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</row>
    <row r="227">
      <c r="A227" s="114"/>
      <c r="B227" s="117"/>
      <c r="C227" s="116"/>
      <c r="D227" s="116"/>
      <c r="E227" s="116"/>
      <c r="F227" s="116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  <c r="AA227" s="117"/>
      <c r="AB227" s="117"/>
    </row>
    <row r="228">
      <c r="A228" s="114"/>
      <c r="B228" s="117"/>
      <c r="C228" s="116"/>
      <c r="D228" s="116"/>
      <c r="E228" s="116"/>
      <c r="F228" s="116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  <c r="AA228" s="117"/>
      <c r="AB228" s="117"/>
    </row>
    <row r="229">
      <c r="A229" s="114"/>
      <c r="B229" s="117"/>
      <c r="C229" s="116"/>
      <c r="D229" s="116"/>
      <c r="E229" s="116"/>
      <c r="F229" s="116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  <c r="AA229" s="117"/>
      <c r="AB229" s="117"/>
    </row>
    <row r="230">
      <c r="A230" s="114"/>
      <c r="B230" s="117"/>
      <c r="C230" s="116"/>
      <c r="D230" s="116"/>
      <c r="E230" s="116"/>
      <c r="F230" s="116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  <c r="AA230" s="117"/>
      <c r="AB230" s="117"/>
    </row>
    <row r="231">
      <c r="A231" s="114"/>
      <c r="B231" s="117"/>
      <c r="C231" s="116"/>
      <c r="D231" s="116"/>
      <c r="E231" s="116"/>
      <c r="F231" s="116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  <c r="AA231" s="117"/>
      <c r="AB231" s="117"/>
    </row>
    <row r="232">
      <c r="A232" s="114"/>
      <c r="B232" s="117"/>
      <c r="C232" s="116"/>
      <c r="D232" s="116"/>
      <c r="E232" s="116"/>
      <c r="F232" s="116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  <c r="AA232" s="117"/>
      <c r="AB232" s="117"/>
    </row>
    <row r="233">
      <c r="A233" s="114"/>
      <c r="B233" s="117"/>
      <c r="C233" s="116"/>
      <c r="D233" s="116"/>
      <c r="E233" s="116"/>
      <c r="F233" s="116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  <c r="AA233" s="117"/>
      <c r="AB233" s="117"/>
    </row>
    <row r="234">
      <c r="A234" s="114"/>
      <c r="B234" s="117"/>
      <c r="C234" s="116"/>
      <c r="D234" s="116"/>
      <c r="E234" s="116"/>
      <c r="F234" s="116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  <c r="AA234" s="117"/>
      <c r="AB234" s="117"/>
    </row>
    <row r="235">
      <c r="A235" s="114"/>
      <c r="B235" s="117"/>
      <c r="C235" s="116"/>
      <c r="D235" s="116"/>
      <c r="E235" s="116"/>
      <c r="F235" s="116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  <c r="AA235" s="117"/>
      <c r="AB235" s="117"/>
    </row>
    <row r="236">
      <c r="A236" s="114"/>
      <c r="B236" s="117"/>
      <c r="C236" s="116"/>
      <c r="D236" s="116"/>
      <c r="E236" s="116"/>
      <c r="F236" s="116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  <c r="AA236" s="117"/>
      <c r="AB236" s="117"/>
    </row>
    <row r="237">
      <c r="A237" s="114"/>
      <c r="B237" s="117"/>
      <c r="C237" s="116"/>
      <c r="D237" s="116"/>
      <c r="E237" s="116"/>
      <c r="F237" s="116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  <c r="AA237" s="117"/>
      <c r="AB237" s="117"/>
    </row>
    <row r="238">
      <c r="A238" s="114"/>
      <c r="B238" s="117"/>
      <c r="C238" s="116"/>
      <c r="D238" s="116"/>
      <c r="E238" s="116"/>
      <c r="F238" s="116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  <c r="AA238" s="117"/>
      <c r="AB238" s="117"/>
    </row>
    <row r="239">
      <c r="A239" s="114"/>
      <c r="B239" s="117"/>
      <c r="C239" s="116"/>
      <c r="D239" s="116"/>
      <c r="E239" s="116"/>
      <c r="F239" s="116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  <c r="AA239" s="117"/>
      <c r="AB239" s="117"/>
    </row>
    <row r="240">
      <c r="A240" s="114"/>
      <c r="B240" s="117"/>
      <c r="C240" s="116"/>
      <c r="D240" s="116"/>
      <c r="E240" s="116"/>
      <c r="F240" s="116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  <c r="AA240" s="117"/>
      <c r="AB240" s="117"/>
    </row>
    <row r="241">
      <c r="A241" s="114"/>
      <c r="B241" s="117"/>
      <c r="C241" s="116"/>
      <c r="D241" s="116"/>
      <c r="E241" s="116"/>
      <c r="F241" s="116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  <c r="AA241" s="117"/>
      <c r="AB241" s="117"/>
    </row>
    <row r="242">
      <c r="A242" s="114"/>
      <c r="B242" s="117"/>
      <c r="C242" s="116"/>
      <c r="D242" s="116"/>
      <c r="E242" s="116"/>
      <c r="F242" s="116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  <c r="AA242" s="117"/>
      <c r="AB242" s="117"/>
    </row>
    <row r="243">
      <c r="A243" s="114"/>
      <c r="B243" s="117"/>
      <c r="C243" s="116"/>
      <c r="D243" s="116"/>
      <c r="E243" s="116"/>
      <c r="F243" s="116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  <c r="AA243" s="117"/>
      <c r="AB243" s="117"/>
    </row>
    <row r="244">
      <c r="A244" s="114"/>
      <c r="B244" s="117"/>
      <c r="C244" s="116"/>
      <c r="D244" s="116"/>
      <c r="E244" s="116"/>
      <c r="F244" s="116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  <c r="AA244" s="117"/>
      <c r="AB244" s="117"/>
    </row>
    <row r="245">
      <c r="A245" s="114"/>
      <c r="B245" s="117"/>
      <c r="C245" s="116"/>
      <c r="D245" s="116"/>
      <c r="E245" s="116"/>
      <c r="F245" s="116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  <c r="AA245" s="117"/>
      <c r="AB245" s="117"/>
    </row>
    <row r="246">
      <c r="A246" s="114"/>
      <c r="B246" s="117"/>
      <c r="C246" s="116"/>
      <c r="D246" s="116"/>
      <c r="E246" s="116"/>
      <c r="F246" s="116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  <c r="AA246" s="117"/>
      <c r="AB246" s="117"/>
    </row>
    <row r="247">
      <c r="A247" s="114"/>
      <c r="B247" s="117"/>
      <c r="C247" s="116"/>
      <c r="D247" s="116"/>
      <c r="E247" s="116"/>
      <c r="F247" s="116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  <c r="AA247" s="117"/>
      <c r="AB247" s="117"/>
    </row>
    <row r="248">
      <c r="A248" s="114"/>
      <c r="B248" s="117"/>
      <c r="C248" s="116"/>
      <c r="D248" s="116"/>
      <c r="E248" s="116"/>
      <c r="F248" s="116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  <c r="AA248" s="117"/>
      <c r="AB248" s="117"/>
    </row>
    <row r="249">
      <c r="A249" s="114"/>
      <c r="B249" s="117"/>
      <c r="C249" s="116"/>
      <c r="D249" s="116"/>
      <c r="E249" s="116"/>
      <c r="F249" s="116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  <c r="AA249" s="117"/>
      <c r="AB249" s="117"/>
    </row>
    <row r="250">
      <c r="A250" s="114"/>
      <c r="B250" s="117"/>
      <c r="C250" s="116"/>
      <c r="D250" s="116"/>
      <c r="E250" s="116"/>
      <c r="F250" s="116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117"/>
      <c r="AB250" s="117"/>
    </row>
    <row r="251">
      <c r="A251" s="114"/>
      <c r="B251" s="117"/>
      <c r="C251" s="116"/>
      <c r="D251" s="116"/>
      <c r="E251" s="116"/>
      <c r="F251" s="116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  <c r="AA251" s="117"/>
      <c r="AB251" s="117"/>
    </row>
    <row r="252">
      <c r="A252" s="114"/>
      <c r="B252" s="117"/>
      <c r="C252" s="116"/>
      <c r="D252" s="116"/>
      <c r="E252" s="116"/>
      <c r="F252" s="116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  <c r="AA252" s="117"/>
      <c r="AB252" s="117"/>
    </row>
    <row r="253">
      <c r="A253" s="114"/>
      <c r="B253" s="117"/>
      <c r="C253" s="116"/>
      <c r="D253" s="116"/>
      <c r="E253" s="116"/>
      <c r="F253" s="116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  <c r="AA253" s="117"/>
      <c r="AB253" s="117"/>
    </row>
    <row r="254">
      <c r="A254" s="114"/>
      <c r="B254" s="117"/>
      <c r="C254" s="116"/>
      <c r="D254" s="116"/>
      <c r="E254" s="116"/>
      <c r="F254" s="116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  <c r="AA254" s="117"/>
      <c r="AB254" s="117"/>
    </row>
    <row r="255">
      <c r="A255" s="114"/>
      <c r="B255" s="117"/>
      <c r="C255" s="116"/>
      <c r="D255" s="116"/>
      <c r="E255" s="116"/>
      <c r="F255" s="116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  <c r="AA255" s="117"/>
      <c r="AB255" s="117"/>
    </row>
    <row r="256">
      <c r="A256" s="114"/>
      <c r="B256" s="117"/>
      <c r="C256" s="116"/>
      <c r="D256" s="116"/>
      <c r="E256" s="116"/>
      <c r="F256" s="116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  <c r="AA256" s="117"/>
      <c r="AB256" s="117"/>
    </row>
    <row r="257">
      <c r="A257" s="114"/>
      <c r="B257" s="117"/>
      <c r="C257" s="116"/>
      <c r="D257" s="116"/>
      <c r="E257" s="116"/>
      <c r="F257" s="116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  <c r="AA257" s="117"/>
      <c r="AB257" s="117"/>
    </row>
    <row r="258">
      <c r="A258" s="114"/>
      <c r="B258" s="117"/>
      <c r="C258" s="116"/>
      <c r="D258" s="116"/>
      <c r="E258" s="116"/>
      <c r="F258" s="116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  <c r="AA258" s="117"/>
      <c r="AB258" s="117"/>
    </row>
    <row r="259">
      <c r="A259" s="114"/>
      <c r="B259" s="117"/>
      <c r="C259" s="116"/>
      <c r="D259" s="116"/>
      <c r="E259" s="116"/>
      <c r="F259" s="116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  <c r="AA259" s="117"/>
      <c r="AB259" s="117"/>
    </row>
    <row r="260">
      <c r="A260" s="114"/>
      <c r="B260" s="117"/>
      <c r="C260" s="116"/>
      <c r="D260" s="116"/>
      <c r="E260" s="116"/>
      <c r="F260" s="116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  <c r="AA260" s="117"/>
      <c r="AB260" s="117"/>
    </row>
    <row r="261">
      <c r="A261" s="114"/>
      <c r="B261" s="117"/>
      <c r="C261" s="116"/>
      <c r="D261" s="116"/>
      <c r="E261" s="116"/>
      <c r="F261" s="116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  <c r="AA261" s="117"/>
      <c r="AB261" s="117"/>
    </row>
    <row r="262">
      <c r="A262" s="114"/>
      <c r="B262" s="117"/>
      <c r="C262" s="116"/>
      <c r="D262" s="116"/>
      <c r="E262" s="116"/>
      <c r="F262" s="116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  <c r="AA262" s="117"/>
      <c r="AB262" s="117"/>
    </row>
    <row r="263">
      <c r="A263" s="114"/>
      <c r="B263" s="117"/>
      <c r="C263" s="116"/>
      <c r="D263" s="116"/>
      <c r="E263" s="116"/>
      <c r="F263" s="116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  <c r="AA263" s="117"/>
      <c r="AB263" s="117"/>
    </row>
    <row r="264">
      <c r="A264" s="114"/>
      <c r="B264" s="117"/>
      <c r="C264" s="116"/>
      <c r="D264" s="116"/>
      <c r="E264" s="116"/>
      <c r="F264" s="116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  <c r="AA264" s="117"/>
      <c r="AB264" s="117"/>
    </row>
    <row r="265">
      <c r="A265" s="114"/>
      <c r="B265" s="117"/>
      <c r="C265" s="116"/>
      <c r="D265" s="116"/>
      <c r="E265" s="116"/>
      <c r="F265" s="116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  <c r="AA265" s="117"/>
      <c r="AB265" s="117"/>
    </row>
    <row r="266">
      <c r="A266" s="114"/>
      <c r="B266" s="117"/>
      <c r="C266" s="116"/>
      <c r="D266" s="116"/>
      <c r="E266" s="116"/>
      <c r="F266" s="116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  <c r="AA266" s="117"/>
      <c r="AB266" s="117"/>
    </row>
    <row r="267">
      <c r="A267" s="114"/>
      <c r="B267" s="117"/>
      <c r="C267" s="116"/>
      <c r="D267" s="116"/>
      <c r="E267" s="116"/>
      <c r="F267" s="116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  <c r="AA267" s="117"/>
      <c r="AB267" s="117"/>
    </row>
    <row r="268">
      <c r="A268" s="114"/>
      <c r="B268" s="117"/>
      <c r="C268" s="116"/>
      <c r="D268" s="116"/>
      <c r="E268" s="116"/>
      <c r="F268" s="116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  <c r="AA268" s="117"/>
      <c r="AB268" s="117"/>
    </row>
    <row r="269">
      <c r="A269" s="114"/>
      <c r="B269" s="117"/>
      <c r="C269" s="116"/>
      <c r="D269" s="116"/>
      <c r="E269" s="116"/>
      <c r="F269" s="116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  <c r="AA269" s="117"/>
      <c r="AB269" s="117"/>
    </row>
    <row r="270">
      <c r="A270" s="114"/>
      <c r="B270" s="117"/>
      <c r="C270" s="116"/>
      <c r="D270" s="116"/>
      <c r="E270" s="116"/>
      <c r="F270" s="116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  <c r="AA270" s="117"/>
      <c r="AB270" s="117"/>
    </row>
    <row r="271">
      <c r="A271" s="114"/>
      <c r="B271" s="117"/>
      <c r="C271" s="116"/>
      <c r="D271" s="116"/>
      <c r="E271" s="116"/>
      <c r="F271" s="116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  <c r="AA271" s="117"/>
      <c r="AB271" s="117"/>
    </row>
    <row r="272">
      <c r="A272" s="114"/>
      <c r="B272" s="117"/>
      <c r="C272" s="116"/>
      <c r="D272" s="116"/>
      <c r="E272" s="116"/>
      <c r="F272" s="116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  <c r="AA272" s="117"/>
      <c r="AB272" s="117"/>
    </row>
    <row r="273">
      <c r="A273" s="114"/>
      <c r="B273" s="117"/>
      <c r="C273" s="116"/>
      <c r="D273" s="116"/>
      <c r="E273" s="116"/>
      <c r="F273" s="116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  <c r="AA273" s="117"/>
      <c r="AB273" s="117"/>
    </row>
    <row r="274">
      <c r="A274" s="114"/>
      <c r="B274" s="117"/>
      <c r="C274" s="116"/>
      <c r="D274" s="116"/>
      <c r="E274" s="116"/>
      <c r="F274" s="116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  <c r="AA274" s="117"/>
      <c r="AB274" s="117"/>
    </row>
    <row r="275">
      <c r="A275" s="114"/>
      <c r="B275" s="117"/>
      <c r="C275" s="116"/>
      <c r="D275" s="116"/>
      <c r="E275" s="116"/>
      <c r="F275" s="116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  <c r="AA275" s="117"/>
      <c r="AB275" s="117"/>
    </row>
    <row r="276">
      <c r="A276" s="114"/>
      <c r="B276" s="117"/>
      <c r="C276" s="116"/>
      <c r="D276" s="116"/>
      <c r="E276" s="116"/>
      <c r="F276" s="116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  <c r="AA276" s="117"/>
      <c r="AB276" s="117"/>
    </row>
    <row r="277">
      <c r="A277" s="114"/>
      <c r="B277" s="117"/>
      <c r="C277" s="116"/>
      <c r="D277" s="116"/>
      <c r="E277" s="116"/>
      <c r="F277" s="116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  <c r="AA277" s="117"/>
      <c r="AB277" s="117"/>
    </row>
    <row r="278">
      <c r="A278" s="114"/>
      <c r="B278" s="117"/>
      <c r="C278" s="116"/>
      <c r="D278" s="116"/>
      <c r="E278" s="116"/>
      <c r="F278" s="116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  <c r="AA278" s="117"/>
      <c r="AB278" s="117"/>
    </row>
    <row r="279">
      <c r="A279" s="114"/>
      <c r="B279" s="117"/>
      <c r="C279" s="116"/>
      <c r="D279" s="116"/>
      <c r="E279" s="116"/>
      <c r="F279" s="116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  <c r="AA279" s="117"/>
      <c r="AB279" s="117"/>
    </row>
    <row r="280">
      <c r="A280" s="114"/>
      <c r="B280" s="117"/>
      <c r="C280" s="116"/>
      <c r="D280" s="116"/>
      <c r="E280" s="116"/>
      <c r="F280" s="116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  <c r="AA280" s="117"/>
      <c r="AB280" s="117"/>
    </row>
    <row r="281">
      <c r="A281" s="114"/>
      <c r="B281" s="117"/>
      <c r="C281" s="116"/>
      <c r="D281" s="116"/>
      <c r="E281" s="116"/>
      <c r="F281" s="116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  <c r="AA281" s="117"/>
      <c r="AB281" s="117"/>
    </row>
    <row r="282">
      <c r="A282" s="114"/>
      <c r="B282" s="117"/>
      <c r="C282" s="116"/>
      <c r="D282" s="116"/>
      <c r="E282" s="116"/>
      <c r="F282" s="116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  <c r="AA282" s="117"/>
      <c r="AB282" s="117"/>
    </row>
    <row r="283">
      <c r="A283" s="114"/>
      <c r="B283" s="117"/>
      <c r="C283" s="116"/>
      <c r="D283" s="116"/>
      <c r="E283" s="116"/>
      <c r="F283" s="116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  <c r="AA283" s="117"/>
      <c r="AB283" s="117"/>
    </row>
    <row r="284">
      <c r="A284" s="114"/>
      <c r="B284" s="117"/>
      <c r="C284" s="116"/>
      <c r="D284" s="116"/>
      <c r="E284" s="116"/>
      <c r="F284" s="116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  <c r="AA284" s="117"/>
      <c r="AB284" s="117"/>
    </row>
    <row r="285">
      <c r="A285" s="114"/>
      <c r="B285" s="117"/>
      <c r="C285" s="116"/>
      <c r="D285" s="116"/>
      <c r="E285" s="116"/>
      <c r="F285" s="116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  <c r="AA285" s="117"/>
      <c r="AB285" s="117"/>
    </row>
    <row r="286">
      <c r="A286" s="114"/>
      <c r="B286" s="117"/>
      <c r="C286" s="116"/>
      <c r="D286" s="116"/>
      <c r="E286" s="116"/>
      <c r="F286" s="116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  <c r="AA286" s="117"/>
      <c r="AB286" s="117"/>
    </row>
    <row r="287">
      <c r="A287" s="114"/>
      <c r="B287" s="117"/>
      <c r="C287" s="116"/>
      <c r="D287" s="116"/>
      <c r="E287" s="116"/>
      <c r="F287" s="116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  <c r="AA287" s="117"/>
      <c r="AB287" s="117"/>
    </row>
    <row r="288">
      <c r="A288" s="114"/>
      <c r="B288" s="117"/>
      <c r="C288" s="116"/>
      <c r="D288" s="116"/>
      <c r="E288" s="116"/>
      <c r="F288" s="116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117"/>
      <c r="AB288" s="117"/>
    </row>
    <row r="289">
      <c r="A289" s="114"/>
      <c r="B289" s="117"/>
      <c r="C289" s="116"/>
      <c r="D289" s="116"/>
      <c r="E289" s="116"/>
      <c r="F289" s="116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  <c r="AA289" s="117"/>
      <c r="AB289" s="117"/>
    </row>
    <row r="290">
      <c r="A290" s="114"/>
      <c r="B290" s="117"/>
      <c r="C290" s="116"/>
      <c r="D290" s="116"/>
      <c r="E290" s="116"/>
      <c r="F290" s="116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  <c r="AA290" s="117"/>
      <c r="AB290" s="117"/>
    </row>
    <row r="291">
      <c r="A291" s="114"/>
      <c r="B291" s="117"/>
      <c r="C291" s="116"/>
      <c r="D291" s="116"/>
      <c r="E291" s="116"/>
      <c r="F291" s="116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  <c r="AA291" s="117"/>
      <c r="AB291" s="117"/>
    </row>
    <row r="292">
      <c r="A292" s="114"/>
      <c r="B292" s="117"/>
      <c r="C292" s="116"/>
      <c r="D292" s="116"/>
      <c r="E292" s="116"/>
      <c r="F292" s="116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  <c r="AA292" s="117"/>
      <c r="AB292" s="117"/>
    </row>
    <row r="293">
      <c r="A293" s="114"/>
      <c r="B293" s="117"/>
      <c r="C293" s="116"/>
      <c r="D293" s="116"/>
      <c r="E293" s="116"/>
      <c r="F293" s="116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  <c r="AA293" s="117"/>
      <c r="AB293" s="117"/>
    </row>
    <row r="294">
      <c r="A294" s="114"/>
      <c r="B294" s="117"/>
      <c r="C294" s="116"/>
      <c r="D294" s="116"/>
      <c r="E294" s="116"/>
      <c r="F294" s="116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  <c r="AA294" s="117"/>
      <c r="AB294" s="117"/>
    </row>
    <row r="295">
      <c r="A295" s="114"/>
      <c r="B295" s="117"/>
      <c r="C295" s="116"/>
      <c r="D295" s="116"/>
      <c r="E295" s="116"/>
      <c r="F295" s="116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  <c r="AA295" s="117"/>
      <c r="AB295" s="117"/>
    </row>
    <row r="296">
      <c r="A296" s="114"/>
      <c r="B296" s="117"/>
      <c r="C296" s="116"/>
      <c r="D296" s="116"/>
      <c r="E296" s="116"/>
      <c r="F296" s="116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  <c r="AA296" s="117"/>
      <c r="AB296" s="117"/>
    </row>
    <row r="297">
      <c r="A297" s="114"/>
      <c r="B297" s="117"/>
      <c r="C297" s="116"/>
      <c r="D297" s="116"/>
      <c r="E297" s="116"/>
      <c r="F297" s="116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  <c r="AA297" s="117"/>
      <c r="AB297" s="117"/>
    </row>
    <row r="298">
      <c r="A298" s="114"/>
      <c r="B298" s="117"/>
      <c r="C298" s="116"/>
      <c r="D298" s="116"/>
      <c r="E298" s="116"/>
      <c r="F298" s="116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  <c r="AA298" s="117"/>
      <c r="AB298" s="117"/>
    </row>
    <row r="299">
      <c r="A299" s="114"/>
      <c r="B299" s="117"/>
      <c r="C299" s="116"/>
      <c r="D299" s="116"/>
      <c r="E299" s="116"/>
      <c r="F299" s="116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  <c r="AA299" s="117"/>
      <c r="AB299" s="117"/>
    </row>
    <row r="300">
      <c r="A300" s="114"/>
      <c r="B300" s="117"/>
      <c r="C300" s="116"/>
      <c r="D300" s="116"/>
      <c r="E300" s="116"/>
      <c r="F300" s="116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  <c r="AA300" s="117"/>
      <c r="AB300" s="117"/>
    </row>
    <row r="301">
      <c r="A301" s="114"/>
      <c r="B301" s="117"/>
      <c r="C301" s="116"/>
      <c r="D301" s="116"/>
      <c r="E301" s="116"/>
      <c r="F301" s="116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  <c r="AA301" s="117"/>
      <c r="AB301" s="117"/>
    </row>
    <row r="302">
      <c r="A302" s="114"/>
      <c r="B302" s="117"/>
      <c r="C302" s="116"/>
      <c r="D302" s="116"/>
      <c r="E302" s="116"/>
      <c r="F302" s="116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  <c r="AA302" s="117"/>
      <c r="AB302" s="117"/>
    </row>
    <row r="303">
      <c r="A303" s="114"/>
      <c r="B303" s="117"/>
      <c r="C303" s="116"/>
      <c r="D303" s="116"/>
      <c r="E303" s="116"/>
      <c r="F303" s="116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  <c r="AA303" s="117"/>
      <c r="AB303" s="117"/>
    </row>
    <row r="304">
      <c r="A304" s="114"/>
      <c r="B304" s="117"/>
      <c r="C304" s="116"/>
      <c r="D304" s="116"/>
      <c r="E304" s="116"/>
      <c r="F304" s="116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  <c r="AA304" s="117"/>
      <c r="AB304" s="117"/>
    </row>
    <row r="305">
      <c r="A305" s="114"/>
      <c r="B305" s="117"/>
      <c r="C305" s="116"/>
      <c r="D305" s="116"/>
      <c r="E305" s="116"/>
      <c r="F305" s="116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  <c r="AA305" s="117"/>
      <c r="AB305" s="117"/>
    </row>
    <row r="306">
      <c r="A306" s="114"/>
      <c r="B306" s="117"/>
      <c r="C306" s="116"/>
      <c r="D306" s="116"/>
      <c r="E306" s="116"/>
      <c r="F306" s="116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  <c r="AA306" s="117"/>
      <c r="AB306" s="117"/>
    </row>
    <row r="307">
      <c r="A307" s="114"/>
      <c r="B307" s="117"/>
      <c r="C307" s="116"/>
      <c r="D307" s="116"/>
      <c r="E307" s="116"/>
      <c r="F307" s="116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  <c r="AA307" s="117"/>
      <c r="AB307" s="117"/>
    </row>
    <row r="308">
      <c r="A308" s="114"/>
      <c r="B308" s="117"/>
      <c r="C308" s="116"/>
      <c r="D308" s="116"/>
      <c r="E308" s="116"/>
      <c r="F308" s="116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  <c r="AA308" s="117"/>
      <c r="AB308" s="117"/>
    </row>
    <row r="309">
      <c r="A309" s="114"/>
      <c r="B309" s="117"/>
      <c r="C309" s="116"/>
      <c r="D309" s="116"/>
      <c r="E309" s="116"/>
      <c r="F309" s="116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  <c r="AA309" s="117"/>
      <c r="AB309" s="117"/>
    </row>
    <row r="310">
      <c r="A310" s="114"/>
      <c r="B310" s="117"/>
      <c r="C310" s="116"/>
      <c r="D310" s="116"/>
      <c r="E310" s="116"/>
      <c r="F310" s="116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  <c r="AA310" s="117"/>
      <c r="AB310" s="117"/>
    </row>
    <row r="311">
      <c r="A311" s="114"/>
      <c r="B311" s="117"/>
      <c r="C311" s="116"/>
      <c r="D311" s="116"/>
      <c r="E311" s="116"/>
      <c r="F311" s="116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  <c r="AA311" s="117"/>
      <c r="AB311" s="117"/>
    </row>
    <row r="312">
      <c r="A312" s="114"/>
      <c r="B312" s="117"/>
      <c r="C312" s="116"/>
      <c r="D312" s="116"/>
      <c r="E312" s="116"/>
      <c r="F312" s="116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  <c r="AA312" s="117"/>
      <c r="AB312" s="117"/>
    </row>
    <row r="313">
      <c r="A313" s="114"/>
      <c r="B313" s="117"/>
      <c r="C313" s="116"/>
      <c r="D313" s="116"/>
      <c r="E313" s="116"/>
      <c r="F313" s="116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  <c r="AA313" s="117"/>
      <c r="AB313" s="117"/>
    </row>
    <row r="314">
      <c r="A314" s="114"/>
      <c r="B314" s="117"/>
      <c r="C314" s="116"/>
      <c r="D314" s="116"/>
      <c r="E314" s="116"/>
      <c r="F314" s="116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  <c r="AA314" s="117"/>
      <c r="AB314" s="117"/>
    </row>
    <row r="315">
      <c r="A315" s="114"/>
      <c r="B315" s="117"/>
      <c r="C315" s="116"/>
      <c r="D315" s="116"/>
      <c r="E315" s="116"/>
      <c r="F315" s="116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  <c r="AA315" s="117"/>
      <c r="AB315" s="117"/>
    </row>
    <row r="316">
      <c r="A316" s="114"/>
      <c r="B316" s="117"/>
      <c r="C316" s="116"/>
      <c r="D316" s="116"/>
      <c r="E316" s="116"/>
      <c r="F316" s="116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  <c r="AA316" s="117"/>
      <c r="AB316" s="117"/>
    </row>
    <row r="317">
      <c r="A317" s="114"/>
      <c r="B317" s="117"/>
      <c r="C317" s="116"/>
      <c r="D317" s="116"/>
      <c r="E317" s="116"/>
      <c r="F317" s="116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  <c r="AA317" s="117"/>
      <c r="AB317" s="117"/>
    </row>
    <row r="318">
      <c r="A318" s="114"/>
      <c r="B318" s="117"/>
      <c r="C318" s="116"/>
      <c r="D318" s="116"/>
      <c r="E318" s="116"/>
      <c r="F318" s="116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  <c r="AA318" s="117"/>
      <c r="AB318" s="117"/>
    </row>
    <row r="319">
      <c r="A319" s="114"/>
      <c r="B319" s="117"/>
      <c r="C319" s="116"/>
      <c r="D319" s="116"/>
      <c r="E319" s="116"/>
      <c r="F319" s="116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  <c r="AA319" s="117"/>
      <c r="AB319" s="117"/>
    </row>
    <row r="320">
      <c r="A320" s="114"/>
      <c r="B320" s="117"/>
      <c r="C320" s="116"/>
      <c r="D320" s="116"/>
      <c r="E320" s="116"/>
      <c r="F320" s="116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  <c r="AA320" s="117"/>
      <c r="AB320" s="117"/>
    </row>
    <row r="321">
      <c r="A321" s="114"/>
      <c r="B321" s="117"/>
      <c r="C321" s="116"/>
      <c r="D321" s="116"/>
      <c r="E321" s="116"/>
      <c r="F321" s="116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  <c r="AA321" s="117"/>
      <c r="AB321" s="117"/>
    </row>
    <row r="322">
      <c r="A322" s="114"/>
      <c r="B322" s="117"/>
      <c r="C322" s="116"/>
      <c r="D322" s="116"/>
      <c r="E322" s="116"/>
      <c r="F322" s="116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  <c r="AA322" s="117"/>
      <c r="AB322" s="117"/>
    </row>
    <row r="323">
      <c r="A323" s="114"/>
      <c r="B323" s="117"/>
      <c r="C323" s="116"/>
      <c r="D323" s="116"/>
      <c r="E323" s="116"/>
      <c r="F323" s="116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  <c r="AA323" s="117"/>
      <c r="AB323" s="117"/>
    </row>
    <row r="324">
      <c r="A324" s="114"/>
      <c r="B324" s="117"/>
      <c r="C324" s="116"/>
      <c r="D324" s="116"/>
      <c r="E324" s="116"/>
      <c r="F324" s="116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  <c r="AA324" s="117"/>
      <c r="AB324" s="117"/>
    </row>
    <row r="325">
      <c r="A325" s="114"/>
      <c r="B325" s="117"/>
      <c r="C325" s="116"/>
      <c r="D325" s="116"/>
      <c r="E325" s="116"/>
      <c r="F325" s="116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  <c r="AA325" s="117"/>
      <c r="AB325" s="117"/>
    </row>
    <row r="326">
      <c r="A326" s="114"/>
      <c r="B326" s="117"/>
      <c r="C326" s="116"/>
      <c r="D326" s="116"/>
      <c r="E326" s="116"/>
      <c r="F326" s="116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117"/>
      <c r="AB326" s="117"/>
    </row>
    <row r="327">
      <c r="A327" s="114"/>
      <c r="B327" s="117"/>
      <c r="C327" s="116"/>
      <c r="D327" s="116"/>
      <c r="E327" s="116"/>
      <c r="F327" s="116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  <c r="AA327" s="117"/>
      <c r="AB327" s="117"/>
    </row>
    <row r="328">
      <c r="A328" s="114"/>
      <c r="B328" s="117"/>
      <c r="C328" s="116"/>
      <c r="D328" s="116"/>
      <c r="E328" s="116"/>
      <c r="F328" s="116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  <c r="AA328" s="117"/>
      <c r="AB328" s="117"/>
    </row>
    <row r="329">
      <c r="A329" s="114"/>
      <c r="B329" s="117"/>
      <c r="C329" s="116"/>
      <c r="D329" s="116"/>
      <c r="E329" s="116"/>
      <c r="F329" s="116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  <c r="AA329" s="117"/>
      <c r="AB329" s="117"/>
    </row>
    <row r="330">
      <c r="A330" s="114"/>
      <c r="B330" s="117"/>
      <c r="C330" s="116"/>
      <c r="D330" s="116"/>
      <c r="E330" s="116"/>
      <c r="F330" s="116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  <c r="AA330" s="117"/>
      <c r="AB330" s="117"/>
    </row>
    <row r="331">
      <c r="A331" s="114"/>
      <c r="B331" s="117"/>
      <c r="C331" s="116"/>
      <c r="D331" s="116"/>
      <c r="E331" s="116"/>
      <c r="F331" s="116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  <c r="AA331" s="117"/>
      <c r="AB331" s="117"/>
    </row>
    <row r="332">
      <c r="A332" s="114"/>
      <c r="B332" s="117"/>
      <c r="C332" s="116"/>
      <c r="D332" s="116"/>
      <c r="E332" s="116"/>
      <c r="F332" s="116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  <c r="AA332" s="117"/>
      <c r="AB332" s="117"/>
    </row>
    <row r="333">
      <c r="A333" s="114"/>
      <c r="B333" s="117"/>
      <c r="C333" s="116"/>
      <c r="D333" s="116"/>
      <c r="E333" s="116"/>
      <c r="F333" s="116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  <c r="AA333" s="117"/>
      <c r="AB333" s="117"/>
    </row>
    <row r="334">
      <c r="A334" s="114"/>
      <c r="B334" s="117"/>
      <c r="C334" s="116"/>
      <c r="D334" s="116"/>
      <c r="E334" s="116"/>
      <c r="F334" s="116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  <c r="AA334" s="117"/>
      <c r="AB334" s="117"/>
    </row>
    <row r="335">
      <c r="A335" s="114"/>
      <c r="B335" s="117"/>
      <c r="C335" s="116"/>
      <c r="D335" s="116"/>
      <c r="E335" s="116"/>
      <c r="F335" s="116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  <c r="AA335" s="117"/>
      <c r="AB335" s="117"/>
    </row>
    <row r="336">
      <c r="A336" s="114"/>
      <c r="B336" s="117"/>
      <c r="C336" s="116"/>
      <c r="D336" s="116"/>
      <c r="E336" s="116"/>
      <c r="F336" s="116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  <c r="AA336" s="117"/>
      <c r="AB336" s="117"/>
    </row>
    <row r="337">
      <c r="A337" s="114"/>
      <c r="B337" s="117"/>
      <c r="C337" s="116"/>
      <c r="D337" s="116"/>
      <c r="E337" s="116"/>
      <c r="F337" s="116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  <c r="AA337" s="117"/>
      <c r="AB337" s="117"/>
    </row>
    <row r="338">
      <c r="A338" s="114"/>
      <c r="B338" s="117"/>
      <c r="C338" s="116"/>
      <c r="D338" s="116"/>
      <c r="E338" s="116"/>
      <c r="F338" s="116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  <c r="AA338" s="117"/>
      <c r="AB338" s="117"/>
    </row>
    <row r="339">
      <c r="A339" s="114"/>
      <c r="B339" s="117"/>
      <c r="C339" s="116"/>
      <c r="D339" s="116"/>
      <c r="E339" s="116"/>
      <c r="F339" s="116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  <c r="AA339" s="117"/>
      <c r="AB339" s="117"/>
    </row>
    <row r="340">
      <c r="A340" s="114"/>
      <c r="B340" s="117"/>
      <c r="C340" s="116"/>
      <c r="D340" s="116"/>
      <c r="E340" s="116"/>
      <c r="F340" s="116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  <c r="AA340" s="117"/>
      <c r="AB340" s="117"/>
    </row>
    <row r="341">
      <c r="A341" s="114"/>
      <c r="B341" s="117"/>
      <c r="C341" s="116"/>
      <c r="D341" s="116"/>
      <c r="E341" s="116"/>
      <c r="F341" s="116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  <c r="AA341" s="117"/>
      <c r="AB341" s="117"/>
    </row>
    <row r="342">
      <c r="A342" s="114"/>
      <c r="B342" s="117"/>
      <c r="C342" s="116"/>
      <c r="D342" s="116"/>
      <c r="E342" s="116"/>
      <c r="F342" s="116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  <c r="AA342" s="117"/>
      <c r="AB342" s="117"/>
    </row>
    <row r="343">
      <c r="A343" s="114"/>
      <c r="B343" s="117"/>
      <c r="C343" s="116"/>
      <c r="D343" s="116"/>
      <c r="E343" s="116"/>
      <c r="F343" s="116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  <c r="AA343" s="117"/>
      <c r="AB343" s="117"/>
    </row>
    <row r="344">
      <c r="A344" s="114"/>
      <c r="B344" s="117"/>
      <c r="C344" s="116"/>
      <c r="D344" s="116"/>
      <c r="E344" s="116"/>
      <c r="F344" s="116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  <c r="AA344" s="117"/>
      <c r="AB344" s="117"/>
    </row>
    <row r="345">
      <c r="A345" s="114"/>
      <c r="B345" s="117"/>
      <c r="C345" s="116"/>
      <c r="D345" s="116"/>
      <c r="E345" s="116"/>
      <c r="F345" s="116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  <c r="AA345" s="117"/>
      <c r="AB345" s="117"/>
    </row>
    <row r="346">
      <c r="A346" s="114"/>
      <c r="B346" s="117"/>
      <c r="C346" s="116"/>
      <c r="D346" s="116"/>
      <c r="E346" s="116"/>
      <c r="F346" s="116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  <c r="AA346" s="117"/>
      <c r="AB346" s="117"/>
    </row>
    <row r="347">
      <c r="A347" s="114"/>
      <c r="B347" s="117"/>
      <c r="C347" s="116"/>
      <c r="D347" s="116"/>
      <c r="E347" s="116"/>
      <c r="F347" s="116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  <c r="AA347" s="117"/>
      <c r="AB347" s="117"/>
    </row>
    <row r="348">
      <c r="A348" s="114"/>
      <c r="B348" s="117"/>
      <c r="C348" s="116"/>
      <c r="D348" s="116"/>
      <c r="E348" s="116"/>
      <c r="F348" s="116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  <c r="AA348" s="117"/>
      <c r="AB348" s="117"/>
    </row>
    <row r="349">
      <c r="A349" s="114"/>
      <c r="B349" s="117"/>
      <c r="C349" s="116"/>
      <c r="D349" s="116"/>
      <c r="E349" s="116"/>
      <c r="F349" s="116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  <c r="AA349" s="117"/>
      <c r="AB349" s="117"/>
    </row>
    <row r="350">
      <c r="A350" s="114"/>
      <c r="B350" s="117"/>
      <c r="C350" s="116"/>
      <c r="D350" s="116"/>
      <c r="E350" s="116"/>
      <c r="F350" s="116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  <c r="AA350" s="117"/>
      <c r="AB350" s="117"/>
    </row>
    <row r="351">
      <c r="A351" s="114"/>
      <c r="B351" s="117"/>
      <c r="C351" s="116"/>
      <c r="D351" s="116"/>
      <c r="E351" s="116"/>
      <c r="F351" s="116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  <c r="AA351" s="117"/>
      <c r="AB351" s="117"/>
    </row>
    <row r="352">
      <c r="A352" s="114"/>
      <c r="B352" s="117"/>
      <c r="C352" s="116"/>
      <c r="D352" s="116"/>
      <c r="E352" s="116"/>
      <c r="F352" s="116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  <c r="AA352" s="117"/>
      <c r="AB352" s="117"/>
    </row>
    <row r="353">
      <c r="A353" s="114"/>
      <c r="B353" s="117"/>
      <c r="C353" s="116"/>
      <c r="D353" s="116"/>
      <c r="E353" s="116"/>
      <c r="F353" s="116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  <c r="AA353" s="117"/>
      <c r="AB353" s="117"/>
    </row>
    <row r="354">
      <c r="A354" s="114"/>
      <c r="B354" s="117"/>
      <c r="C354" s="116"/>
      <c r="D354" s="116"/>
      <c r="E354" s="116"/>
      <c r="F354" s="116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  <c r="AA354" s="117"/>
      <c r="AB354" s="117"/>
    </row>
    <row r="355">
      <c r="A355" s="114"/>
      <c r="B355" s="117"/>
      <c r="C355" s="116"/>
      <c r="D355" s="116"/>
      <c r="E355" s="116"/>
      <c r="F355" s="116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  <c r="AA355" s="117"/>
      <c r="AB355" s="117"/>
    </row>
    <row r="356">
      <c r="A356" s="114"/>
      <c r="B356" s="117"/>
      <c r="C356" s="116"/>
      <c r="D356" s="116"/>
      <c r="E356" s="116"/>
      <c r="F356" s="116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  <c r="AA356" s="117"/>
      <c r="AB356" s="117"/>
    </row>
    <row r="357">
      <c r="A357" s="114"/>
      <c r="B357" s="117"/>
      <c r="C357" s="116"/>
      <c r="D357" s="116"/>
      <c r="E357" s="116"/>
      <c r="F357" s="116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  <c r="AA357" s="117"/>
      <c r="AB357" s="117"/>
    </row>
    <row r="358">
      <c r="A358" s="114"/>
      <c r="B358" s="117"/>
      <c r="C358" s="116"/>
      <c r="D358" s="116"/>
      <c r="E358" s="116"/>
      <c r="F358" s="116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  <c r="AA358" s="117"/>
      <c r="AB358" s="117"/>
    </row>
    <row r="359">
      <c r="A359" s="114"/>
      <c r="B359" s="117"/>
      <c r="C359" s="116"/>
      <c r="D359" s="116"/>
      <c r="E359" s="116"/>
      <c r="F359" s="116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  <c r="AA359" s="117"/>
      <c r="AB359" s="117"/>
    </row>
    <row r="360">
      <c r="A360" s="114"/>
      <c r="B360" s="117"/>
      <c r="C360" s="116"/>
      <c r="D360" s="116"/>
      <c r="E360" s="116"/>
      <c r="F360" s="116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  <c r="AA360" s="117"/>
      <c r="AB360" s="117"/>
    </row>
    <row r="361">
      <c r="A361" s="114"/>
      <c r="B361" s="117"/>
      <c r="C361" s="116"/>
      <c r="D361" s="116"/>
      <c r="E361" s="116"/>
      <c r="F361" s="116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  <c r="AA361" s="117"/>
      <c r="AB361" s="117"/>
    </row>
    <row r="362">
      <c r="A362" s="114"/>
      <c r="B362" s="117"/>
      <c r="C362" s="116"/>
      <c r="D362" s="116"/>
      <c r="E362" s="116"/>
      <c r="F362" s="116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  <c r="AA362" s="117"/>
      <c r="AB362" s="117"/>
    </row>
    <row r="363">
      <c r="A363" s="114"/>
      <c r="B363" s="117"/>
      <c r="C363" s="116"/>
      <c r="D363" s="116"/>
      <c r="E363" s="116"/>
      <c r="F363" s="116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  <c r="AA363" s="117"/>
      <c r="AB363" s="117"/>
    </row>
    <row r="364">
      <c r="A364" s="114"/>
      <c r="B364" s="117"/>
      <c r="C364" s="116"/>
      <c r="D364" s="116"/>
      <c r="E364" s="116"/>
      <c r="F364" s="116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117"/>
      <c r="AB364" s="117"/>
    </row>
    <row r="365">
      <c r="A365" s="114"/>
      <c r="B365" s="117"/>
      <c r="C365" s="116"/>
      <c r="D365" s="116"/>
      <c r="E365" s="116"/>
      <c r="F365" s="116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  <c r="AA365" s="117"/>
      <c r="AB365" s="117"/>
    </row>
    <row r="366">
      <c r="A366" s="114"/>
      <c r="B366" s="117"/>
      <c r="C366" s="116"/>
      <c r="D366" s="116"/>
      <c r="E366" s="116"/>
      <c r="F366" s="116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  <c r="AA366" s="117"/>
      <c r="AB366" s="117"/>
    </row>
    <row r="367">
      <c r="A367" s="114"/>
      <c r="B367" s="117"/>
      <c r="C367" s="116"/>
      <c r="D367" s="116"/>
      <c r="E367" s="116"/>
      <c r="F367" s="116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  <c r="AA367" s="117"/>
      <c r="AB367" s="117"/>
    </row>
    <row r="368">
      <c r="A368" s="114"/>
      <c r="B368" s="117"/>
      <c r="C368" s="116"/>
      <c r="D368" s="116"/>
      <c r="E368" s="116"/>
      <c r="F368" s="116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  <c r="AA368" s="117"/>
      <c r="AB368" s="117"/>
    </row>
    <row r="369">
      <c r="A369" s="114"/>
      <c r="B369" s="117"/>
      <c r="C369" s="116"/>
      <c r="D369" s="116"/>
      <c r="E369" s="116"/>
      <c r="F369" s="116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  <c r="AA369" s="117"/>
      <c r="AB369" s="117"/>
    </row>
    <row r="370">
      <c r="A370" s="114"/>
      <c r="B370" s="117"/>
      <c r="C370" s="116"/>
      <c r="D370" s="116"/>
      <c r="E370" s="116"/>
      <c r="F370" s="116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  <c r="AA370" s="117"/>
      <c r="AB370" s="117"/>
    </row>
    <row r="371">
      <c r="A371" s="114"/>
      <c r="B371" s="117"/>
      <c r="C371" s="116"/>
      <c r="D371" s="116"/>
      <c r="E371" s="116"/>
      <c r="F371" s="116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  <c r="AA371" s="117"/>
      <c r="AB371" s="117"/>
    </row>
    <row r="372">
      <c r="A372" s="114"/>
      <c r="B372" s="117"/>
      <c r="C372" s="116"/>
      <c r="D372" s="116"/>
      <c r="E372" s="116"/>
      <c r="F372" s="116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  <c r="AA372" s="117"/>
      <c r="AB372" s="117"/>
    </row>
    <row r="373">
      <c r="A373" s="114"/>
      <c r="B373" s="117"/>
      <c r="C373" s="116"/>
      <c r="D373" s="116"/>
      <c r="E373" s="116"/>
      <c r="F373" s="116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  <c r="AA373" s="117"/>
      <c r="AB373" s="117"/>
    </row>
    <row r="374">
      <c r="A374" s="114"/>
      <c r="B374" s="117"/>
      <c r="C374" s="116"/>
      <c r="D374" s="116"/>
      <c r="E374" s="116"/>
      <c r="F374" s="116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  <c r="AA374" s="117"/>
      <c r="AB374" s="117"/>
    </row>
    <row r="375">
      <c r="A375" s="114"/>
      <c r="B375" s="117"/>
      <c r="C375" s="116"/>
      <c r="D375" s="116"/>
      <c r="E375" s="116"/>
      <c r="F375" s="116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117"/>
      <c r="AB375" s="117"/>
    </row>
    <row r="376">
      <c r="A376" s="114"/>
      <c r="B376" s="117"/>
      <c r="C376" s="116"/>
      <c r="D376" s="116"/>
      <c r="E376" s="116"/>
      <c r="F376" s="116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  <c r="AA376" s="117"/>
      <c r="AB376" s="117"/>
    </row>
    <row r="377">
      <c r="A377" s="114"/>
      <c r="B377" s="117"/>
      <c r="C377" s="116"/>
      <c r="D377" s="116"/>
      <c r="E377" s="116"/>
      <c r="F377" s="116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  <c r="AB377" s="117"/>
    </row>
    <row r="378">
      <c r="A378" s="114"/>
      <c r="B378" s="117"/>
      <c r="C378" s="116"/>
      <c r="D378" s="116"/>
      <c r="E378" s="116"/>
      <c r="F378" s="116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  <c r="AB378" s="117"/>
    </row>
    <row r="379">
      <c r="A379" s="114"/>
      <c r="B379" s="117"/>
      <c r="C379" s="116"/>
      <c r="D379" s="116"/>
      <c r="E379" s="116"/>
      <c r="F379" s="116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  <c r="AB379" s="117"/>
    </row>
    <row r="380">
      <c r="A380" s="114"/>
      <c r="B380" s="117"/>
      <c r="C380" s="116"/>
      <c r="D380" s="116"/>
      <c r="E380" s="116"/>
      <c r="F380" s="116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  <c r="AB380" s="117"/>
    </row>
    <row r="381">
      <c r="A381" s="114"/>
      <c r="B381" s="117"/>
      <c r="C381" s="116"/>
      <c r="D381" s="116"/>
      <c r="E381" s="116"/>
      <c r="F381" s="116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  <c r="AB381" s="117"/>
    </row>
    <row r="382">
      <c r="A382" s="114"/>
      <c r="B382" s="117"/>
      <c r="C382" s="116"/>
      <c r="D382" s="116"/>
      <c r="E382" s="116"/>
      <c r="F382" s="116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  <c r="AB382" s="117"/>
    </row>
    <row r="383">
      <c r="A383" s="114"/>
      <c r="B383" s="117"/>
      <c r="C383" s="116"/>
      <c r="D383" s="116"/>
      <c r="E383" s="116"/>
      <c r="F383" s="116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  <c r="AB383" s="117"/>
    </row>
    <row r="384">
      <c r="A384" s="114"/>
      <c r="B384" s="117"/>
      <c r="C384" s="116"/>
      <c r="D384" s="116"/>
      <c r="E384" s="116"/>
      <c r="F384" s="116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  <c r="AB384" s="117"/>
    </row>
    <row r="385">
      <c r="A385" s="114"/>
      <c r="B385" s="117"/>
      <c r="C385" s="116"/>
      <c r="D385" s="116"/>
      <c r="E385" s="116"/>
      <c r="F385" s="116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  <c r="AB385" s="117"/>
    </row>
    <row r="386">
      <c r="A386" s="114"/>
      <c r="B386" s="117"/>
      <c r="C386" s="116"/>
      <c r="D386" s="116"/>
      <c r="E386" s="116"/>
      <c r="F386" s="116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  <c r="AB386" s="117"/>
    </row>
    <row r="387">
      <c r="A387" s="114"/>
      <c r="B387" s="117"/>
      <c r="C387" s="116"/>
      <c r="D387" s="116"/>
      <c r="E387" s="116"/>
      <c r="F387" s="116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  <c r="AB387" s="117"/>
    </row>
    <row r="388">
      <c r="A388" s="114"/>
      <c r="B388" s="117"/>
      <c r="C388" s="116"/>
      <c r="D388" s="116"/>
      <c r="E388" s="116"/>
      <c r="F388" s="116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  <c r="AB388" s="117"/>
    </row>
    <row r="389">
      <c r="A389" s="114"/>
      <c r="B389" s="117"/>
      <c r="C389" s="116"/>
      <c r="D389" s="116"/>
      <c r="E389" s="116"/>
      <c r="F389" s="116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  <c r="AB389" s="117"/>
    </row>
    <row r="390">
      <c r="A390" s="114"/>
      <c r="B390" s="117"/>
      <c r="C390" s="116"/>
      <c r="D390" s="116"/>
      <c r="E390" s="116"/>
      <c r="F390" s="116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  <c r="AB390" s="117"/>
    </row>
    <row r="391">
      <c r="A391" s="114"/>
      <c r="B391" s="117"/>
      <c r="C391" s="116"/>
      <c r="D391" s="116"/>
      <c r="E391" s="116"/>
      <c r="F391" s="116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  <c r="AB391" s="117"/>
    </row>
    <row r="392">
      <c r="A392" s="114"/>
      <c r="B392" s="117"/>
      <c r="C392" s="116"/>
      <c r="D392" s="116"/>
      <c r="E392" s="116"/>
      <c r="F392" s="116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  <c r="AB392" s="117"/>
    </row>
    <row r="393">
      <c r="A393" s="114"/>
      <c r="B393" s="117"/>
      <c r="C393" s="116"/>
      <c r="D393" s="116"/>
      <c r="E393" s="116"/>
      <c r="F393" s="116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  <c r="AB393" s="117"/>
    </row>
    <row r="394">
      <c r="A394" s="114"/>
      <c r="B394" s="117"/>
      <c r="C394" s="116"/>
      <c r="D394" s="116"/>
      <c r="E394" s="116"/>
      <c r="F394" s="116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  <c r="AB394" s="117"/>
    </row>
    <row r="395">
      <c r="A395" s="114"/>
      <c r="B395" s="117"/>
      <c r="C395" s="116"/>
      <c r="D395" s="116"/>
      <c r="E395" s="116"/>
      <c r="F395" s="116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  <c r="AB395" s="117"/>
    </row>
    <row r="396">
      <c r="A396" s="114"/>
      <c r="B396" s="117"/>
      <c r="C396" s="116"/>
      <c r="D396" s="116"/>
      <c r="E396" s="116"/>
      <c r="F396" s="116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  <c r="AB396" s="117"/>
    </row>
    <row r="397">
      <c r="A397" s="114"/>
      <c r="B397" s="117"/>
      <c r="C397" s="116"/>
      <c r="D397" s="116"/>
      <c r="E397" s="116"/>
      <c r="F397" s="116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  <c r="AB397" s="117"/>
    </row>
    <row r="398">
      <c r="A398" s="114"/>
      <c r="B398" s="117"/>
      <c r="C398" s="116"/>
      <c r="D398" s="116"/>
      <c r="E398" s="116"/>
      <c r="F398" s="116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  <c r="AB398" s="117"/>
    </row>
    <row r="399">
      <c r="A399" s="114"/>
      <c r="B399" s="117"/>
      <c r="C399" s="116"/>
      <c r="D399" s="116"/>
      <c r="E399" s="116"/>
      <c r="F399" s="116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  <c r="AB399" s="117"/>
    </row>
    <row r="400">
      <c r="A400" s="114"/>
      <c r="B400" s="117"/>
      <c r="C400" s="116"/>
      <c r="D400" s="116"/>
      <c r="E400" s="116"/>
      <c r="F400" s="116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  <c r="AB400" s="117"/>
    </row>
    <row r="401">
      <c r="A401" s="114"/>
      <c r="B401" s="117"/>
      <c r="C401" s="116"/>
      <c r="D401" s="116"/>
      <c r="E401" s="116"/>
      <c r="F401" s="116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  <c r="AB401" s="117"/>
    </row>
    <row r="402">
      <c r="A402" s="114"/>
      <c r="B402" s="117"/>
      <c r="C402" s="116"/>
      <c r="D402" s="116"/>
      <c r="E402" s="116"/>
      <c r="F402" s="116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  <c r="AB402" s="117"/>
    </row>
    <row r="403">
      <c r="A403" s="114"/>
      <c r="B403" s="117"/>
      <c r="C403" s="116"/>
      <c r="D403" s="116"/>
      <c r="E403" s="116"/>
      <c r="F403" s="116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  <c r="AB403" s="117"/>
    </row>
    <row r="404">
      <c r="A404" s="114"/>
      <c r="B404" s="117"/>
      <c r="C404" s="116"/>
      <c r="D404" s="116"/>
      <c r="E404" s="116"/>
      <c r="F404" s="116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  <c r="AB404" s="117"/>
    </row>
    <row r="405">
      <c r="A405" s="114"/>
      <c r="B405" s="117"/>
      <c r="C405" s="116"/>
      <c r="D405" s="116"/>
      <c r="E405" s="116"/>
      <c r="F405" s="116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  <c r="AB405" s="117"/>
    </row>
    <row r="406">
      <c r="A406" s="114"/>
      <c r="B406" s="117"/>
      <c r="C406" s="116"/>
      <c r="D406" s="116"/>
      <c r="E406" s="116"/>
      <c r="F406" s="116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  <c r="AB406" s="117"/>
    </row>
    <row r="407">
      <c r="A407" s="114"/>
      <c r="B407" s="117"/>
      <c r="C407" s="116"/>
      <c r="D407" s="116"/>
      <c r="E407" s="116"/>
      <c r="F407" s="116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  <c r="AB407" s="117"/>
    </row>
    <row r="408">
      <c r="A408" s="114"/>
      <c r="B408" s="117"/>
      <c r="C408" s="116"/>
      <c r="D408" s="116"/>
      <c r="E408" s="116"/>
      <c r="F408" s="116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  <c r="AB408" s="117"/>
    </row>
    <row r="409">
      <c r="A409" s="114"/>
      <c r="B409" s="117"/>
      <c r="C409" s="116"/>
      <c r="D409" s="116"/>
      <c r="E409" s="116"/>
      <c r="F409" s="116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  <c r="AB409" s="117"/>
    </row>
    <row r="410">
      <c r="A410" s="114"/>
      <c r="B410" s="117"/>
      <c r="C410" s="116"/>
      <c r="D410" s="116"/>
      <c r="E410" s="116"/>
      <c r="F410" s="116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  <c r="AB410" s="117"/>
    </row>
    <row r="411">
      <c r="A411" s="114"/>
      <c r="B411" s="117"/>
      <c r="C411" s="116"/>
      <c r="D411" s="116"/>
      <c r="E411" s="116"/>
      <c r="F411" s="116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  <c r="AB411" s="117"/>
    </row>
    <row r="412">
      <c r="A412" s="114"/>
      <c r="B412" s="117"/>
      <c r="C412" s="116"/>
      <c r="D412" s="116"/>
      <c r="E412" s="116"/>
      <c r="F412" s="116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  <c r="AB412" s="117"/>
    </row>
    <row r="413">
      <c r="A413" s="114"/>
      <c r="B413" s="117"/>
      <c r="C413" s="116"/>
      <c r="D413" s="116"/>
      <c r="E413" s="116"/>
      <c r="F413" s="116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  <c r="AB413" s="117"/>
    </row>
    <row r="414">
      <c r="A414" s="114"/>
      <c r="B414" s="117"/>
      <c r="C414" s="116"/>
      <c r="D414" s="116"/>
      <c r="E414" s="116"/>
      <c r="F414" s="116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  <c r="AB414" s="117"/>
    </row>
    <row r="415">
      <c r="A415" s="114"/>
      <c r="B415" s="117"/>
      <c r="C415" s="116"/>
      <c r="D415" s="116"/>
      <c r="E415" s="116"/>
      <c r="F415" s="116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  <c r="AB415" s="117"/>
    </row>
    <row r="416">
      <c r="A416" s="114"/>
      <c r="B416" s="117"/>
      <c r="C416" s="116"/>
      <c r="D416" s="116"/>
      <c r="E416" s="116"/>
      <c r="F416" s="116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  <c r="AB416" s="117"/>
    </row>
    <row r="417">
      <c r="A417" s="114"/>
      <c r="B417" s="117"/>
      <c r="C417" s="116"/>
      <c r="D417" s="116"/>
      <c r="E417" s="116"/>
      <c r="F417" s="116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  <c r="AB417" s="117"/>
    </row>
    <row r="418">
      <c r="A418" s="114"/>
      <c r="B418" s="117"/>
      <c r="C418" s="116"/>
      <c r="D418" s="116"/>
      <c r="E418" s="116"/>
      <c r="F418" s="116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  <c r="AB418" s="117"/>
    </row>
    <row r="419">
      <c r="A419" s="114"/>
      <c r="B419" s="117"/>
      <c r="C419" s="116"/>
      <c r="D419" s="116"/>
      <c r="E419" s="116"/>
      <c r="F419" s="116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  <c r="AB419" s="117"/>
    </row>
    <row r="420">
      <c r="A420" s="114"/>
      <c r="B420" s="117"/>
      <c r="C420" s="116"/>
      <c r="D420" s="116"/>
      <c r="E420" s="116"/>
      <c r="F420" s="116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  <c r="AB420" s="117"/>
    </row>
    <row r="421">
      <c r="A421" s="114"/>
      <c r="B421" s="117"/>
      <c r="C421" s="116"/>
      <c r="D421" s="116"/>
      <c r="E421" s="116"/>
      <c r="F421" s="116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  <c r="AB421" s="117"/>
    </row>
    <row r="422">
      <c r="A422" s="114"/>
      <c r="B422" s="117"/>
      <c r="C422" s="116"/>
      <c r="D422" s="116"/>
      <c r="E422" s="116"/>
      <c r="F422" s="116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  <c r="AB422" s="117"/>
    </row>
    <row r="423">
      <c r="A423" s="114"/>
      <c r="B423" s="117"/>
      <c r="C423" s="116"/>
      <c r="D423" s="116"/>
      <c r="E423" s="116"/>
      <c r="F423" s="116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  <c r="AB423" s="117"/>
    </row>
    <row r="424">
      <c r="A424" s="114"/>
      <c r="B424" s="117"/>
      <c r="C424" s="116"/>
      <c r="D424" s="116"/>
      <c r="E424" s="116"/>
      <c r="F424" s="116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  <c r="AB424" s="117"/>
    </row>
    <row r="425">
      <c r="A425" s="114"/>
      <c r="B425" s="117"/>
      <c r="C425" s="116"/>
      <c r="D425" s="116"/>
      <c r="E425" s="116"/>
      <c r="F425" s="116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  <c r="AB425" s="117"/>
    </row>
    <row r="426">
      <c r="A426" s="114"/>
      <c r="B426" s="117"/>
      <c r="C426" s="116"/>
      <c r="D426" s="116"/>
      <c r="E426" s="116"/>
      <c r="F426" s="116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  <c r="AB426" s="117"/>
    </row>
    <row r="427">
      <c r="A427" s="114"/>
      <c r="B427" s="117"/>
      <c r="C427" s="116"/>
      <c r="D427" s="116"/>
      <c r="E427" s="116"/>
      <c r="F427" s="116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  <c r="AB427" s="117"/>
    </row>
    <row r="428">
      <c r="A428" s="114"/>
      <c r="B428" s="117"/>
      <c r="C428" s="116"/>
      <c r="D428" s="116"/>
      <c r="E428" s="116"/>
      <c r="F428" s="116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  <c r="AB428" s="117"/>
    </row>
    <row r="429">
      <c r="A429" s="114"/>
      <c r="B429" s="117"/>
      <c r="C429" s="116"/>
      <c r="D429" s="116"/>
      <c r="E429" s="116"/>
      <c r="F429" s="116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  <c r="AB429" s="117"/>
    </row>
    <row r="430">
      <c r="A430" s="114"/>
      <c r="B430" s="117"/>
      <c r="C430" s="116"/>
      <c r="D430" s="116"/>
      <c r="E430" s="116"/>
      <c r="F430" s="116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  <c r="AB430" s="117"/>
    </row>
    <row r="431">
      <c r="A431" s="114"/>
      <c r="B431" s="117"/>
      <c r="C431" s="116"/>
      <c r="D431" s="116"/>
      <c r="E431" s="116"/>
      <c r="F431" s="116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  <c r="AB431" s="117"/>
    </row>
    <row r="432">
      <c r="A432" s="114"/>
      <c r="B432" s="117"/>
      <c r="C432" s="116"/>
      <c r="D432" s="116"/>
      <c r="E432" s="116"/>
      <c r="F432" s="116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  <c r="AB432" s="117"/>
    </row>
    <row r="433">
      <c r="A433" s="114"/>
      <c r="B433" s="117"/>
      <c r="C433" s="116"/>
      <c r="D433" s="116"/>
      <c r="E433" s="116"/>
      <c r="F433" s="116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  <c r="AB433" s="117"/>
    </row>
    <row r="434">
      <c r="A434" s="114"/>
      <c r="B434" s="117"/>
      <c r="C434" s="116"/>
      <c r="D434" s="116"/>
      <c r="E434" s="116"/>
      <c r="F434" s="116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  <c r="AB434" s="117"/>
    </row>
    <row r="435">
      <c r="A435" s="114"/>
      <c r="B435" s="117"/>
      <c r="C435" s="116"/>
      <c r="D435" s="116"/>
      <c r="E435" s="116"/>
      <c r="F435" s="116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  <c r="AB435" s="117"/>
    </row>
    <row r="436">
      <c r="A436" s="114"/>
      <c r="B436" s="117"/>
      <c r="C436" s="116"/>
      <c r="D436" s="116"/>
      <c r="E436" s="116"/>
      <c r="F436" s="116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  <c r="AB436" s="117"/>
    </row>
    <row r="437">
      <c r="A437" s="114"/>
      <c r="B437" s="117"/>
      <c r="C437" s="116"/>
      <c r="D437" s="116"/>
      <c r="E437" s="116"/>
      <c r="F437" s="116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  <c r="AB437" s="117"/>
    </row>
    <row r="438">
      <c r="A438" s="114"/>
      <c r="B438" s="117"/>
      <c r="C438" s="116"/>
      <c r="D438" s="116"/>
      <c r="E438" s="116"/>
      <c r="F438" s="116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  <c r="AB438" s="117"/>
    </row>
    <row r="439">
      <c r="A439" s="114"/>
      <c r="B439" s="117"/>
      <c r="C439" s="116"/>
      <c r="D439" s="116"/>
      <c r="E439" s="116"/>
      <c r="F439" s="116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  <c r="AB439" s="117"/>
    </row>
    <row r="440">
      <c r="A440" s="114"/>
      <c r="B440" s="117"/>
      <c r="C440" s="116"/>
      <c r="D440" s="116"/>
      <c r="E440" s="116"/>
      <c r="F440" s="116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  <c r="AB440" s="117"/>
    </row>
    <row r="441">
      <c r="A441" s="114"/>
      <c r="B441" s="117"/>
      <c r="C441" s="116"/>
      <c r="D441" s="116"/>
      <c r="E441" s="116"/>
      <c r="F441" s="116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  <c r="AB441" s="117"/>
    </row>
    <row r="442">
      <c r="A442" s="114"/>
      <c r="B442" s="117"/>
      <c r="C442" s="116"/>
      <c r="D442" s="116"/>
      <c r="E442" s="116"/>
      <c r="F442" s="116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  <c r="AB442" s="117"/>
    </row>
    <row r="443">
      <c r="A443" s="114"/>
      <c r="B443" s="117"/>
      <c r="C443" s="116"/>
      <c r="D443" s="116"/>
      <c r="E443" s="116"/>
      <c r="F443" s="116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  <c r="AB443" s="117"/>
    </row>
    <row r="444">
      <c r="A444" s="114"/>
      <c r="B444" s="117"/>
      <c r="C444" s="116"/>
      <c r="D444" s="116"/>
      <c r="E444" s="116"/>
      <c r="F444" s="116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  <c r="AB444" s="117"/>
    </row>
    <row r="445">
      <c r="A445" s="114"/>
      <c r="B445" s="117"/>
      <c r="C445" s="116"/>
      <c r="D445" s="116"/>
      <c r="E445" s="116"/>
      <c r="F445" s="116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  <c r="AB445" s="117"/>
    </row>
    <row r="446">
      <c r="A446" s="114"/>
      <c r="B446" s="117"/>
      <c r="C446" s="116"/>
      <c r="D446" s="116"/>
      <c r="E446" s="116"/>
      <c r="F446" s="116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  <c r="AB446" s="117"/>
    </row>
    <row r="447">
      <c r="A447" s="114"/>
      <c r="B447" s="117"/>
      <c r="C447" s="116"/>
      <c r="D447" s="116"/>
      <c r="E447" s="116"/>
      <c r="F447" s="116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  <c r="AB447" s="117"/>
    </row>
    <row r="448">
      <c r="A448" s="114"/>
      <c r="B448" s="117"/>
      <c r="C448" s="116"/>
      <c r="D448" s="116"/>
      <c r="E448" s="116"/>
      <c r="F448" s="116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  <c r="AB448" s="117"/>
    </row>
    <row r="449">
      <c r="A449" s="114"/>
      <c r="B449" s="117"/>
      <c r="C449" s="116"/>
      <c r="D449" s="116"/>
      <c r="E449" s="116"/>
      <c r="F449" s="116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  <c r="AB449" s="117"/>
    </row>
    <row r="450">
      <c r="A450" s="114"/>
      <c r="B450" s="117"/>
      <c r="C450" s="116"/>
      <c r="D450" s="116"/>
      <c r="E450" s="116"/>
      <c r="F450" s="116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  <c r="AB450" s="117"/>
    </row>
    <row r="451">
      <c r="A451" s="114"/>
      <c r="B451" s="117"/>
      <c r="C451" s="116"/>
      <c r="D451" s="116"/>
      <c r="E451" s="116"/>
      <c r="F451" s="116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  <c r="AB451" s="117"/>
    </row>
    <row r="452">
      <c r="A452" s="114"/>
      <c r="B452" s="117"/>
      <c r="C452" s="116"/>
      <c r="D452" s="116"/>
      <c r="E452" s="116"/>
      <c r="F452" s="116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  <c r="AB452" s="117"/>
    </row>
    <row r="453">
      <c r="A453" s="114"/>
      <c r="B453" s="117"/>
      <c r="C453" s="116"/>
      <c r="D453" s="116"/>
      <c r="E453" s="116"/>
      <c r="F453" s="116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  <c r="AB453" s="117"/>
    </row>
    <row r="454">
      <c r="A454" s="114"/>
      <c r="B454" s="117"/>
      <c r="C454" s="116"/>
      <c r="D454" s="116"/>
      <c r="E454" s="116"/>
      <c r="F454" s="116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  <c r="AB454" s="117"/>
    </row>
    <row r="455">
      <c r="A455" s="114"/>
      <c r="B455" s="117"/>
      <c r="C455" s="116"/>
      <c r="D455" s="116"/>
      <c r="E455" s="116"/>
      <c r="F455" s="116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  <c r="AB455" s="117"/>
    </row>
    <row r="456">
      <c r="A456" s="114"/>
      <c r="B456" s="117"/>
      <c r="C456" s="116"/>
      <c r="D456" s="116"/>
      <c r="E456" s="116"/>
      <c r="F456" s="116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  <c r="AB456" s="117"/>
    </row>
    <row r="457">
      <c r="A457" s="114"/>
      <c r="B457" s="117"/>
      <c r="C457" s="116"/>
      <c r="D457" s="116"/>
      <c r="E457" s="116"/>
      <c r="F457" s="116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  <c r="AB457" s="117"/>
    </row>
    <row r="458">
      <c r="A458" s="114"/>
      <c r="B458" s="117"/>
      <c r="C458" s="116"/>
      <c r="D458" s="116"/>
      <c r="E458" s="116"/>
      <c r="F458" s="116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  <c r="AB458" s="117"/>
    </row>
    <row r="459">
      <c r="A459" s="114"/>
      <c r="B459" s="117"/>
      <c r="C459" s="116"/>
      <c r="D459" s="116"/>
      <c r="E459" s="116"/>
      <c r="F459" s="116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  <c r="AB459" s="117"/>
    </row>
    <row r="460">
      <c r="A460" s="114"/>
      <c r="B460" s="117"/>
      <c r="C460" s="116"/>
      <c r="D460" s="116"/>
      <c r="E460" s="116"/>
      <c r="F460" s="116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  <c r="AB460" s="117"/>
    </row>
    <row r="461">
      <c r="A461" s="114"/>
      <c r="B461" s="117"/>
      <c r="C461" s="116"/>
      <c r="D461" s="116"/>
      <c r="E461" s="116"/>
      <c r="F461" s="116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  <c r="AB461" s="117"/>
    </row>
    <row r="462">
      <c r="A462" s="114"/>
      <c r="B462" s="117"/>
      <c r="C462" s="116"/>
      <c r="D462" s="116"/>
      <c r="E462" s="116"/>
      <c r="F462" s="116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  <c r="AB462" s="117"/>
    </row>
    <row r="463">
      <c r="A463" s="114"/>
      <c r="B463" s="117"/>
      <c r="C463" s="116"/>
      <c r="D463" s="116"/>
      <c r="E463" s="116"/>
      <c r="F463" s="116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  <c r="AB463" s="117"/>
    </row>
    <row r="464">
      <c r="A464" s="114"/>
      <c r="B464" s="117"/>
      <c r="C464" s="116"/>
      <c r="D464" s="116"/>
      <c r="E464" s="116"/>
      <c r="F464" s="116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  <c r="AB464" s="117"/>
    </row>
    <row r="465">
      <c r="A465" s="114"/>
      <c r="B465" s="117"/>
      <c r="C465" s="116"/>
      <c r="D465" s="116"/>
      <c r="E465" s="116"/>
      <c r="F465" s="116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  <c r="AB465" s="117"/>
    </row>
    <row r="466">
      <c r="A466" s="114"/>
      <c r="B466" s="117"/>
      <c r="C466" s="116"/>
      <c r="D466" s="116"/>
      <c r="E466" s="116"/>
      <c r="F466" s="116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  <c r="AB466" s="117"/>
    </row>
    <row r="467">
      <c r="A467" s="114"/>
      <c r="B467" s="117"/>
      <c r="C467" s="116"/>
      <c r="D467" s="116"/>
      <c r="E467" s="116"/>
      <c r="F467" s="116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  <c r="AB467" s="117"/>
    </row>
    <row r="468">
      <c r="A468" s="114"/>
      <c r="B468" s="117"/>
      <c r="C468" s="116"/>
      <c r="D468" s="116"/>
      <c r="E468" s="116"/>
      <c r="F468" s="116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  <c r="AB468" s="117"/>
    </row>
    <row r="469">
      <c r="A469" s="114"/>
      <c r="B469" s="117"/>
      <c r="C469" s="116"/>
      <c r="D469" s="116"/>
      <c r="E469" s="116"/>
      <c r="F469" s="116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  <c r="AB469" s="117"/>
    </row>
    <row r="470">
      <c r="A470" s="114"/>
      <c r="B470" s="117"/>
      <c r="C470" s="116"/>
      <c r="D470" s="116"/>
      <c r="E470" s="116"/>
      <c r="F470" s="116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  <c r="AB470" s="117"/>
    </row>
    <row r="471">
      <c r="A471" s="114"/>
      <c r="B471" s="117"/>
      <c r="C471" s="116"/>
      <c r="D471" s="116"/>
      <c r="E471" s="116"/>
      <c r="F471" s="116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  <c r="AB471" s="117"/>
    </row>
    <row r="472">
      <c r="A472" s="114"/>
      <c r="B472" s="117"/>
      <c r="C472" s="116"/>
      <c r="D472" s="116"/>
      <c r="E472" s="116"/>
      <c r="F472" s="116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  <c r="AB472" s="117"/>
    </row>
    <row r="473">
      <c r="A473" s="114"/>
      <c r="B473" s="117"/>
      <c r="C473" s="116"/>
      <c r="D473" s="116"/>
      <c r="E473" s="116"/>
      <c r="F473" s="116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  <c r="AB473" s="117"/>
    </row>
    <row r="474">
      <c r="A474" s="114"/>
      <c r="B474" s="117"/>
      <c r="C474" s="116"/>
      <c r="D474" s="116"/>
      <c r="E474" s="116"/>
      <c r="F474" s="116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  <c r="AB474" s="117"/>
    </row>
    <row r="475">
      <c r="A475" s="114"/>
      <c r="B475" s="117"/>
      <c r="C475" s="116"/>
      <c r="D475" s="116"/>
      <c r="E475" s="116"/>
      <c r="F475" s="116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  <c r="AB475" s="117"/>
    </row>
    <row r="476">
      <c r="A476" s="114"/>
      <c r="B476" s="117"/>
      <c r="C476" s="116"/>
      <c r="D476" s="116"/>
      <c r="E476" s="116"/>
      <c r="F476" s="116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  <c r="AB476" s="117"/>
    </row>
    <row r="477">
      <c r="A477" s="114"/>
      <c r="B477" s="117"/>
      <c r="C477" s="116"/>
      <c r="D477" s="116"/>
      <c r="E477" s="116"/>
      <c r="F477" s="116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  <c r="AB477" s="117"/>
    </row>
    <row r="478">
      <c r="A478" s="114"/>
      <c r="B478" s="117"/>
      <c r="C478" s="116"/>
      <c r="D478" s="116"/>
      <c r="E478" s="116"/>
      <c r="F478" s="116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  <c r="AB478" s="117"/>
    </row>
    <row r="479">
      <c r="A479" s="114"/>
      <c r="B479" s="117"/>
      <c r="C479" s="116"/>
      <c r="D479" s="116"/>
      <c r="E479" s="116"/>
      <c r="F479" s="116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  <c r="AB479" s="117"/>
    </row>
    <row r="480">
      <c r="A480" s="114"/>
      <c r="B480" s="117"/>
      <c r="C480" s="116"/>
      <c r="D480" s="116"/>
      <c r="E480" s="116"/>
      <c r="F480" s="116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  <c r="AB480" s="117"/>
    </row>
    <row r="481">
      <c r="A481" s="114"/>
      <c r="B481" s="117"/>
      <c r="C481" s="116"/>
      <c r="D481" s="116"/>
      <c r="E481" s="116"/>
      <c r="F481" s="116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  <c r="AB481" s="117"/>
    </row>
    <row r="482">
      <c r="A482" s="114"/>
      <c r="B482" s="117"/>
      <c r="C482" s="116"/>
      <c r="D482" s="116"/>
      <c r="E482" s="116"/>
      <c r="F482" s="116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  <c r="AB482" s="117"/>
    </row>
    <row r="483">
      <c r="A483" s="114"/>
      <c r="B483" s="117"/>
      <c r="C483" s="116"/>
      <c r="D483" s="116"/>
      <c r="E483" s="116"/>
      <c r="F483" s="116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  <c r="AB483" s="117"/>
    </row>
    <row r="484">
      <c r="A484" s="114"/>
      <c r="B484" s="117"/>
      <c r="C484" s="116"/>
      <c r="D484" s="116"/>
      <c r="E484" s="116"/>
      <c r="F484" s="116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  <c r="AB484" s="117"/>
    </row>
    <row r="485">
      <c r="A485" s="114"/>
      <c r="B485" s="117"/>
      <c r="C485" s="116"/>
      <c r="D485" s="116"/>
      <c r="E485" s="116"/>
      <c r="F485" s="116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  <c r="AB485" s="117"/>
    </row>
    <row r="486">
      <c r="A486" s="114"/>
      <c r="B486" s="117"/>
      <c r="C486" s="116"/>
      <c r="D486" s="116"/>
      <c r="E486" s="116"/>
      <c r="F486" s="116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  <c r="AB486" s="117"/>
    </row>
    <row r="487">
      <c r="A487" s="114"/>
      <c r="B487" s="117"/>
      <c r="C487" s="116"/>
      <c r="D487" s="116"/>
      <c r="E487" s="116"/>
      <c r="F487" s="116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  <c r="AB487" s="117"/>
    </row>
    <row r="488">
      <c r="A488" s="114"/>
      <c r="B488" s="117"/>
      <c r="C488" s="116"/>
      <c r="D488" s="116"/>
      <c r="E488" s="116"/>
      <c r="F488" s="116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  <c r="AB488" s="117"/>
    </row>
    <row r="489">
      <c r="A489" s="114"/>
      <c r="B489" s="117"/>
      <c r="C489" s="116"/>
      <c r="D489" s="116"/>
      <c r="E489" s="116"/>
      <c r="F489" s="116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  <c r="AB489" s="117"/>
    </row>
    <row r="490">
      <c r="A490" s="114"/>
      <c r="B490" s="117"/>
      <c r="C490" s="116"/>
      <c r="D490" s="116"/>
      <c r="E490" s="116"/>
      <c r="F490" s="116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  <c r="AB490" s="117"/>
    </row>
    <row r="491">
      <c r="A491" s="114"/>
      <c r="B491" s="117"/>
      <c r="C491" s="116"/>
      <c r="D491" s="116"/>
      <c r="E491" s="116"/>
      <c r="F491" s="116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  <c r="AB491" s="117"/>
    </row>
    <row r="492">
      <c r="A492" s="114"/>
      <c r="B492" s="117"/>
      <c r="C492" s="116"/>
      <c r="D492" s="116"/>
      <c r="E492" s="116"/>
      <c r="F492" s="116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  <c r="AB492" s="117"/>
    </row>
    <row r="493">
      <c r="A493" s="114"/>
      <c r="B493" s="117"/>
      <c r="C493" s="116"/>
      <c r="D493" s="116"/>
      <c r="E493" s="116"/>
      <c r="F493" s="116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  <c r="AB493" s="117"/>
    </row>
    <row r="494">
      <c r="A494" s="114"/>
      <c r="B494" s="117"/>
      <c r="C494" s="116"/>
      <c r="D494" s="116"/>
      <c r="E494" s="116"/>
      <c r="F494" s="116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  <c r="AB494" s="117"/>
    </row>
    <row r="495">
      <c r="A495" s="114"/>
      <c r="B495" s="117"/>
      <c r="C495" s="116"/>
      <c r="D495" s="116"/>
      <c r="E495" s="116"/>
      <c r="F495" s="116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  <c r="AB495" s="117"/>
    </row>
    <row r="496">
      <c r="A496" s="114"/>
      <c r="B496" s="117"/>
      <c r="C496" s="116"/>
      <c r="D496" s="116"/>
      <c r="E496" s="116"/>
      <c r="F496" s="116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  <c r="AB496" s="117"/>
    </row>
    <row r="497">
      <c r="A497" s="114"/>
      <c r="B497" s="117"/>
      <c r="C497" s="116"/>
      <c r="D497" s="116"/>
      <c r="E497" s="116"/>
      <c r="F497" s="116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  <c r="AB497" s="117"/>
    </row>
    <row r="498">
      <c r="A498" s="114"/>
      <c r="B498" s="117"/>
      <c r="C498" s="116"/>
      <c r="D498" s="116"/>
      <c r="E498" s="116"/>
      <c r="F498" s="116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  <c r="AB498" s="117"/>
    </row>
    <row r="499">
      <c r="A499" s="114"/>
      <c r="B499" s="117"/>
      <c r="C499" s="116"/>
      <c r="D499" s="116"/>
      <c r="E499" s="116"/>
      <c r="F499" s="116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  <c r="AB499" s="117"/>
    </row>
    <row r="500">
      <c r="A500" s="114"/>
      <c r="B500" s="117"/>
      <c r="C500" s="116"/>
      <c r="D500" s="116"/>
      <c r="E500" s="116"/>
      <c r="F500" s="116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  <c r="AB500" s="117"/>
    </row>
    <row r="501">
      <c r="A501" s="114"/>
      <c r="B501" s="117"/>
      <c r="C501" s="116"/>
      <c r="D501" s="116"/>
      <c r="E501" s="116"/>
      <c r="F501" s="116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  <c r="AB501" s="117"/>
    </row>
    <row r="502">
      <c r="A502" s="114"/>
      <c r="B502" s="117"/>
      <c r="C502" s="116"/>
      <c r="D502" s="116"/>
      <c r="E502" s="116"/>
      <c r="F502" s="116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  <c r="AB502" s="117"/>
    </row>
    <row r="503">
      <c r="A503" s="114"/>
      <c r="B503" s="117"/>
      <c r="C503" s="116"/>
      <c r="D503" s="116"/>
      <c r="E503" s="116"/>
      <c r="F503" s="116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  <c r="AB503" s="117"/>
    </row>
    <row r="504">
      <c r="A504" s="114"/>
      <c r="B504" s="117"/>
      <c r="C504" s="116"/>
      <c r="D504" s="116"/>
      <c r="E504" s="116"/>
      <c r="F504" s="116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  <c r="AB504" s="117"/>
    </row>
    <row r="505">
      <c r="A505" s="114"/>
      <c r="B505" s="117"/>
      <c r="C505" s="116"/>
      <c r="D505" s="116"/>
      <c r="E505" s="116"/>
      <c r="F505" s="116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  <c r="AB505" s="117"/>
    </row>
    <row r="506">
      <c r="A506" s="114"/>
      <c r="B506" s="117"/>
      <c r="C506" s="116"/>
      <c r="D506" s="116"/>
      <c r="E506" s="116"/>
      <c r="F506" s="116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  <c r="AB506" s="117"/>
    </row>
    <row r="507">
      <c r="A507" s="114"/>
      <c r="B507" s="117"/>
      <c r="C507" s="116"/>
      <c r="D507" s="116"/>
      <c r="E507" s="116"/>
      <c r="F507" s="116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  <c r="AB507" s="117"/>
    </row>
    <row r="508">
      <c r="A508" s="114"/>
      <c r="B508" s="117"/>
      <c r="C508" s="116"/>
      <c r="D508" s="116"/>
      <c r="E508" s="116"/>
      <c r="F508" s="116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  <c r="AB508" s="117"/>
    </row>
    <row r="509">
      <c r="A509" s="114"/>
      <c r="B509" s="117"/>
      <c r="C509" s="116"/>
      <c r="D509" s="116"/>
      <c r="E509" s="116"/>
      <c r="F509" s="116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  <c r="AB509" s="117"/>
    </row>
    <row r="510">
      <c r="A510" s="114"/>
      <c r="B510" s="117"/>
      <c r="C510" s="116"/>
      <c r="D510" s="116"/>
      <c r="E510" s="116"/>
      <c r="F510" s="116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  <c r="AB510" s="117"/>
    </row>
    <row r="511">
      <c r="A511" s="114"/>
      <c r="B511" s="117"/>
      <c r="C511" s="116"/>
      <c r="D511" s="116"/>
      <c r="E511" s="116"/>
      <c r="F511" s="116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  <c r="AB511" s="117"/>
    </row>
    <row r="512">
      <c r="A512" s="114"/>
      <c r="B512" s="117"/>
      <c r="C512" s="116"/>
      <c r="D512" s="116"/>
      <c r="E512" s="116"/>
      <c r="F512" s="116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  <c r="AB512" s="117"/>
    </row>
    <row r="513">
      <c r="A513" s="114"/>
      <c r="B513" s="117"/>
      <c r="C513" s="116"/>
      <c r="D513" s="116"/>
      <c r="E513" s="116"/>
      <c r="F513" s="116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  <c r="AB513" s="117"/>
    </row>
    <row r="514">
      <c r="A514" s="114"/>
      <c r="B514" s="117"/>
      <c r="C514" s="116"/>
      <c r="D514" s="116"/>
      <c r="E514" s="116"/>
      <c r="F514" s="116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  <c r="AB514" s="117"/>
    </row>
    <row r="515">
      <c r="A515" s="114"/>
      <c r="B515" s="117"/>
      <c r="C515" s="116"/>
      <c r="D515" s="116"/>
      <c r="E515" s="116"/>
      <c r="F515" s="116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  <c r="AB515" s="117"/>
    </row>
    <row r="516">
      <c r="A516" s="114"/>
      <c r="B516" s="117"/>
      <c r="C516" s="116"/>
      <c r="D516" s="116"/>
      <c r="E516" s="116"/>
      <c r="F516" s="116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  <c r="AB516" s="117"/>
    </row>
    <row r="517">
      <c r="A517" s="114"/>
      <c r="B517" s="117"/>
      <c r="C517" s="116"/>
      <c r="D517" s="116"/>
      <c r="E517" s="116"/>
      <c r="F517" s="116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  <c r="AB517" s="117"/>
    </row>
    <row r="518">
      <c r="A518" s="114"/>
      <c r="B518" s="117"/>
      <c r="C518" s="116"/>
      <c r="D518" s="116"/>
      <c r="E518" s="116"/>
      <c r="F518" s="116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  <c r="AB518" s="117"/>
    </row>
    <row r="519">
      <c r="A519" s="114"/>
      <c r="B519" s="117"/>
      <c r="C519" s="116"/>
      <c r="D519" s="116"/>
      <c r="E519" s="116"/>
      <c r="F519" s="116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  <c r="AB519" s="117"/>
    </row>
    <row r="520">
      <c r="A520" s="114"/>
      <c r="B520" s="117"/>
      <c r="C520" s="116"/>
      <c r="D520" s="116"/>
      <c r="E520" s="116"/>
      <c r="F520" s="116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  <c r="AB520" s="117"/>
    </row>
    <row r="521">
      <c r="A521" s="114"/>
      <c r="B521" s="117"/>
      <c r="C521" s="116"/>
      <c r="D521" s="116"/>
      <c r="E521" s="116"/>
      <c r="F521" s="116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  <c r="AB521" s="117"/>
    </row>
    <row r="522">
      <c r="A522" s="114"/>
      <c r="B522" s="117"/>
      <c r="C522" s="116"/>
      <c r="D522" s="116"/>
      <c r="E522" s="116"/>
      <c r="F522" s="116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  <c r="AB522" s="117"/>
    </row>
    <row r="523">
      <c r="A523" s="114"/>
      <c r="B523" s="117"/>
      <c r="C523" s="116"/>
      <c r="D523" s="116"/>
      <c r="E523" s="116"/>
      <c r="F523" s="116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  <c r="AB523" s="117"/>
    </row>
    <row r="524">
      <c r="A524" s="114"/>
      <c r="B524" s="117"/>
      <c r="C524" s="116"/>
      <c r="D524" s="116"/>
      <c r="E524" s="116"/>
      <c r="F524" s="116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  <c r="AB524" s="117"/>
    </row>
    <row r="525">
      <c r="A525" s="114"/>
      <c r="B525" s="117"/>
      <c r="C525" s="116"/>
      <c r="D525" s="116"/>
      <c r="E525" s="116"/>
      <c r="F525" s="116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  <c r="AB525" s="117"/>
    </row>
    <row r="526">
      <c r="A526" s="114"/>
      <c r="B526" s="117"/>
      <c r="C526" s="116"/>
      <c r="D526" s="116"/>
      <c r="E526" s="116"/>
      <c r="F526" s="116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  <c r="AB526" s="117"/>
    </row>
    <row r="527">
      <c r="A527" s="114"/>
      <c r="B527" s="117"/>
      <c r="C527" s="116"/>
      <c r="D527" s="116"/>
      <c r="E527" s="116"/>
      <c r="F527" s="116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  <c r="AB527" s="117"/>
    </row>
    <row r="528">
      <c r="A528" s="114"/>
      <c r="B528" s="117"/>
      <c r="C528" s="116"/>
      <c r="D528" s="116"/>
      <c r="E528" s="116"/>
      <c r="F528" s="116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  <c r="AB528" s="117"/>
    </row>
    <row r="529">
      <c r="A529" s="114"/>
      <c r="B529" s="117"/>
      <c r="C529" s="116"/>
      <c r="D529" s="116"/>
      <c r="E529" s="116"/>
      <c r="F529" s="116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  <c r="AB529" s="117"/>
    </row>
    <row r="530">
      <c r="A530" s="114"/>
      <c r="B530" s="117"/>
      <c r="C530" s="116"/>
      <c r="D530" s="116"/>
      <c r="E530" s="116"/>
      <c r="F530" s="116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  <c r="AB530" s="117"/>
    </row>
    <row r="531">
      <c r="A531" s="114"/>
      <c r="B531" s="117"/>
      <c r="C531" s="116"/>
      <c r="D531" s="116"/>
      <c r="E531" s="116"/>
      <c r="F531" s="116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  <c r="AB531" s="117"/>
    </row>
    <row r="532">
      <c r="A532" s="114"/>
      <c r="B532" s="117"/>
      <c r="C532" s="116"/>
      <c r="D532" s="116"/>
      <c r="E532" s="116"/>
      <c r="F532" s="116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  <c r="AB532" s="117"/>
    </row>
    <row r="533">
      <c r="A533" s="114"/>
      <c r="B533" s="117"/>
      <c r="C533" s="116"/>
      <c r="D533" s="116"/>
      <c r="E533" s="116"/>
      <c r="F533" s="116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  <c r="AB533" s="117"/>
    </row>
    <row r="534">
      <c r="A534" s="114"/>
      <c r="B534" s="117"/>
      <c r="C534" s="116"/>
      <c r="D534" s="116"/>
      <c r="E534" s="116"/>
      <c r="F534" s="116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  <c r="AB534" s="117"/>
    </row>
    <row r="535">
      <c r="A535" s="114"/>
      <c r="B535" s="117"/>
      <c r="C535" s="116"/>
      <c r="D535" s="116"/>
      <c r="E535" s="116"/>
      <c r="F535" s="116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  <c r="AB535" s="117"/>
    </row>
    <row r="536">
      <c r="A536" s="114"/>
      <c r="B536" s="117"/>
      <c r="C536" s="116"/>
      <c r="D536" s="116"/>
      <c r="E536" s="116"/>
      <c r="F536" s="116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  <c r="AB536" s="117"/>
    </row>
    <row r="537">
      <c r="A537" s="114"/>
      <c r="B537" s="117"/>
      <c r="C537" s="116"/>
      <c r="D537" s="116"/>
      <c r="E537" s="116"/>
      <c r="F537" s="116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  <c r="AB537" s="117"/>
    </row>
    <row r="538">
      <c r="A538" s="114"/>
      <c r="B538" s="117"/>
      <c r="C538" s="116"/>
      <c r="D538" s="116"/>
      <c r="E538" s="116"/>
      <c r="F538" s="116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  <c r="AB538" s="117"/>
    </row>
    <row r="539">
      <c r="A539" s="114"/>
      <c r="B539" s="117"/>
      <c r="C539" s="116"/>
      <c r="D539" s="116"/>
      <c r="E539" s="116"/>
      <c r="F539" s="116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  <c r="AB539" s="117"/>
    </row>
    <row r="540">
      <c r="A540" s="114"/>
      <c r="B540" s="117"/>
      <c r="C540" s="116"/>
      <c r="D540" s="116"/>
      <c r="E540" s="116"/>
      <c r="F540" s="116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  <c r="AB540" s="117"/>
    </row>
    <row r="541">
      <c r="A541" s="114"/>
      <c r="B541" s="117"/>
      <c r="C541" s="116"/>
      <c r="D541" s="116"/>
      <c r="E541" s="116"/>
      <c r="F541" s="116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  <c r="AB541" s="117"/>
    </row>
    <row r="542">
      <c r="A542" s="114"/>
      <c r="B542" s="117"/>
      <c r="C542" s="116"/>
      <c r="D542" s="116"/>
      <c r="E542" s="116"/>
      <c r="F542" s="116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  <c r="AB542" s="117"/>
    </row>
    <row r="543">
      <c r="A543" s="114"/>
      <c r="B543" s="117"/>
      <c r="C543" s="116"/>
      <c r="D543" s="116"/>
      <c r="E543" s="116"/>
      <c r="F543" s="116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  <c r="AB543" s="117"/>
    </row>
    <row r="544">
      <c r="A544" s="114"/>
      <c r="B544" s="117"/>
      <c r="C544" s="116"/>
      <c r="D544" s="116"/>
      <c r="E544" s="116"/>
      <c r="F544" s="116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  <c r="AB544" s="117"/>
    </row>
    <row r="545">
      <c r="A545" s="114"/>
      <c r="B545" s="117"/>
      <c r="C545" s="116"/>
      <c r="D545" s="116"/>
      <c r="E545" s="116"/>
      <c r="F545" s="116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  <c r="AB545" s="117"/>
    </row>
    <row r="546">
      <c r="A546" s="114"/>
      <c r="B546" s="117"/>
      <c r="C546" s="116"/>
      <c r="D546" s="116"/>
      <c r="E546" s="116"/>
      <c r="F546" s="116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  <c r="AB546" s="117"/>
    </row>
    <row r="547">
      <c r="A547" s="114"/>
      <c r="B547" s="117"/>
      <c r="C547" s="116"/>
      <c r="D547" s="116"/>
      <c r="E547" s="116"/>
      <c r="F547" s="116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  <c r="AB547" s="117"/>
    </row>
    <row r="548">
      <c r="A548" s="114"/>
      <c r="B548" s="117"/>
      <c r="C548" s="116"/>
      <c r="D548" s="116"/>
      <c r="E548" s="116"/>
      <c r="F548" s="116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  <c r="AB548" s="117"/>
    </row>
    <row r="549">
      <c r="A549" s="114"/>
      <c r="B549" s="117"/>
      <c r="C549" s="116"/>
      <c r="D549" s="116"/>
      <c r="E549" s="116"/>
      <c r="F549" s="116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  <c r="AB549" s="117"/>
    </row>
    <row r="550">
      <c r="A550" s="114"/>
      <c r="B550" s="117"/>
      <c r="C550" s="116"/>
      <c r="D550" s="116"/>
      <c r="E550" s="116"/>
      <c r="F550" s="116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  <c r="AB550" s="117"/>
    </row>
    <row r="551">
      <c r="A551" s="114"/>
      <c r="B551" s="117"/>
      <c r="C551" s="116"/>
      <c r="D551" s="116"/>
      <c r="E551" s="116"/>
      <c r="F551" s="116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  <c r="AB551" s="117"/>
    </row>
    <row r="552">
      <c r="A552" s="114"/>
      <c r="B552" s="117"/>
      <c r="C552" s="116"/>
      <c r="D552" s="116"/>
      <c r="E552" s="116"/>
      <c r="F552" s="116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  <c r="AB552" s="117"/>
    </row>
    <row r="553">
      <c r="A553" s="114"/>
      <c r="B553" s="117"/>
      <c r="C553" s="116"/>
      <c r="D553" s="116"/>
      <c r="E553" s="116"/>
      <c r="F553" s="116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  <c r="AB553" s="117"/>
    </row>
    <row r="554">
      <c r="A554" s="114"/>
      <c r="B554" s="117"/>
      <c r="C554" s="116"/>
      <c r="D554" s="116"/>
      <c r="E554" s="116"/>
      <c r="F554" s="116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  <c r="AB554" s="117"/>
    </row>
    <row r="555">
      <c r="A555" s="114"/>
      <c r="B555" s="117"/>
      <c r="C555" s="116"/>
      <c r="D555" s="116"/>
      <c r="E555" s="116"/>
      <c r="F555" s="116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  <c r="AB555" s="117"/>
    </row>
    <row r="556">
      <c r="A556" s="114"/>
      <c r="B556" s="117"/>
      <c r="C556" s="116"/>
      <c r="D556" s="116"/>
      <c r="E556" s="116"/>
      <c r="F556" s="116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  <c r="AB556" s="117"/>
    </row>
    <row r="557">
      <c r="A557" s="114"/>
      <c r="B557" s="117"/>
      <c r="C557" s="116"/>
      <c r="D557" s="116"/>
      <c r="E557" s="116"/>
      <c r="F557" s="116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  <c r="AB557" s="117"/>
    </row>
    <row r="558">
      <c r="A558" s="114"/>
      <c r="B558" s="117"/>
      <c r="C558" s="116"/>
      <c r="D558" s="116"/>
      <c r="E558" s="116"/>
      <c r="F558" s="116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  <c r="AB558" s="117"/>
    </row>
    <row r="559">
      <c r="A559" s="114"/>
      <c r="B559" s="117"/>
      <c r="C559" s="116"/>
      <c r="D559" s="116"/>
      <c r="E559" s="116"/>
      <c r="F559" s="116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  <c r="AB559" s="117"/>
    </row>
    <row r="560">
      <c r="A560" s="114"/>
      <c r="B560" s="117"/>
      <c r="C560" s="116"/>
      <c r="D560" s="116"/>
      <c r="E560" s="116"/>
      <c r="F560" s="116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  <c r="AB560" s="117"/>
    </row>
    <row r="561">
      <c r="A561" s="114"/>
      <c r="B561" s="117"/>
      <c r="C561" s="116"/>
      <c r="D561" s="116"/>
      <c r="E561" s="116"/>
      <c r="F561" s="116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  <c r="AB561" s="117"/>
    </row>
    <row r="562">
      <c r="A562" s="114"/>
      <c r="B562" s="117"/>
      <c r="C562" s="116"/>
      <c r="D562" s="116"/>
      <c r="E562" s="116"/>
      <c r="F562" s="116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  <c r="AB562" s="117"/>
    </row>
    <row r="563">
      <c r="A563" s="114"/>
      <c r="B563" s="117"/>
      <c r="C563" s="116"/>
      <c r="D563" s="116"/>
      <c r="E563" s="116"/>
      <c r="F563" s="116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  <c r="AB563" s="117"/>
    </row>
    <row r="564">
      <c r="A564" s="114"/>
      <c r="B564" s="117"/>
      <c r="C564" s="116"/>
      <c r="D564" s="116"/>
      <c r="E564" s="116"/>
      <c r="F564" s="116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  <c r="AB564" s="117"/>
    </row>
    <row r="565">
      <c r="A565" s="114"/>
      <c r="B565" s="117"/>
      <c r="C565" s="116"/>
      <c r="D565" s="116"/>
      <c r="E565" s="116"/>
      <c r="F565" s="116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  <c r="AB565" s="117"/>
    </row>
    <row r="566">
      <c r="A566" s="114"/>
      <c r="B566" s="117"/>
      <c r="C566" s="116"/>
      <c r="D566" s="116"/>
      <c r="E566" s="116"/>
      <c r="F566" s="116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  <c r="AB566" s="117"/>
    </row>
    <row r="567">
      <c r="A567" s="114"/>
      <c r="B567" s="117"/>
      <c r="C567" s="116"/>
      <c r="D567" s="116"/>
      <c r="E567" s="116"/>
      <c r="F567" s="116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  <c r="AB567" s="117"/>
    </row>
    <row r="568">
      <c r="A568" s="114"/>
      <c r="B568" s="117"/>
      <c r="C568" s="116"/>
      <c r="D568" s="116"/>
      <c r="E568" s="116"/>
      <c r="F568" s="116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  <c r="AB568" s="117"/>
    </row>
    <row r="569">
      <c r="A569" s="114"/>
      <c r="B569" s="117"/>
      <c r="C569" s="116"/>
      <c r="D569" s="116"/>
      <c r="E569" s="116"/>
      <c r="F569" s="116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  <c r="AB569" s="117"/>
    </row>
    <row r="570">
      <c r="A570" s="114"/>
      <c r="B570" s="117"/>
      <c r="C570" s="116"/>
      <c r="D570" s="116"/>
      <c r="E570" s="116"/>
      <c r="F570" s="116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  <c r="AB570" s="117"/>
    </row>
    <row r="571">
      <c r="A571" s="114"/>
      <c r="B571" s="117"/>
      <c r="C571" s="116"/>
      <c r="D571" s="116"/>
      <c r="E571" s="116"/>
      <c r="F571" s="116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  <c r="AB571" s="117"/>
    </row>
    <row r="572">
      <c r="A572" s="114"/>
      <c r="B572" s="117"/>
      <c r="C572" s="116"/>
      <c r="D572" s="116"/>
      <c r="E572" s="116"/>
      <c r="F572" s="116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  <c r="AB572" s="117"/>
    </row>
    <row r="573">
      <c r="A573" s="114"/>
      <c r="B573" s="117"/>
      <c r="C573" s="116"/>
      <c r="D573" s="116"/>
      <c r="E573" s="116"/>
      <c r="F573" s="116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  <c r="AB573" s="117"/>
    </row>
    <row r="574">
      <c r="A574" s="114"/>
      <c r="B574" s="117"/>
      <c r="C574" s="116"/>
      <c r="D574" s="116"/>
      <c r="E574" s="116"/>
      <c r="F574" s="116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  <c r="AB574" s="117"/>
    </row>
    <row r="575">
      <c r="A575" s="114"/>
      <c r="B575" s="117"/>
      <c r="C575" s="116"/>
      <c r="D575" s="116"/>
      <c r="E575" s="116"/>
      <c r="F575" s="116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  <c r="AA575" s="117"/>
      <c r="AB575" s="117"/>
    </row>
    <row r="576">
      <c r="A576" s="114"/>
      <c r="B576" s="117"/>
      <c r="C576" s="116"/>
      <c r="D576" s="116"/>
      <c r="E576" s="116"/>
      <c r="F576" s="116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  <c r="AA576" s="117"/>
      <c r="AB576" s="117"/>
    </row>
    <row r="577">
      <c r="A577" s="114"/>
      <c r="B577" s="117"/>
      <c r="C577" s="116"/>
      <c r="D577" s="116"/>
      <c r="E577" s="116"/>
      <c r="F577" s="116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  <c r="AA577" s="117"/>
      <c r="AB577" s="117"/>
    </row>
    <row r="578">
      <c r="A578" s="114"/>
      <c r="B578" s="117"/>
      <c r="C578" s="116"/>
      <c r="D578" s="116"/>
      <c r="E578" s="116"/>
      <c r="F578" s="116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  <c r="AA578" s="117"/>
      <c r="AB578" s="117"/>
    </row>
    <row r="579">
      <c r="A579" s="114"/>
      <c r="B579" s="117"/>
      <c r="C579" s="116"/>
      <c r="D579" s="116"/>
      <c r="E579" s="116"/>
      <c r="F579" s="116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  <c r="AA579" s="117"/>
      <c r="AB579" s="117"/>
    </row>
    <row r="580">
      <c r="A580" s="114"/>
      <c r="B580" s="117"/>
      <c r="C580" s="116"/>
      <c r="D580" s="116"/>
      <c r="E580" s="116"/>
      <c r="F580" s="116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  <c r="AA580" s="117"/>
      <c r="AB580" s="117"/>
    </row>
    <row r="581">
      <c r="A581" s="114"/>
      <c r="B581" s="117"/>
      <c r="C581" s="116"/>
      <c r="D581" s="116"/>
      <c r="E581" s="116"/>
      <c r="F581" s="116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  <c r="AA581" s="117"/>
      <c r="AB581" s="117"/>
    </row>
    <row r="582">
      <c r="A582" s="114"/>
      <c r="B582" s="117"/>
      <c r="C582" s="116"/>
      <c r="D582" s="116"/>
      <c r="E582" s="116"/>
      <c r="F582" s="116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  <c r="AA582" s="117"/>
      <c r="AB582" s="117"/>
    </row>
    <row r="583">
      <c r="A583" s="114"/>
      <c r="B583" s="117"/>
      <c r="C583" s="116"/>
      <c r="D583" s="116"/>
      <c r="E583" s="116"/>
      <c r="F583" s="116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  <c r="AA583" s="117"/>
      <c r="AB583" s="117"/>
    </row>
    <row r="584">
      <c r="A584" s="114"/>
      <c r="B584" s="117"/>
      <c r="C584" s="116"/>
      <c r="D584" s="116"/>
      <c r="E584" s="116"/>
      <c r="F584" s="116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  <c r="AA584" s="117"/>
      <c r="AB584" s="117"/>
    </row>
    <row r="585">
      <c r="A585" s="114"/>
      <c r="B585" s="117"/>
      <c r="C585" s="116"/>
      <c r="D585" s="116"/>
      <c r="E585" s="116"/>
      <c r="F585" s="116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  <c r="AA585" s="117"/>
      <c r="AB585" s="117"/>
    </row>
    <row r="586">
      <c r="A586" s="114"/>
      <c r="B586" s="117"/>
      <c r="C586" s="116"/>
      <c r="D586" s="116"/>
      <c r="E586" s="116"/>
      <c r="F586" s="116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  <c r="AA586" s="117"/>
      <c r="AB586" s="117"/>
    </row>
    <row r="587">
      <c r="A587" s="114"/>
      <c r="B587" s="117"/>
      <c r="C587" s="116"/>
      <c r="D587" s="116"/>
      <c r="E587" s="116"/>
      <c r="F587" s="116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  <c r="AA587" s="117"/>
      <c r="AB587" s="117"/>
    </row>
    <row r="588">
      <c r="A588" s="114"/>
      <c r="B588" s="117"/>
      <c r="C588" s="116"/>
      <c r="D588" s="116"/>
      <c r="E588" s="116"/>
      <c r="F588" s="116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  <c r="AA588" s="117"/>
      <c r="AB588" s="117"/>
    </row>
    <row r="589">
      <c r="A589" s="114"/>
      <c r="B589" s="117"/>
      <c r="C589" s="116"/>
      <c r="D589" s="116"/>
      <c r="E589" s="116"/>
      <c r="F589" s="116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  <c r="AA589" s="117"/>
      <c r="AB589" s="117"/>
    </row>
    <row r="590">
      <c r="A590" s="114"/>
      <c r="B590" s="117"/>
      <c r="C590" s="116"/>
      <c r="D590" s="116"/>
      <c r="E590" s="116"/>
      <c r="F590" s="116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  <c r="AA590" s="117"/>
      <c r="AB590" s="117"/>
    </row>
    <row r="591">
      <c r="A591" s="114"/>
      <c r="B591" s="117"/>
      <c r="C591" s="116"/>
      <c r="D591" s="116"/>
      <c r="E591" s="116"/>
      <c r="F591" s="116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  <c r="AA591" s="117"/>
      <c r="AB591" s="117"/>
    </row>
    <row r="592">
      <c r="A592" s="114"/>
      <c r="B592" s="117"/>
      <c r="C592" s="116"/>
      <c r="D592" s="116"/>
      <c r="E592" s="116"/>
      <c r="F592" s="116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117"/>
      <c r="AB592" s="117"/>
    </row>
    <row r="593">
      <c r="A593" s="114"/>
      <c r="B593" s="117"/>
      <c r="C593" s="116"/>
      <c r="D593" s="116"/>
      <c r="E593" s="116"/>
      <c r="F593" s="116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  <c r="AA593" s="117"/>
      <c r="AB593" s="117"/>
    </row>
    <row r="594">
      <c r="A594" s="114"/>
      <c r="B594" s="117"/>
      <c r="C594" s="116"/>
      <c r="D594" s="116"/>
      <c r="E594" s="116"/>
      <c r="F594" s="116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  <c r="AA594" s="117"/>
      <c r="AB594" s="117"/>
    </row>
    <row r="595">
      <c r="A595" s="114"/>
      <c r="B595" s="117"/>
      <c r="C595" s="116"/>
      <c r="D595" s="116"/>
      <c r="E595" s="116"/>
      <c r="F595" s="116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  <c r="AA595" s="117"/>
      <c r="AB595" s="117"/>
    </row>
    <row r="596">
      <c r="A596" s="114"/>
      <c r="B596" s="117"/>
      <c r="C596" s="116"/>
      <c r="D596" s="116"/>
      <c r="E596" s="116"/>
      <c r="F596" s="116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  <c r="AA596" s="117"/>
      <c r="AB596" s="117"/>
    </row>
    <row r="597">
      <c r="A597" s="114"/>
      <c r="B597" s="117"/>
      <c r="C597" s="116"/>
      <c r="D597" s="116"/>
      <c r="E597" s="116"/>
      <c r="F597" s="116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  <c r="AA597" s="117"/>
      <c r="AB597" s="117"/>
    </row>
    <row r="598">
      <c r="A598" s="114"/>
      <c r="B598" s="117"/>
      <c r="C598" s="116"/>
      <c r="D598" s="116"/>
      <c r="E598" s="116"/>
      <c r="F598" s="116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  <c r="AA598" s="117"/>
      <c r="AB598" s="117"/>
    </row>
    <row r="599">
      <c r="A599" s="114"/>
      <c r="B599" s="117"/>
      <c r="C599" s="116"/>
      <c r="D599" s="116"/>
      <c r="E599" s="116"/>
      <c r="F599" s="116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  <c r="AA599" s="117"/>
      <c r="AB599" s="117"/>
    </row>
    <row r="600">
      <c r="A600" s="114"/>
      <c r="B600" s="117"/>
      <c r="C600" s="116"/>
      <c r="D600" s="116"/>
      <c r="E600" s="116"/>
      <c r="F600" s="116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  <c r="AA600" s="117"/>
      <c r="AB600" s="117"/>
    </row>
    <row r="601">
      <c r="A601" s="114"/>
      <c r="B601" s="117"/>
      <c r="C601" s="116"/>
      <c r="D601" s="116"/>
      <c r="E601" s="116"/>
      <c r="F601" s="116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  <c r="AA601" s="117"/>
      <c r="AB601" s="117"/>
    </row>
    <row r="602">
      <c r="A602" s="114"/>
      <c r="B602" s="117"/>
      <c r="C602" s="116"/>
      <c r="D602" s="116"/>
      <c r="E602" s="116"/>
      <c r="F602" s="116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  <c r="AA602" s="117"/>
      <c r="AB602" s="117"/>
    </row>
    <row r="603">
      <c r="A603" s="114"/>
      <c r="B603" s="117"/>
      <c r="C603" s="116"/>
      <c r="D603" s="116"/>
      <c r="E603" s="116"/>
      <c r="F603" s="116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  <c r="AA603" s="117"/>
      <c r="AB603" s="117"/>
    </row>
    <row r="604">
      <c r="A604" s="114"/>
      <c r="B604" s="117"/>
      <c r="C604" s="116"/>
      <c r="D604" s="116"/>
      <c r="E604" s="116"/>
      <c r="F604" s="116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  <c r="AA604" s="117"/>
      <c r="AB604" s="117"/>
    </row>
    <row r="605">
      <c r="A605" s="114"/>
      <c r="B605" s="117"/>
      <c r="C605" s="116"/>
      <c r="D605" s="116"/>
      <c r="E605" s="116"/>
      <c r="F605" s="116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  <c r="AA605" s="117"/>
      <c r="AB605" s="117"/>
    </row>
    <row r="606">
      <c r="A606" s="114"/>
      <c r="B606" s="117"/>
      <c r="C606" s="116"/>
      <c r="D606" s="116"/>
      <c r="E606" s="116"/>
      <c r="F606" s="116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  <c r="AA606" s="117"/>
      <c r="AB606" s="117"/>
    </row>
    <row r="607">
      <c r="A607" s="114"/>
      <c r="B607" s="117"/>
      <c r="C607" s="116"/>
      <c r="D607" s="116"/>
      <c r="E607" s="116"/>
      <c r="F607" s="116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  <c r="AA607" s="117"/>
      <c r="AB607" s="117"/>
    </row>
    <row r="608">
      <c r="A608" s="114"/>
      <c r="B608" s="117"/>
      <c r="C608" s="116"/>
      <c r="D608" s="116"/>
      <c r="E608" s="116"/>
      <c r="F608" s="116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  <c r="AA608" s="117"/>
      <c r="AB608" s="117"/>
    </row>
    <row r="609">
      <c r="A609" s="114"/>
      <c r="B609" s="117"/>
      <c r="C609" s="116"/>
      <c r="D609" s="116"/>
      <c r="E609" s="116"/>
      <c r="F609" s="116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  <c r="AA609" s="117"/>
      <c r="AB609" s="117"/>
    </row>
    <row r="610">
      <c r="A610" s="114"/>
      <c r="B610" s="117"/>
      <c r="C610" s="116"/>
      <c r="D610" s="116"/>
      <c r="E610" s="116"/>
      <c r="F610" s="116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  <c r="AA610" s="117"/>
      <c r="AB610" s="117"/>
    </row>
    <row r="611">
      <c r="A611" s="114"/>
      <c r="B611" s="117"/>
      <c r="C611" s="116"/>
      <c r="D611" s="116"/>
      <c r="E611" s="116"/>
      <c r="F611" s="116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  <c r="AA611" s="117"/>
      <c r="AB611" s="117"/>
    </row>
    <row r="612">
      <c r="A612" s="114"/>
      <c r="B612" s="117"/>
      <c r="C612" s="116"/>
      <c r="D612" s="116"/>
      <c r="E612" s="116"/>
      <c r="F612" s="116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  <c r="AA612" s="117"/>
      <c r="AB612" s="117"/>
    </row>
    <row r="613">
      <c r="A613" s="114"/>
      <c r="B613" s="117"/>
      <c r="C613" s="116"/>
      <c r="D613" s="116"/>
      <c r="E613" s="116"/>
      <c r="F613" s="116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  <c r="AA613" s="117"/>
      <c r="AB613" s="117"/>
    </row>
    <row r="614">
      <c r="A614" s="114"/>
      <c r="B614" s="117"/>
      <c r="C614" s="116"/>
      <c r="D614" s="116"/>
      <c r="E614" s="116"/>
      <c r="F614" s="116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  <c r="AA614" s="117"/>
      <c r="AB614" s="117"/>
    </row>
    <row r="615">
      <c r="A615" s="114"/>
      <c r="B615" s="117"/>
      <c r="C615" s="116"/>
      <c r="D615" s="116"/>
      <c r="E615" s="116"/>
      <c r="F615" s="116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  <c r="AA615" s="117"/>
      <c r="AB615" s="117"/>
    </row>
    <row r="616">
      <c r="A616" s="114"/>
      <c r="B616" s="117"/>
      <c r="C616" s="116"/>
      <c r="D616" s="116"/>
      <c r="E616" s="116"/>
      <c r="F616" s="116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  <c r="AA616" s="117"/>
      <c r="AB616" s="117"/>
    </row>
    <row r="617">
      <c r="A617" s="114"/>
      <c r="B617" s="117"/>
      <c r="C617" s="116"/>
      <c r="D617" s="116"/>
      <c r="E617" s="116"/>
      <c r="F617" s="116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  <c r="AA617" s="117"/>
      <c r="AB617" s="117"/>
    </row>
    <row r="618">
      <c r="A618" s="114"/>
      <c r="B618" s="117"/>
      <c r="C618" s="116"/>
      <c r="D618" s="116"/>
      <c r="E618" s="116"/>
      <c r="F618" s="116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  <c r="AA618" s="117"/>
      <c r="AB618" s="117"/>
    </row>
    <row r="619">
      <c r="A619" s="114"/>
      <c r="B619" s="117"/>
      <c r="C619" s="116"/>
      <c r="D619" s="116"/>
      <c r="E619" s="116"/>
      <c r="F619" s="116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  <c r="AA619" s="117"/>
      <c r="AB619" s="117"/>
    </row>
    <row r="620">
      <c r="A620" s="114"/>
      <c r="B620" s="117"/>
      <c r="C620" s="116"/>
      <c r="D620" s="116"/>
      <c r="E620" s="116"/>
      <c r="F620" s="116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  <c r="AA620" s="117"/>
      <c r="AB620" s="117"/>
    </row>
    <row r="621">
      <c r="A621" s="114"/>
      <c r="B621" s="117"/>
      <c r="C621" s="116"/>
      <c r="D621" s="116"/>
      <c r="E621" s="116"/>
      <c r="F621" s="116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  <c r="AA621" s="117"/>
      <c r="AB621" s="117"/>
    </row>
    <row r="622">
      <c r="A622" s="114"/>
      <c r="B622" s="117"/>
      <c r="C622" s="116"/>
      <c r="D622" s="116"/>
      <c r="E622" s="116"/>
      <c r="F622" s="116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  <c r="AA622" s="117"/>
      <c r="AB622" s="117"/>
    </row>
    <row r="623">
      <c r="A623" s="114"/>
      <c r="B623" s="117"/>
      <c r="C623" s="116"/>
      <c r="D623" s="116"/>
      <c r="E623" s="116"/>
      <c r="F623" s="116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  <c r="AA623" s="117"/>
      <c r="AB623" s="117"/>
    </row>
    <row r="624">
      <c r="A624" s="114"/>
      <c r="B624" s="117"/>
      <c r="C624" s="116"/>
      <c r="D624" s="116"/>
      <c r="E624" s="116"/>
      <c r="F624" s="116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  <c r="AA624" s="117"/>
      <c r="AB624" s="117"/>
    </row>
    <row r="625">
      <c r="A625" s="114"/>
      <c r="B625" s="117"/>
      <c r="C625" s="116"/>
      <c r="D625" s="116"/>
      <c r="E625" s="116"/>
      <c r="F625" s="116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  <c r="AA625" s="117"/>
      <c r="AB625" s="117"/>
    </row>
    <row r="626">
      <c r="A626" s="114"/>
      <c r="B626" s="117"/>
      <c r="C626" s="116"/>
      <c r="D626" s="116"/>
      <c r="E626" s="116"/>
      <c r="F626" s="116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  <c r="AA626" s="117"/>
      <c r="AB626" s="117"/>
    </row>
    <row r="627">
      <c r="A627" s="114"/>
      <c r="B627" s="117"/>
      <c r="C627" s="116"/>
      <c r="D627" s="116"/>
      <c r="E627" s="116"/>
      <c r="F627" s="116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  <c r="AA627" s="117"/>
      <c r="AB627" s="117"/>
    </row>
    <row r="628">
      <c r="A628" s="114"/>
      <c r="B628" s="117"/>
      <c r="C628" s="116"/>
      <c r="D628" s="116"/>
      <c r="E628" s="116"/>
      <c r="F628" s="116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  <c r="AA628" s="117"/>
      <c r="AB628" s="117"/>
    </row>
    <row r="629">
      <c r="A629" s="114"/>
      <c r="B629" s="117"/>
      <c r="C629" s="116"/>
      <c r="D629" s="116"/>
      <c r="E629" s="116"/>
      <c r="F629" s="116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  <c r="AA629" s="117"/>
      <c r="AB629" s="117"/>
    </row>
    <row r="630">
      <c r="A630" s="114"/>
      <c r="B630" s="117"/>
      <c r="C630" s="116"/>
      <c r="D630" s="116"/>
      <c r="E630" s="116"/>
      <c r="F630" s="116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117"/>
      <c r="AB630" s="117"/>
    </row>
    <row r="631">
      <c r="A631" s="114"/>
      <c r="B631" s="117"/>
      <c r="C631" s="116"/>
      <c r="D631" s="116"/>
      <c r="E631" s="116"/>
      <c r="F631" s="116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  <c r="AA631" s="117"/>
      <c r="AB631" s="117"/>
    </row>
    <row r="632">
      <c r="A632" s="114"/>
      <c r="B632" s="117"/>
      <c r="C632" s="116"/>
      <c r="D632" s="116"/>
      <c r="E632" s="116"/>
      <c r="F632" s="116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  <c r="AA632" s="117"/>
      <c r="AB632" s="117"/>
    </row>
    <row r="633">
      <c r="A633" s="114"/>
      <c r="B633" s="117"/>
      <c r="C633" s="116"/>
      <c r="D633" s="116"/>
      <c r="E633" s="116"/>
      <c r="F633" s="116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  <c r="AA633" s="117"/>
      <c r="AB633" s="117"/>
    </row>
    <row r="634">
      <c r="A634" s="114"/>
      <c r="B634" s="117"/>
      <c r="C634" s="116"/>
      <c r="D634" s="116"/>
      <c r="E634" s="116"/>
      <c r="F634" s="116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  <c r="AA634" s="117"/>
      <c r="AB634" s="117"/>
    </row>
    <row r="635">
      <c r="A635" s="114"/>
      <c r="B635" s="117"/>
      <c r="C635" s="116"/>
      <c r="D635" s="116"/>
      <c r="E635" s="116"/>
      <c r="F635" s="116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  <c r="AA635" s="117"/>
      <c r="AB635" s="117"/>
    </row>
    <row r="636">
      <c r="A636" s="114"/>
      <c r="B636" s="117"/>
      <c r="C636" s="116"/>
      <c r="D636" s="116"/>
      <c r="E636" s="116"/>
      <c r="F636" s="116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  <c r="AA636" s="117"/>
      <c r="AB636" s="117"/>
    </row>
    <row r="637">
      <c r="A637" s="114"/>
      <c r="B637" s="117"/>
      <c r="C637" s="116"/>
      <c r="D637" s="116"/>
      <c r="E637" s="116"/>
      <c r="F637" s="116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  <c r="AA637" s="117"/>
      <c r="AB637" s="117"/>
    </row>
    <row r="638">
      <c r="A638" s="114"/>
      <c r="B638" s="117"/>
      <c r="C638" s="116"/>
      <c r="D638" s="116"/>
      <c r="E638" s="116"/>
      <c r="F638" s="116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  <c r="AA638" s="117"/>
      <c r="AB638" s="117"/>
    </row>
    <row r="639">
      <c r="A639" s="114"/>
      <c r="B639" s="117"/>
      <c r="C639" s="116"/>
      <c r="D639" s="116"/>
      <c r="E639" s="116"/>
      <c r="F639" s="116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  <c r="AA639" s="117"/>
      <c r="AB639" s="117"/>
    </row>
    <row r="640">
      <c r="A640" s="114"/>
      <c r="B640" s="117"/>
      <c r="C640" s="116"/>
      <c r="D640" s="116"/>
      <c r="E640" s="116"/>
      <c r="F640" s="116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  <c r="AA640" s="117"/>
      <c r="AB640" s="117"/>
    </row>
    <row r="641">
      <c r="A641" s="114"/>
      <c r="B641" s="117"/>
      <c r="C641" s="116"/>
      <c r="D641" s="116"/>
      <c r="E641" s="116"/>
      <c r="F641" s="116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  <c r="AA641" s="117"/>
      <c r="AB641" s="117"/>
    </row>
    <row r="642">
      <c r="A642" s="114"/>
      <c r="B642" s="117"/>
      <c r="C642" s="116"/>
      <c r="D642" s="116"/>
      <c r="E642" s="116"/>
      <c r="F642" s="116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  <c r="AA642" s="117"/>
      <c r="AB642" s="117"/>
    </row>
    <row r="643">
      <c r="A643" s="114"/>
      <c r="B643" s="117"/>
      <c r="C643" s="116"/>
      <c r="D643" s="116"/>
      <c r="E643" s="116"/>
      <c r="F643" s="116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  <c r="AA643" s="117"/>
      <c r="AB643" s="117"/>
    </row>
    <row r="644">
      <c r="A644" s="114"/>
      <c r="B644" s="117"/>
      <c r="C644" s="116"/>
      <c r="D644" s="116"/>
      <c r="E644" s="116"/>
      <c r="F644" s="116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  <c r="AA644" s="117"/>
      <c r="AB644" s="117"/>
    </row>
    <row r="645">
      <c r="A645" s="114"/>
      <c r="B645" s="117"/>
      <c r="C645" s="116"/>
      <c r="D645" s="116"/>
      <c r="E645" s="116"/>
      <c r="F645" s="116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  <c r="AA645" s="117"/>
      <c r="AB645" s="117"/>
    </row>
    <row r="646">
      <c r="A646" s="114"/>
      <c r="B646" s="117"/>
      <c r="C646" s="116"/>
      <c r="D646" s="116"/>
      <c r="E646" s="116"/>
      <c r="F646" s="116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  <c r="AA646" s="117"/>
      <c r="AB646" s="117"/>
    </row>
    <row r="647">
      <c r="A647" s="114"/>
      <c r="B647" s="117"/>
      <c r="C647" s="116"/>
      <c r="D647" s="116"/>
      <c r="E647" s="116"/>
      <c r="F647" s="116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  <c r="AA647" s="117"/>
      <c r="AB647" s="117"/>
    </row>
    <row r="648">
      <c r="A648" s="114"/>
      <c r="B648" s="117"/>
      <c r="C648" s="116"/>
      <c r="D648" s="116"/>
      <c r="E648" s="116"/>
      <c r="F648" s="116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  <c r="AA648" s="117"/>
      <c r="AB648" s="117"/>
    </row>
    <row r="649">
      <c r="A649" s="114"/>
      <c r="B649" s="117"/>
      <c r="C649" s="116"/>
      <c r="D649" s="116"/>
      <c r="E649" s="116"/>
      <c r="F649" s="116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  <c r="AA649" s="117"/>
      <c r="AB649" s="117"/>
    </row>
    <row r="650">
      <c r="A650" s="114"/>
      <c r="B650" s="117"/>
      <c r="C650" s="116"/>
      <c r="D650" s="116"/>
      <c r="E650" s="116"/>
      <c r="F650" s="116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  <c r="AA650" s="117"/>
      <c r="AB650" s="117"/>
    </row>
    <row r="651">
      <c r="A651" s="114"/>
      <c r="B651" s="117"/>
      <c r="C651" s="116"/>
      <c r="D651" s="116"/>
      <c r="E651" s="116"/>
      <c r="F651" s="116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  <c r="AA651" s="117"/>
      <c r="AB651" s="117"/>
    </row>
    <row r="652">
      <c r="A652" s="114"/>
      <c r="B652" s="117"/>
      <c r="C652" s="116"/>
      <c r="D652" s="116"/>
      <c r="E652" s="116"/>
      <c r="F652" s="116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  <c r="AA652" s="117"/>
      <c r="AB652" s="117"/>
    </row>
    <row r="653">
      <c r="A653" s="114"/>
      <c r="B653" s="117"/>
      <c r="C653" s="116"/>
      <c r="D653" s="116"/>
      <c r="E653" s="116"/>
      <c r="F653" s="116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  <c r="AA653" s="117"/>
      <c r="AB653" s="117"/>
    </row>
    <row r="654">
      <c r="A654" s="114"/>
      <c r="B654" s="117"/>
      <c r="C654" s="116"/>
      <c r="D654" s="116"/>
      <c r="E654" s="116"/>
      <c r="F654" s="116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  <c r="AA654" s="117"/>
      <c r="AB654" s="117"/>
    </row>
    <row r="655">
      <c r="A655" s="114"/>
      <c r="B655" s="117"/>
      <c r="C655" s="116"/>
      <c r="D655" s="116"/>
      <c r="E655" s="116"/>
      <c r="F655" s="116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  <c r="AA655" s="117"/>
      <c r="AB655" s="117"/>
    </row>
    <row r="656">
      <c r="A656" s="114"/>
      <c r="B656" s="117"/>
      <c r="C656" s="116"/>
      <c r="D656" s="116"/>
      <c r="E656" s="116"/>
      <c r="F656" s="116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  <c r="AA656" s="117"/>
      <c r="AB656" s="117"/>
    </row>
    <row r="657">
      <c r="A657" s="114"/>
      <c r="B657" s="117"/>
      <c r="C657" s="116"/>
      <c r="D657" s="116"/>
      <c r="E657" s="116"/>
      <c r="F657" s="116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  <c r="AA657" s="117"/>
      <c r="AB657" s="117"/>
    </row>
    <row r="658">
      <c r="A658" s="114"/>
      <c r="B658" s="117"/>
      <c r="C658" s="116"/>
      <c r="D658" s="116"/>
      <c r="E658" s="116"/>
      <c r="F658" s="116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  <c r="AA658" s="117"/>
      <c r="AB658" s="117"/>
    </row>
    <row r="659">
      <c r="A659" s="114"/>
      <c r="B659" s="117"/>
      <c r="C659" s="116"/>
      <c r="D659" s="116"/>
      <c r="E659" s="116"/>
      <c r="F659" s="116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  <c r="AA659" s="117"/>
      <c r="AB659" s="117"/>
    </row>
    <row r="660">
      <c r="A660" s="114"/>
      <c r="B660" s="117"/>
      <c r="C660" s="116"/>
      <c r="D660" s="116"/>
      <c r="E660" s="116"/>
      <c r="F660" s="116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  <c r="AA660" s="117"/>
      <c r="AB660" s="117"/>
    </row>
    <row r="661">
      <c r="A661" s="114"/>
      <c r="B661" s="117"/>
      <c r="C661" s="116"/>
      <c r="D661" s="116"/>
      <c r="E661" s="116"/>
      <c r="F661" s="116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17"/>
      <c r="Y661" s="117"/>
      <c r="Z661" s="117"/>
      <c r="AA661" s="117"/>
      <c r="AB661" s="117"/>
    </row>
    <row r="662">
      <c r="A662" s="114"/>
      <c r="B662" s="117"/>
      <c r="C662" s="116"/>
      <c r="D662" s="116"/>
      <c r="E662" s="116"/>
      <c r="F662" s="116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  <c r="AA662" s="117"/>
      <c r="AB662" s="117"/>
    </row>
    <row r="663">
      <c r="A663" s="114"/>
      <c r="B663" s="117"/>
      <c r="C663" s="116"/>
      <c r="D663" s="116"/>
      <c r="E663" s="116"/>
      <c r="F663" s="116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  <c r="AA663" s="117"/>
      <c r="AB663" s="117"/>
    </row>
    <row r="664">
      <c r="A664" s="114"/>
      <c r="B664" s="117"/>
      <c r="C664" s="116"/>
      <c r="D664" s="116"/>
      <c r="E664" s="116"/>
      <c r="F664" s="116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  <c r="AA664" s="117"/>
      <c r="AB664" s="117"/>
    </row>
    <row r="665">
      <c r="A665" s="114"/>
      <c r="B665" s="117"/>
      <c r="C665" s="116"/>
      <c r="D665" s="116"/>
      <c r="E665" s="116"/>
      <c r="F665" s="116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  <c r="AA665" s="117"/>
      <c r="AB665" s="117"/>
    </row>
    <row r="666">
      <c r="A666" s="114"/>
      <c r="B666" s="117"/>
      <c r="C666" s="116"/>
      <c r="D666" s="116"/>
      <c r="E666" s="116"/>
      <c r="F666" s="116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  <c r="AA666" s="117"/>
      <c r="AB666" s="117"/>
    </row>
    <row r="667">
      <c r="A667" s="114"/>
      <c r="B667" s="117"/>
      <c r="C667" s="116"/>
      <c r="D667" s="116"/>
      <c r="E667" s="116"/>
      <c r="F667" s="116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  <c r="AA667" s="117"/>
      <c r="AB667" s="117"/>
    </row>
    <row r="668">
      <c r="A668" s="114"/>
      <c r="B668" s="117"/>
      <c r="C668" s="116"/>
      <c r="D668" s="116"/>
      <c r="E668" s="116"/>
      <c r="F668" s="116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117"/>
      <c r="AB668" s="117"/>
    </row>
    <row r="669">
      <c r="A669" s="114"/>
      <c r="B669" s="117"/>
      <c r="C669" s="116"/>
      <c r="D669" s="116"/>
      <c r="E669" s="116"/>
      <c r="F669" s="116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  <c r="AA669" s="117"/>
      <c r="AB669" s="117"/>
    </row>
    <row r="670">
      <c r="A670" s="114"/>
      <c r="B670" s="117"/>
      <c r="C670" s="116"/>
      <c r="D670" s="116"/>
      <c r="E670" s="116"/>
      <c r="F670" s="116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  <c r="AA670" s="117"/>
      <c r="AB670" s="117"/>
    </row>
    <row r="671">
      <c r="A671" s="114"/>
      <c r="B671" s="117"/>
      <c r="C671" s="116"/>
      <c r="D671" s="116"/>
      <c r="E671" s="116"/>
      <c r="F671" s="116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  <c r="AA671" s="117"/>
      <c r="AB671" s="117"/>
    </row>
    <row r="672">
      <c r="A672" s="114"/>
      <c r="B672" s="117"/>
      <c r="C672" s="116"/>
      <c r="D672" s="116"/>
      <c r="E672" s="116"/>
      <c r="F672" s="116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  <c r="AA672" s="117"/>
      <c r="AB672" s="117"/>
    </row>
    <row r="673">
      <c r="A673" s="114"/>
      <c r="B673" s="117"/>
      <c r="C673" s="116"/>
      <c r="D673" s="116"/>
      <c r="E673" s="116"/>
      <c r="F673" s="116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17"/>
      <c r="Y673" s="117"/>
      <c r="Z673" s="117"/>
      <c r="AA673" s="117"/>
      <c r="AB673" s="117"/>
    </row>
    <row r="674">
      <c r="A674" s="114"/>
      <c r="B674" s="117"/>
      <c r="C674" s="116"/>
      <c r="D674" s="116"/>
      <c r="E674" s="116"/>
      <c r="F674" s="116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  <c r="AA674" s="117"/>
      <c r="AB674" s="117"/>
    </row>
    <row r="675">
      <c r="A675" s="114"/>
      <c r="B675" s="117"/>
      <c r="C675" s="116"/>
      <c r="D675" s="116"/>
      <c r="E675" s="116"/>
      <c r="F675" s="116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  <c r="AA675" s="117"/>
      <c r="AB675" s="117"/>
    </row>
    <row r="676">
      <c r="A676" s="114"/>
      <c r="B676" s="117"/>
      <c r="C676" s="116"/>
      <c r="D676" s="116"/>
      <c r="E676" s="116"/>
      <c r="F676" s="116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  <c r="AA676" s="117"/>
      <c r="AB676" s="117"/>
    </row>
    <row r="677">
      <c r="A677" s="114"/>
      <c r="B677" s="117"/>
      <c r="C677" s="116"/>
      <c r="D677" s="116"/>
      <c r="E677" s="116"/>
      <c r="F677" s="116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  <c r="AA677" s="117"/>
      <c r="AB677" s="117"/>
    </row>
    <row r="678">
      <c r="A678" s="114"/>
      <c r="B678" s="117"/>
      <c r="C678" s="116"/>
      <c r="D678" s="116"/>
      <c r="E678" s="116"/>
      <c r="F678" s="116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  <c r="AA678" s="117"/>
      <c r="AB678" s="117"/>
    </row>
    <row r="679">
      <c r="A679" s="114"/>
      <c r="B679" s="117"/>
      <c r="C679" s="116"/>
      <c r="D679" s="116"/>
      <c r="E679" s="116"/>
      <c r="F679" s="116"/>
      <c r="G679" s="117"/>
      <c r="H679" s="117"/>
      <c r="I679" s="11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  <c r="AA679" s="117"/>
      <c r="AB679" s="117"/>
    </row>
    <row r="680">
      <c r="A680" s="114"/>
      <c r="B680" s="117"/>
      <c r="C680" s="116"/>
      <c r="D680" s="116"/>
      <c r="E680" s="116"/>
      <c r="F680" s="116"/>
      <c r="G680" s="117"/>
      <c r="H680" s="117"/>
      <c r="I680" s="117"/>
      <c r="J680" s="117"/>
      <c r="K680" s="117"/>
      <c r="L680" s="117"/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  <c r="AA680" s="117"/>
      <c r="AB680" s="117"/>
    </row>
    <row r="681">
      <c r="A681" s="114"/>
      <c r="B681" s="117"/>
      <c r="C681" s="116"/>
      <c r="D681" s="116"/>
      <c r="E681" s="116"/>
      <c r="F681" s="116"/>
      <c r="G681" s="117"/>
      <c r="H681" s="117"/>
      <c r="I681" s="117"/>
      <c r="J681" s="117"/>
      <c r="K681" s="117"/>
      <c r="L681" s="117"/>
      <c r="M681" s="117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  <c r="AA681" s="117"/>
      <c r="AB681" s="117"/>
    </row>
    <row r="682">
      <c r="A682" s="114"/>
      <c r="B682" s="117"/>
      <c r="C682" s="116"/>
      <c r="D682" s="116"/>
      <c r="E682" s="116"/>
      <c r="F682" s="116"/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  <c r="AA682" s="117"/>
      <c r="AB682" s="117"/>
    </row>
    <row r="683">
      <c r="A683" s="114"/>
      <c r="B683" s="117"/>
      <c r="C683" s="116"/>
      <c r="D683" s="116"/>
      <c r="E683" s="116"/>
      <c r="F683" s="116"/>
      <c r="G683" s="117"/>
      <c r="H683" s="117"/>
      <c r="I683" s="117"/>
      <c r="J683" s="117"/>
      <c r="K683" s="117"/>
      <c r="L683" s="117"/>
      <c r="M683" s="117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  <c r="AA683" s="117"/>
      <c r="AB683" s="117"/>
    </row>
    <row r="684">
      <c r="A684" s="114"/>
      <c r="B684" s="117"/>
      <c r="C684" s="116"/>
      <c r="D684" s="116"/>
      <c r="E684" s="116"/>
      <c r="F684" s="116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  <c r="AA684" s="117"/>
      <c r="AB684" s="117"/>
    </row>
    <row r="685">
      <c r="A685" s="114"/>
      <c r="B685" s="117"/>
      <c r="C685" s="116"/>
      <c r="D685" s="116"/>
      <c r="E685" s="116"/>
      <c r="F685" s="116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17"/>
      <c r="Y685" s="117"/>
      <c r="Z685" s="117"/>
      <c r="AA685" s="117"/>
      <c r="AB685" s="117"/>
    </row>
    <row r="686">
      <c r="A686" s="114"/>
      <c r="B686" s="117"/>
      <c r="C686" s="116"/>
      <c r="D686" s="116"/>
      <c r="E686" s="116"/>
      <c r="F686" s="116"/>
      <c r="G686" s="117"/>
      <c r="H686" s="117"/>
      <c r="I686" s="117"/>
      <c r="J686" s="117"/>
      <c r="K686" s="117"/>
      <c r="L686" s="117"/>
      <c r="M686" s="117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  <c r="AA686" s="117"/>
      <c r="AB686" s="117"/>
    </row>
    <row r="687">
      <c r="A687" s="114"/>
      <c r="B687" s="117"/>
      <c r="C687" s="116"/>
      <c r="D687" s="116"/>
      <c r="E687" s="116"/>
      <c r="F687" s="116"/>
      <c r="G687" s="117"/>
      <c r="H687" s="117"/>
      <c r="I687" s="117"/>
      <c r="J687" s="117"/>
      <c r="K687" s="117"/>
      <c r="L687" s="117"/>
      <c r="M687" s="117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  <c r="AA687" s="117"/>
      <c r="AB687" s="117"/>
    </row>
    <row r="688">
      <c r="A688" s="114"/>
      <c r="B688" s="117"/>
      <c r="C688" s="116"/>
      <c r="D688" s="116"/>
      <c r="E688" s="116"/>
      <c r="F688" s="116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  <c r="AA688" s="117"/>
      <c r="AB688" s="117"/>
    </row>
    <row r="689">
      <c r="A689" s="114"/>
      <c r="B689" s="117"/>
      <c r="C689" s="116"/>
      <c r="D689" s="116"/>
      <c r="E689" s="116"/>
      <c r="F689" s="116"/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  <c r="AA689" s="117"/>
      <c r="AB689" s="117"/>
    </row>
    <row r="690">
      <c r="A690" s="114"/>
      <c r="B690" s="117"/>
      <c r="C690" s="116"/>
      <c r="D690" s="116"/>
      <c r="E690" s="116"/>
      <c r="F690" s="116"/>
      <c r="G690" s="117"/>
      <c r="H690" s="117"/>
      <c r="I690" s="11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  <c r="AA690" s="117"/>
      <c r="AB690" s="117"/>
    </row>
    <row r="691">
      <c r="A691" s="114"/>
      <c r="B691" s="117"/>
      <c r="C691" s="116"/>
      <c r="D691" s="116"/>
      <c r="E691" s="116"/>
      <c r="F691" s="116"/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  <c r="AA691" s="117"/>
      <c r="AB691" s="117"/>
    </row>
    <row r="692">
      <c r="A692" s="114"/>
      <c r="B692" s="117"/>
      <c r="C692" s="116"/>
      <c r="D692" s="116"/>
      <c r="E692" s="116"/>
      <c r="F692" s="116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  <c r="AA692" s="117"/>
      <c r="AB692" s="117"/>
    </row>
    <row r="693">
      <c r="A693" s="114"/>
      <c r="B693" s="117"/>
      <c r="C693" s="116"/>
      <c r="D693" s="116"/>
      <c r="E693" s="116"/>
      <c r="F693" s="116"/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  <c r="AA693" s="117"/>
      <c r="AB693" s="117"/>
    </row>
    <row r="694">
      <c r="A694" s="114"/>
      <c r="B694" s="117"/>
      <c r="C694" s="116"/>
      <c r="D694" s="116"/>
      <c r="E694" s="116"/>
      <c r="F694" s="116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  <c r="AA694" s="117"/>
      <c r="AB694" s="117"/>
    </row>
    <row r="695">
      <c r="A695" s="114"/>
      <c r="B695" s="117"/>
      <c r="C695" s="116"/>
      <c r="D695" s="116"/>
      <c r="E695" s="116"/>
      <c r="F695" s="116"/>
      <c r="G695" s="117"/>
      <c r="H695" s="117"/>
      <c r="I695" s="117"/>
      <c r="J695" s="117"/>
      <c r="K695" s="117"/>
      <c r="L695" s="117"/>
      <c r="M695" s="117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  <c r="AA695" s="117"/>
      <c r="AB695" s="117"/>
    </row>
    <row r="696">
      <c r="A696" s="114"/>
      <c r="B696" s="117"/>
      <c r="C696" s="116"/>
      <c r="D696" s="116"/>
      <c r="E696" s="116"/>
      <c r="F696" s="116"/>
      <c r="G696" s="117"/>
      <c r="H696" s="117"/>
      <c r="I696" s="11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  <c r="AA696" s="117"/>
      <c r="AB696" s="117"/>
    </row>
    <row r="697">
      <c r="A697" s="114"/>
      <c r="B697" s="117"/>
      <c r="C697" s="116"/>
      <c r="D697" s="116"/>
      <c r="E697" s="116"/>
      <c r="F697" s="116"/>
      <c r="G697" s="117"/>
      <c r="H697" s="117"/>
      <c r="I697" s="117"/>
      <c r="J697" s="117"/>
      <c r="K697" s="117"/>
      <c r="L697" s="117"/>
      <c r="M697" s="117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  <c r="AA697" s="117"/>
      <c r="AB697" s="117"/>
    </row>
    <row r="698">
      <c r="A698" s="114"/>
      <c r="B698" s="117"/>
      <c r="C698" s="116"/>
      <c r="D698" s="116"/>
      <c r="E698" s="116"/>
      <c r="F698" s="116"/>
      <c r="G698" s="117"/>
      <c r="H698" s="117"/>
      <c r="I698" s="117"/>
      <c r="J698" s="117"/>
      <c r="K698" s="117"/>
      <c r="L698" s="117"/>
      <c r="M698" s="117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  <c r="AA698" s="117"/>
      <c r="AB698" s="117"/>
    </row>
    <row r="699">
      <c r="A699" s="114"/>
      <c r="B699" s="117"/>
      <c r="C699" s="116"/>
      <c r="D699" s="116"/>
      <c r="E699" s="116"/>
      <c r="F699" s="116"/>
      <c r="G699" s="117"/>
      <c r="H699" s="117"/>
      <c r="I699" s="11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  <c r="AA699" s="117"/>
      <c r="AB699" s="117"/>
    </row>
    <row r="700">
      <c r="A700" s="114"/>
      <c r="B700" s="117"/>
      <c r="C700" s="116"/>
      <c r="D700" s="116"/>
      <c r="E700" s="116"/>
      <c r="F700" s="116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  <c r="AA700" s="117"/>
      <c r="AB700" s="117"/>
    </row>
    <row r="701">
      <c r="A701" s="114"/>
      <c r="B701" s="117"/>
      <c r="C701" s="116"/>
      <c r="D701" s="116"/>
      <c r="E701" s="116"/>
      <c r="F701" s="116"/>
      <c r="G701" s="117"/>
      <c r="H701" s="117"/>
      <c r="I701" s="117"/>
      <c r="J701" s="117"/>
      <c r="K701" s="117"/>
      <c r="L701" s="117"/>
      <c r="M701" s="117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  <c r="AA701" s="117"/>
      <c r="AB701" s="117"/>
    </row>
    <row r="702">
      <c r="A702" s="114"/>
      <c r="B702" s="117"/>
      <c r="C702" s="116"/>
      <c r="D702" s="116"/>
      <c r="E702" s="116"/>
      <c r="F702" s="116"/>
      <c r="G702" s="117"/>
      <c r="H702" s="117"/>
      <c r="I702" s="117"/>
      <c r="J702" s="117"/>
      <c r="K702" s="117"/>
      <c r="L702" s="117"/>
      <c r="M702" s="117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  <c r="AA702" s="117"/>
      <c r="AB702" s="117"/>
    </row>
    <row r="703">
      <c r="A703" s="114"/>
      <c r="B703" s="117"/>
      <c r="C703" s="116"/>
      <c r="D703" s="116"/>
      <c r="E703" s="116"/>
      <c r="F703" s="116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  <c r="AA703" s="117"/>
      <c r="AB703" s="117"/>
    </row>
    <row r="704">
      <c r="A704" s="114"/>
      <c r="B704" s="117"/>
      <c r="C704" s="116"/>
      <c r="D704" s="116"/>
      <c r="E704" s="116"/>
      <c r="F704" s="116"/>
      <c r="G704" s="117"/>
      <c r="H704" s="117"/>
      <c r="I704" s="11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  <c r="AA704" s="117"/>
      <c r="AB704" s="117"/>
    </row>
    <row r="705">
      <c r="A705" s="114"/>
      <c r="B705" s="117"/>
      <c r="C705" s="116"/>
      <c r="D705" s="116"/>
      <c r="E705" s="116"/>
      <c r="F705" s="116"/>
      <c r="G705" s="117"/>
      <c r="H705" s="117"/>
      <c r="I705" s="117"/>
      <c r="J705" s="117"/>
      <c r="K705" s="117"/>
      <c r="L705" s="117"/>
      <c r="M705" s="117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  <c r="AA705" s="117"/>
      <c r="AB705" s="117"/>
    </row>
    <row r="706">
      <c r="A706" s="114"/>
      <c r="B706" s="117"/>
      <c r="C706" s="116"/>
      <c r="D706" s="116"/>
      <c r="E706" s="116"/>
      <c r="F706" s="116"/>
      <c r="G706" s="117"/>
      <c r="H706" s="117"/>
      <c r="I706" s="117"/>
      <c r="J706" s="117"/>
      <c r="K706" s="117"/>
      <c r="L706" s="117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117"/>
      <c r="AB706" s="117"/>
    </row>
    <row r="707">
      <c r="A707" s="114"/>
      <c r="B707" s="117"/>
      <c r="C707" s="116"/>
      <c r="D707" s="116"/>
      <c r="E707" s="116"/>
      <c r="F707" s="116"/>
      <c r="G707" s="117"/>
      <c r="H707" s="117"/>
      <c r="I707" s="117"/>
      <c r="J707" s="117"/>
      <c r="K707" s="117"/>
      <c r="L707" s="117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  <c r="AA707" s="117"/>
      <c r="AB707" s="117"/>
    </row>
    <row r="708">
      <c r="A708" s="114"/>
      <c r="B708" s="117"/>
      <c r="C708" s="116"/>
      <c r="D708" s="116"/>
      <c r="E708" s="116"/>
      <c r="F708" s="116"/>
      <c r="G708" s="117"/>
      <c r="H708" s="117"/>
      <c r="I708" s="117"/>
      <c r="J708" s="117"/>
      <c r="K708" s="117"/>
      <c r="L708" s="117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  <c r="AA708" s="117"/>
      <c r="AB708" s="117"/>
    </row>
    <row r="709">
      <c r="A709" s="114"/>
      <c r="B709" s="117"/>
      <c r="C709" s="116"/>
      <c r="D709" s="116"/>
      <c r="E709" s="116"/>
      <c r="F709" s="116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  <c r="AA709" s="117"/>
      <c r="AB709" s="117"/>
    </row>
    <row r="710">
      <c r="A710" s="114"/>
      <c r="B710" s="117"/>
      <c r="C710" s="116"/>
      <c r="D710" s="116"/>
      <c r="E710" s="116"/>
      <c r="F710" s="116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  <c r="AA710" s="117"/>
      <c r="AB710" s="117"/>
    </row>
    <row r="711">
      <c r="A711" s="114"/>
      <c r="B711" s="117"/>
      <c r="C711" s="116"/>
      <c r="D711" s="116"/>
      <c r="E711" s="116"/>
      <c r="F711" s="116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  <c r="AA711" s="117"/>
      <c r="AB711" s="117"/>
    </row>
    <row r="712">
      <c r="A712" s="114"/>
      <c r="B712" s="117"/>
      <c r="C712" s="116"/>
      <c r="D712" s="116"/>
      <c r="E712" s="116"/>
      <c r="F712" s="116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  <c r="AA712" s="117"/>
      <c r="AB712" s="117"/>
    </row>
    <row r="713">
      <c r="A713" s="114"/>
      <c r="B713" s="117"/>
      <c r="C713" s="116"/>
      <c r="D713" s="116"/>
      <c r="E713" s="116"/>
      <c r="F713" s="116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  <c r="AA713" s="117"/>
      <c r="AB713" s="117"/>
    </row>
    <row r="714">
      <c r="A714" s="114"/>
      <c r="B714" s="117"/>
      <c r="C714" s="116"/>
      <c r="D714" s="116"/>
      <c r="E714" s="116"/>
      <c r="F714" s="116"/>
      <c r="G714" s="117"/>
      <c r="H714" s="117"/>
      <c r="I714" s="117"/>
      <c r="J714" s="117"/>
      <c r="K714" s="117"/>
      <c r="L714" s="117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  <c r="AA714" s="117"/>
      <c r="AB714" s="117"/>
    </row>
    <row r="715">
      <c r="A715" s="114"/>
      <c r="B715" s="117"/>
      <c r="C715" s="116"/>
      <c r="D715" s="116"/>
      <c r="E715" s="116"/>
      <c r="F715" s="116"/>
      <c r="G715" s="117"/>
      <c r="H715" s="117"/>
      <c r="I715" s="117"/>
      <c r="J715" s="117"/>
      <c r="K715" s="117"/>
      <c r="L715" s="117"/>
      <c r="M715" s="117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  <c r="AA715" s="117"/>
      <c r="AB715" s="117"/>
    </row>
    <row r="716">
      <c r="A716" s="114"/>
      <c r="B716" s="117"/>
      <c r="C716" s="116"/>
      <c r="D716" s="116"/>
      <c r="E716" s="116"/>
      <c r="F716" s="116"/>
      <c r="G716" s="117"/>
      <c r="H716" s="117"/>
      <c r="I716" s="117"/>
      <c r="J716" s="117"/>
      <c r="K716" s="117"/>
      <c r="L716" s="117"/>
      <c r="M716" s="117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  <c r="AA716" s="117"/>
      <c r="AB716" s="117"/>
    </row>
    <row r="717">
      <c r="A717" s="114"/>
      <c r="B717" s="117"/>
      <c r="C717" s="116"/>
      <c r="D717" s="116"/>
      <c r="E717" s="116"/>
      <c r="F717" s="116"/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  <c r="AA717" s="117"/>
      <c r="AB717" s="117"/>
    </row>
    <row r="718">
      <c r="A718" s="114"/>
      <c r="B718" s="117"/>
      <c r="C718" s="116"/>
      <c r="D718" s="116"/>
      <c r="E718" s="116"/>
      <c r="F718" s="116"/>
      <c r="G718" s="117"/>
      <c r="H718" s="117"/>
      <c r="I718" s="117"/>
      <c r="J718" s="117"/>
      <c r="K718" s="117"/>
      <c r="L718" s="117"/>
      <c r="M718" s="117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  <c r="AA718" s="117"/>
      <c r="AB718" s="117"/>
    </row>
    <row r="719">
      <c r="A719" s="114"/>
      <c r="B719" s="117"/>
      <c r="C719" s="116"/>
      <c r="D719" s="116"/>
      <c r="E719" s="116"/>
      <c r="F719" s="116"/>
      <c r="G719" s="117"/>
      <c r="H719" s="117"/>
      <c r="I719" s="117"/>
      <c r="J719" s="117"/>
      <c r="K719" s="117"/>
      <c r="L719" s="117"/>
      <c r="M719" s="117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  <c r="AA719" s="117"/>
      <c r="AB719" s="117"/>
    </row>
    <row r="720">
      <c r="A720" s="114"/>
      <c r="B720" s="117"/>
      <c r="C720" s="116"/>
      <c r="D720" s="116"/>
      <c r="E720" s="116"/>
      <c r="F720" s="116"/>
      <c r="G720" s="117"/>
      <c r="H720" s="117"/>
      <c r="I720" s="117"/>
      <c r="J720" s="117"/>
      <c r="K720" s="117"/>
      <c r="L720" s="117"/>
      <c r="M720" s="117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  <c r="AA720" s="117"/>
      <c r="AB720" s="117"/>
    </row>
    <row r="721">
      <c r="A721" s="114"/>
      <c r="B721" s="117"/>
      <c r="C721" s="116"/>
      <c r="D721" s="116"/>
      <c r="E721" s="116"/>
      <c r="F721" s="116"/>
      <c r="G721" s="117"/>
      <c r="H721" s="117"/>
      <c r="I721" s="117"/>
      <c r="J721" s="117"/>
      <c r="K721" s="117"/>
      <c r="L721" s="117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  <c r="AA721" s="117"/>
      <c r="AB721" s="117"/>
    </row>
    <row r="722">
      <c r="A722" s="114"/>
      <c r="B722" s="117"/>
      <c r="C722" s="116"/>
      <c r="D722" s="116"/>
      <c r="E722" s="116"/>
      <c r="F722" s="116"/>
      <c r="G722" s="117"/>
      <c r="H722" s="117"/>
      <c r="I722" s="117"/>
      <c r="J722" s="117"/>
      <c r="K722" s="117"/>
      <c r="L722" s="117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  <c r="AA722" s="117"/>
      <c r="AB722" s="117"/>
    </row>
    <row r="723">
      <c r="A723" s="114"/>
      <c r="B723" s="117"/>
      <c r="C723" s="116"/>
      <c r="D723" s="116"/>
      <c r="E723" s="116"/>
      <c r="F723" s="116"/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  <c r="AA723" s="117"/>
      <c r="AB723" s="117"/>
    </row>
    <row r="724">
      <c r="A724" s="114"/>
      <c r="B724" s="117"/>
      <c r="C724" s="116"/>
      <c r="D724" s="116"/>
      <c r="E724" s="116"/>
      <c r="F724" s="116"/>
      <c r="G724" s="117"/>
      <c r="H724" s="117"/>
      <c r="I724" s="117"/>
      <c r="J724" s="117"/>
      <c r="K724" s="117"/>
      <c r="L724" s="117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  <c r="AA724" s="117"/>
      <c r="AB724" s="117"/>
    </row>
    <row r="725">
      <c r="A725" s="114"/>
      <c r="B725" s="117"/>
      <c r="C725" s="116"/>
      <c r="D725" s="116"/>
      <c r="E725" s="116"/>
      <c r="F725" s="116"/>
      <c r="G725" s="117"/>
      <c r="H725" s="117"/>
      <c r="I725" s="117"/>
      <c r="J725" s="117"/>
      <c r="K725" s="117"/>
      <c r="L725" s="117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  <c r="AA725" s="117"/>
      <c r="AB725" s="117"/>
    </row>
    <row r="726">
      <c r="A726" s="114"/>
      <c r="B726" s="117"/>
      <c r="C726" s="116"/>
      <c r="D726" s="116"/>
      <c r="E726" s="116"/>
      <c r="F726" s="116"/>
      <c r="G726" s="117"/>
      <c r="H726" s="117"/>
      <c r="I726" s="117"/>
      <c r="J726" s="117"/>
      <c r="K726" s="117"/>
      <c r="L726" s="117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  <c r="AA726" s="117"/>
      <c r="AB726" s="117"/>
    </row>
    <row r="727">
      <c r="A727" s="114"/>
      <c r="B727" s="117"/>
      <c r="C727" s="116"/>
      <c r="D727" s="116"/>
      <c r="E727" s="116"/>
      <c r="F727" s="116"/>
      <c r="G727" s="117"/>
      <c r="H727" s="117"/>
      <c r="I727" s="117"/>
      <c r="J727" s="117"/>
      <c r="K727" s="117"/>
      <c r="L727" s="117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  <c r="AA727" s="117"/>
      <c r="AB727" s="117"/>
    </row>
    <row r="728">
      <c r="A728" s="114"/>
      <c r="B728" s="117"/>
      <c r="C728" s="116"/>
      <c r="D728" s="116"/>
      <c r="E728" s="116"/>
      <c r="F728" s="116"/>
      <c r="G728" s="117"/>
      <c r="H728" s="117"/>
      <c r="I728" s="117"/>
      <c r="J728" s="117"/>
      <c r="K728" s="117"/>
      <c r="L728" s="117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  <c r="AA728" s="117"/>
      <c r="AB728" s="117"/>
    </row>
    <row r="729">
      <c r="A729" s="114"/>
      <c r="B729" s="117"/>
      <c r="C729" s="116"/>
      <c r="D729" s="116"/>
      <c r="E729" s="116"/>
      <c r="F729" s="116"/>
      <c r="G729" s="117"/>
      <c r="H729" s="117"/>
      <c r="I729" s="117"/>
      <c r="J729" s="117"/>
      <c r="K729" s="117"/>
      <c r="L729" s="117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  <c r="AA729" s="117"/>
      <c r="AB729" s="117"/>
    </row>
    <row r="730">
      <c r="A730" s="114"/>
      <c r="B730" s="117"/>
      <c r="C730" s="116"/>
      <c r="D730" s="116"/>
      <c r="E730" s="116"/>
      <c r="F730" s="116"/>
      <c r="G730" s="117"/>
      <c r="H730" s="117"/>
      <c r="I730" s="117"/>
      <c r="J730" s="117"/>
      <c r="K730" s="117"/>
      <c r="L730" s="117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  <c r="AA730" s="117"/>
      <c r="AB730" s="117"/>
    </row>
    <row r="731">
      <c r="A731" s="114"/>
      <c r="B731" s="117"/>
      <c r="C731" s="116"/>
      <c r="D731" s="116"/>
      <c r="E731" s="116"/>
      <c r="F731" s="116"/>
      <c r="G731" s="117"/>
      <c r="H731" s="117"/>
      <c r="I731" s="117"/>
      <c r="J731" s="117"/>
      <c r="K731" s="117"/>
      <c r="L731" s="117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  <c r="AA731" s="117"/>
      <c r="AB731" s="117"/>
    </row>
    <row r="732">
      <c r="A732" s="114"/>
      <c r="B732" s="117"/>
      <c r="C732" s="116"/>
      <c r="D732" s="116"/>
      <c r="E732" s="116"/>
      <c r="F732" s="116"/>
      <c r="G732" s="117"/>
      <c r="H732" s="117"/>
      <c r="I732" s="117"/>
      <c r="J732" s="117"/>
      <c r="K732" s="117"/>
      <c r="L732" s="117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  <c r="AA732" s="117"/>
      <c r="AB732" s="117"/>
    </row>
    <row r="733">
      <c r="A733" s="114"/>
      <c r="B733" s="117"/>
      <c r="C733" s="116"/>
      <c r="D733" s="116"/>
      <c r="E733" s="116"/>
      <c r="F733" s="116"/>
      <c r="G733" s="117"/>
      <c r="H733" s="117"/>
      <c r="I733" s="117"/>
      <c r="J733" s="117"/>
      <c r="K733" s="117"/>
      <c r="L733" s="117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  <c r="AA733" s="117"/>
      <c r="AB733" s="117"/>
    </row>
    <row r="734">
      <c r="A734" s="114"/>
      <c r="B734" s="117"/>
      <c r="C734" s="116"/>
      <c r="D734" s="116"/>
      <c r="E734" s="116"/>
      <c r="F734" s="116"/>
      <c r="G734" s="117"/>
      <c r="H734" s="117"/>
      <c r="I734" s="117"/>
      <c r="J734" s="117"/>
      <c r="K734" s="117"/>
      <c r="L734" s="117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  <c r="AA734" s="117"/>
      <c r="AB734" s="117"/>
    </row>
    <row r="735">
      <c r="A735" s="114"/>
      <c r="B735" s="117"/>
      <c r="C735" s="116"/>
      <c r="D735" s="116"/>
      <c r="E735" s="116"/>
      <c r="F735" s="116"/>
      <c r="G735" s="117"/>
      <c r="H735" s="117"/>
      <c r="I735" s="117"/>
      <c r="J735" s="117"/>
      <c r="K735" s="117"/>
      <c r="L735" s="117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  <c r="AA735" s="117"/>
      <c r="AB735" s="117"/>
    </row>
    <row r="736">
      <c r="A736" s="114"/>
      <c r="B736" s="117"/>
      <c r="C736" s="116"/>
      <c r="D736" s="116"/>
      <c r="E736" s="116"/>
      <c r="F736" s="116"/>
      <c r="G736" s="117"/>
      <c r="H736" s="117"/>
      <c r="I736" s="117"/>
      <c r="J736" s="117"/>
      <c r="K736" s="117"/>
      <c r="L736" s="117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  <c r="AA736" s="117"/>
      <c r="AB736" s="117"/>
    </row>
    <row r="737">
      <c r="A737" s="114"/>
      <c r="B737" s="117"/>
      <c r="C737" s="116"/>
      <c r="D737" s="116"/>
      <c r="E737" s="116"/>
      <c r="F737" s="116"/>
      <c r="G737" s="117"/>
      <c r="H737" s="117"/>
      <c r="I737" s="117"/>
      <c r="J737" s="117"/>
      <c r="K737" s="117"/>
      <c r="L737" s="117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  <c r="AA737" s="117"/>
      <c r="AB737" s="117"/>
    </row>
    <row r="738">
      <c r="A738" s="114"/>
      <c r="B738" s="117"/>
      <c r="C738" s="116"/>
      <c r="D738" s="116"/>
      <c r="E738" s="116"/>
      <c r="F738" s="116"/>
      <c r="G738" s="117"/>
      <c r="H738" s="117"/>
      <c r="I738" s="117"/>
      <c r="J738" s="117"/>
      <c r="K738" s="117"/>
      <c r="L738" s="117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  <c r="AA738" s="117"/>
      <c r="AB738" s="117"/>
    </row>
    <row r="739">
      <c r="A739" s="114"/>
      <c r="B739" s="117"/>
      <c r="C739" s="116"/>
      <c r="D739" s="116"/>
      <c r="E739" s="116"/>
      <c r="F739" s="116"/>
      <c r="G739" s="117"/>
      <c r="H739" s="117"/>
      <c r="I739" s="117"/>
      <c r="J739" s="117"/>
      <c r="K739" s="117"/>
      <c r="L739" s="117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  <c r="AA739" s="117"/>
      <c r="AB739" s="117"/>
    </row>
    <row r="740">
      <c r="A740" s="114"/>
      <c r="B740" s="117"/>
      <c r="C740" s="116"/>
      <c r="D740" s="116"/>
      <c r="E740" s="116"/>
      <c r="F740" s="116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  <c r="AA740" s="117"/>
      <c r="AB740" s="117"/>
    </row>
    <row r="741">
      <c r="A741" s="114"/>
      <c r="B741" s="117"/>
      <c r="C741" s="116"/>
      <c r="D741" s="116"/>
      <c r="E741" s="116"/>
      <c r="F741" s="116"/>
      <c r="G741" s="117"/>
      <c r="H741" s="117"/>
      <c r="I741" s="117"/>
      <c r="J741" s="117"/>
      <c r="K741" s="117"/>
      <c r="L741" s="117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  <c r="AA741" s="117"/>
      <c r="AB741" s="117"/>
    </row>
    <row r="742">
      <c r="A742" s="114"/>
      <c r="B742" s="117"/>
      <c r="C742" s="116"/>
      <c r="D742" s="116"/>
      <c r="E742" s="116"/>
      <c r="F742" s="116"/>
      <c r="G742" s="117"/>
      <c r="H742" s="117"/>
      <c r="I742" s="117"/>
      <c r="J742" s="117"/>
      <c r="K742" s="117"/>
      <c r="L742" s="117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  <c r="AA742" s="117"/>
      <c r="AB742" s="117"/>
    </row>
    <row r="743">
      <c r="A743" s="114"/>
      <c r="B743" s="117"/>
      <c r="C743" s="116"/>
      <c r="D743" s="116"/>
      <c r="E743" s="116"/>
      <c r="F743" s="116"/>
      <c r="G743" s="117"/>
      <c r="H743" s="117"/>
      <c r="I743" s="117"/>
      <c r="J743" s="117"/>
      <c r="K743" s="117"/>
      <c r="L743" s="117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  <c r="AA743" s="117"/>
      <c r="AB743" s="117"/>
    </row>
    <row r="744">
      <c r="A744" s="114"/>
      <c r="B744" s="117"/>
      <c r="C744" s="116"/>
      <c r="D744" s="116"/>
      <c r="E744" s="116"/>
      <c r="F744" s="116"/>
      <c r="G744" s="117"/>
      <c r="H744" s="117"/>
      <c r="I744" s="117"/>
      <c r="J744" s="117"/>
      <c r="K744" s="117"/>
      <c r="L744" s="117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117"/>
      <c r="AB744" s="117"/>
    </row>
    <row r="745">
      <c r="A745" s="114"/>
      <c r="B745" s="117"/>
      <c r="C745" s="116"/>
      <c r="D745" s="116"/>
      <c r="E745" s="116"/>
      <c r="F745" s="116"/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  <c r="AA745" s="117"/>
      <c r="AB745" s="117"/>
    </row>
    <row r="746">
      <c r="A746" s="114"/>
      <c r="B746" s="117"/>
      <c r="C746" s="116"/>
      <c r="D746" s="116"/>
      <c r="E746" s="116"/>
      <c r="F746" s="116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  <c r="AA746" s="117"/>
      <c r="AB746" s="117"/>
    </row>
    <row r="747">
      <c r="A747" s="114"/>
      <c r="B747" s="117"/>
      <c r="C747" s="116"/>
      <c r="D747" s="116"/>
      <c r="E747" s="116"/>
      <c r="F747" s="116"/>
      <c r="G747" s="117"/>
      <c r="H747" s="117"/>
      <c r="I747" s="117"/>
      <c r="J747" s="117"/>
      <c r="K747" s="117"/>
      <c r="L747" s="117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  <c r="AA747" s="117"/>
      <c r="AB747" s="117"/>
    </row>
    <row r="748">
      <c r="A748" s="114"/>
      <c r="B748" s="117"/>
      <c r="C748" s="116"/>
      <c r="D748" s="116"/>
      <c r="E748" s="116"/>
      <c r="F748" s="116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  <c r="AA748" s="117"/>
      <c r="AB748" s="117"/>
    </row>
    <row r="749">
      <c r="A749" s="114"/>
      <c r="B749" s="117"/>
      <c r="C749" s="116"/>
      <c r="D749" s="116"/>
      <c r="E749" s="116"/>
      <c r="F749" s="116"/>
      <c r="G749" s="117"/>
      <c r="H749" s="117"/>
      <c r="I749" s="117"/>
      <c r="J749" s="117"/>
      <c r="K749" s="117"/>
      <c r="L749" s="117"/>
      <c r="M749" s="117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  <c r="AA749" s="117"/>
      <c r="AB749" s="117"/>
    </row>
    <row r="750">
      <c r="A750" s="114"/>
      <c r="B750" s="117"/>
      <c r="C750" s="116"/>
      <c r="D750" s="116"/>
      <c r="E750" s="116"/>
      <c r="F750" s="116"/>
      <c r="G750" s="117"/>
      <c r="H750" s="117"/>
      <c r="I750" s="117"/>
      <c r="J750" s="117"/>
      <c r="K750" s="117"/>
      <c r="L750" s="117"/>
      <c r="M750" s="117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  <c r="AA750" s="117"/>
      <c r="AB750" s="117"/>
    </row>
    <row r="751">
      <c r="A751" s="114"/>
      <c r="B751" s="117"/>
      <c r="C751" s="116"/>
      <c r="D751" s="116"/>
      <c r="E751" s="116"/>
      <c r="F751" s="116"/>
      <c r="G751" s="117"/>
      <c r="H751" s="117"/>
      <c r="I751" s="117"/>
      <c r="J751" s="117"/>
      <c r="K751" s="117"/>
      <c r="L751" s="117"/>
      <c r="M751" s="117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  <c r="AA751" s="117"/>
      <c r="AB751" s="117"/>
    </row>
    <row r="752">
      <c r="A752" s="114"/>
      <c r="B752" s="117"/>
      <c r="C752" s="116"/>
      <c r="D752" s="116"/>
      <c r="E752" s="116"/>
      <c r="F752" s="116"/>
      <c r="G752" s="117"/>
      <c r="H752" s="117"/>
      <c r="I752" s="117"/>
      <c r="J752" s="117"/>
      <c r="K752" s="117"/>
      <c r="L752" s="117"/>
      <c r="M752" s="117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  <c r="AA752" s="117"/>
      <c r="AB752" s="117"/>
    </row>
    <row r="753">
      <c r="A753" s="114"/>
      <c r="B753" s="117"/>
      <c r="C753" s="116"/>
      <c r="D753" s="116"/>
      <c r="E753" s="116"/>
      <c r="F753" s="116"/>
      <c r="G753" s="117"/>
      <c r="H753" s="117"/>
      <c r="I753" s="117"/>
      <c r="J753" s="117"/>
      <c r="K753" s="117"/>
      <c r="L753" s="117"/>
      <c r="M753" s="117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  <c r="AA753" s="117"/>
      <c r="AB753" s="117"/>
    </row>
    <row r="754">
      <c r="A754" s="114"/>
      <c r="B754" s="117"/>
      <c r="C754" s="116"/>
      <c r="D754" s="116"/>
      <c r="E754" s="116"/>
      <c r="F754" s="116"/>
      <c r="G754" s="117"/>
      <c r="H754" s="117"/>
      <c r="I754" s="117"/>
      <c r="J754" s="117"/>
      <c r="K754" s="117"/>
      <c r="L754" s="117"/>
      <c r="M754" s="117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  <c r="AA754" s="117"/>
      <c r="AB754" s="117"/>
    </row>
    <row r="755">
      <c r="A755" s="114"/>
      <c r="B755" s="117"/>
      <c r="C755" s="116"/>
      <c r="D755" s="116"/>
      <c r="E755" s="116"/>
      <c r="F755" s="116"/>
      <c r="G755" s="117"/>
      <c r="H755" s="117"/>
      <c r="I755" s="117"/>
      <c r="J755" s="117"/>
      <c r="K755" s="117"/>
      <c r="L755" s="117"/>
      <c r="M755" s="117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  <c r="AA755" s="117"/>
      <c r="AB755" s="117"/>
    </row>
    <row r="756">
      <c r="A756" s="114"/>
      <c r="B756" s="117"/>
      <c r="C756" s="116"/>
      <c r="D756" s="116"/>
      <c r="E756" s="116"/>
      <c r="F756" s="116"/>
      <c r="G756" s="117"/>
      <c r="H756" s="117"/>
      <c r="I756" s="117"/>
      <c r="J756" s="117"/>
      <c r="K756" s="117"/>
      <c r="L756" s="117"/>
      <c r="M756" s="117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  <c r="AA756" s="117"/>
      <c r="AB756" s="117"/>
    </row>
    <row r="757">
      <c r="A757" s="114"/>
      <c r="B757" s="117"/>
      <c r="C757" s="116"/>
      <c r="D757" s="116"/>
      <c r="E757" s="116"/>
      <c r="F757" s="116"/>
      <c r="G757" s="117"/>
      <c r="H757" s="117"/>
      <c r="I757" s="117"/>
      <c r="J757" s="117"/>
      <c r="K757" s="117"/>
      <c r="L757" s="117"/>
      <c r="M757" s="117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17"/>
      <c r="Y757" s="117"/>
      <c r="Z757" s="117"/>
      <c r="AA757" s="117"/>
      <c r="AB757" s="117"/>
    </row>
    <row r="758">
      <c r="A758" s="114"/>
      <c r="B758" s="117"/>
      <c r="C758" s="116"/>
      <c r="D758" s="116"/>
      <c r="E758" s="116"/>
      <c r="F758" s="116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  <c r="AA758" s="117"/>
      <c r="AB758" s="117"/>
    </row>
    <row r="759">
      <c r="A759" s="114"/>
      <c r="B759" s="117"/>
      <c r="C759" s="116"/>
      <c r="D759" s="116"/>
      <c r="E759" s="116"/>
      <c r="F759" s="116"/>
      <c r="G759" s="117"/>
      <c r="H759" s="117"/>
      <c r="I759" s="117"/>
      <c r="J759" s="117"/>
      <c r="K759" s="117"/>
      <c r="L759" s="117"/>
      <c r="M759" s="117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17"/>
      <c r="Y759" s="117"/>
      <c r="Z759" s="117"/>
      <c r="AA759" s="117"/>
      <c r="AB759" s="117"/>
    </row>
    <row r="760">
      <c r="A760" s="114"/>
      <c r="B760" s="117"/>
      <c r="C760" s="116"/>
      <c r="D760" s="116"/>
      <c r="E760" s="116"/>
      <c r="F760" s="116"/>
      <c r="G760" s="117"/>
      <c r="H760" s="117"/>
      <c r="I760" s="117"/>
      <c r="J760" s="117"/>
      <c r="K760" s="117"/>
      <c r="L760" s="117"/>
      <c r="M760" s="117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  <c r="AA760" s="117"/>
      <c r="AB760" s="117"/>
    </row>
    <row r="761">
      <c r="A761" s="114"/>
      <c r="B761" s="117"/>
      <c r="C761" s="116"/>
      <c r="D761" s="116"/>
      <c r="E761" s="116"/>
      <c r="F761" s="116"/>
      <c r="G761" s="117"/>
      <c r="H761" s="117"/>
      <c r="I761" s="117"/>
      <c r="J761" s="117"/>
      <c r="K761" s="117"/>
      <c r="L761" s="117"/>
      <c r="M761" s="117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17"/>
      <c r="Y761" s="117"/>
      <c r="Z761" s="117"/>
      <c r="AA761" s="117"/>
      <c r="AB761" s="117"/>
    </row>
    <row r="762">
      <c r="A762" s="114"/>
      <c r="B762" s="117"/>
      <c r="C762" s="116"/>
      <c r="D762" s="116"/>
      <c r="E762" s="116"/>
      <c r="F762" s="116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17"/>
      <c r="Y762" s="117"/>
      <c r="Z762" s="117"/>
      <c r="AA762" s="117"/>
      <c r="AB762" s="117"/>
    </row>
    <row r="763">
      <c r="A763" s="114"/>
      <c r="B763" s="117"/>
      <c r="C763" s="116"/>
      <c r="D763" s="116"/>
      <c r="E763" s="116"/>
      <c r="F763" s="116"/>
      <c r="G763" s="117"/>
      <c r="H763" s="117"/>
      <c r="I763" s="117"/>
      <c r="J763" s="117"/>
      <c r="K763" s="117"/>
      <c r="L763" s="117"/>
      <c r="M763" s="117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  <c r="AA763" s="117"/>
      <c r="AB763" s="117"/>
    </row>
    <row r="764">
      <c r="A764" s="114"/>
      <c r="B764" s="117"/>
      <c r="C764" s="116"/>
      <c r="D764" s="116"/>
      <c r="E764" s="116"/>
      <c r="F764" s="116"/>
      <c r="G764" s="117"/>
      <c r="H764" s="117"/>
      <c r="I764" s="117"/>
      <c r="J764" s="117"/>
      <c r="K764" s="117"/>
      <c r="L764" s="117"/>
      <c r="M764" s="117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17"/>
      <c r="Y764" s="117"/>
      <c r="Z764" s="117"/>
      <c r="AA764" s="117"/>
      <c r="AB764" s="117"/>
    </row>
    <row r="765">
      <c r="A765" s="114"/>
      <c r="B765" s="117"/>
      <c r="C765" s="116"/>
      <c r="D765" s="116"/>
      <c r="E765" s="116"/>
      <c r="F765" s="116"/>
      <c r="G765" s="117"/>
      <c r="H765" s="117"/>
      <c r="I765" s="117"/>
      <c r="J765" s="117"/>
      <c r="K765" s="117"/>
      <c r="L765" s="117"/>
      <c r="M765" s="117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17"/>
      <c r="Y765" s="117"/>
      <c r="Z765" s="117"/>
      <c r="AA765" s="117"/>
      <c r="AB765" s="117"/>
    </row>
    <row r="766">
      <c r="A766" s="114"/>
      <c r="B766" s="117"/>
      <c r="C766" s="116"/>
      <c r="D766" s="116"/>
      <c r="E766" s="116"/>
      <c r="F766" s="116"/>
      <c r="G766" s="117"/>
      <c r="H766" s="117"/>
      <c r="I766" s="117"/>
      <c r="J766" s="117"/>
      <c r="K766" s="117"/>
      <c r="L766" s="117"/>
      <c r="M766" s="117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  <c r="AA766" s="117"/>
      <c r="AB766" s="117"/>
    </row>
    <row r="767">
      <c r="A767" s="114"/>
      <c r="B767" s="117"/>
      <c r="C767" s="116"/>
      <c r="D767" s="116"/>
      <c r="E767" s="116"/>
      <c r="F767" s="116"/>
      <c r="G767" s="117"/>
      <c r="H767" s="117"/>
      <c r="I767" s="117"/>
      <c r="J767" s="117"/>
      <c r="K767" s="117"/>
      <c r="L767" s="117"/>
      <c r="M767" s="117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  <c r="AA767" s="117"/>
      <c r="AB767" s="117"/>
    </row>
    <row r="768">
      <c r="A768" s="114"/>
      <c r="B768" s="117"/>
      <c r="C768" s="116"/>
      <c r="D768" s="116"/>
      <c r="E768" s="116"/>
      <c r="F768" s="116"/>
      <c r="G768" s="117"/>
      <c r="H768" s="117"/>
      <c r="I768" s="117"/>
      <c r="J768" s="117"/>
      <c r="K768" s="117"/>
      <c r="L768" s="117"/>
      <c r="M768" s="117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  <c r="AA768" s="117"/>
      <c r="AB768" s="117"/>
    </row>
    <row r="769">
      <c r="A769" s="114"/>
      <c r="B769" s="117"/>
      <c r="C769" s="116"/>
      <c r="D769" s="116"/>
      <c r="E769" s="116"/>
      <c r="F769" s="116"/>
      <c r="G769" s="117"/>
      <c r="H769" s="117"/>
      <c r="I769" s="117"/>
      <c r="J769" s="117"/>
      <c r="K769" s="117"/>
      <c r="L769" s="117"/>
      <c r="M769" s="117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17"/>
      <c r="Y769" s="117"/>
      <c r="Z769" s="117"/>
      <c r="AA769" s="117"/>
      <c r="AB769" s="117"/>
    </row>
    <row r="770">
      <c r="A770" s="114"/>
      <c r="B770" s="117"/>
      <c r="C770" s="116"/>
      <c r="D770" s="116"/>
      <c r="E770" s="116"/>
      <c r="F770" s="116"/>
      <c r="G770" s="117"/>
      <c r="H770" s="117"/>
      <c r="I770" s="117"/>
      <c r="J770" s="117"/>
      <c r="K770" s="117"/>
      <c r="L770" s="117"/>
      <c r="M770" s="117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  <c r="AA770" s="117"/>
      <c r="AB770" s="117"/>
    </row>
    <row r="771">
      <c r="A771" s="114"/>
      <c r="B771" s="117"/>
      <c r="C771" s="116"/>
      <c r="D771" s="116"/>
      <c r="E771" s="116"/>
      <c r="F771" s="116"/>
      <c r="G771" s="117"/>
      <c r="H771" s="117"/>
      <c r="I771" s="117"/>
      <c r="J771" s="117"/>
      <c r="K771" s="117"/>
      <c r="L771" s="117"/>
      <c r="M771" s="117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  <c r="AA771" s="117"/>
      <c r="AB771" s="117"/>
    </row>
    <row r="772">
      <c r="A772" s="114"/>
      <c r="B772" s="117"/>
      <c r="C772" s="116"/>
      <c r="D772" s="116"/>
      <c r="E772" s="116"/>
      <c r="F772" s="116"/>
      <c r="G772" s="117"/>
      <c r="H772" s="117"/>
      <c r="I772" s="117"/>
      <c r="J772" s="117"/>
      <c r="K772" s="117"/>
      <c r="L772" s="117"/>
      <c r="M772" s="117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  <c r="AA772" s="117"/>
      <c r="AB772" s="117"/>
    </row>
    <row r="773">
      <c r="A773" s="114"/>
      <c r="B773" s="117"/>
      <c r="C773" s="116"/>
      <c r="D773" s="116"/>
      <c r="E773" s="116"/>
      <c r="F773" s="116"/>
      <c r="G773" s="117"/>
      <c r="H773" s="117"/>
      <c r="I773" s="117"/>
      <c r="J773" s="117"/>
      <c r="K773" s="117"/>
      <c r="L773" s="117"/>
      <c r="M773" s="117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  <c r="AA773" s="117"/>
      <c r="AB773" s="117"/>
    </row>
    <row r="774">
      <c r="A774" s="114"/>
      <c r="B774" s="117"/>
      <c r="C774" s="116"/>
      <c r="D774" s="116"/>
      <c r="E774" s="116"/>
      <c r="F774" s="116"/>
      <c r="G774" s="117"/>
      <c r="H774" s="117"/>
      <c r="I774" s="117"/>
      <c r="J774" s="117"/>
      <c r="K774" s="117"/>
      <c r="L774" s="117"/>
      <c r="M774" s="117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  <c r="AA774" s="117"/>
      <c r="AB774" s="117"/>
    </row>
    <row r="775">
      <c r="A775" s="114"/>
      <c r="B775" s="117"/>
      <c r="C775" s="116"/>
      <c r="D775" s="116"/>
      <c r="E775" s="116"/>
      <c r="F775" s="116"/>
      <c r="G775" s="117"/>
      <c r="H775" s="117"/>
      <c r="I775" s="117"/>
      <c r="J775" s="117"/>
      <c r="K775" s="117"/>
      <c r="L775" s="117"/>
      <c r="M775" s="117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  <c r="AA775" s="117"/>
      <c r="AB775" s="117"/>
    </row>
    <row r="776">
      <c r="A776" s="114"/>
      <c r="B776" s="117"/>
      <c r="C776" s="116"/>
      <c r="D776" s="116"/>
      <c r="E776" s="116"/>
      <c r="F776" s="116"/>
      <c r="G776" s="117"/>
      <c r="H776" s="117"/>
      <c r="I776" s="117"/>
      <c r="J776" s="117"/>
      <c r="K776" s="117"/>
      <c r="L776" s="117"/>
      <c r="M776" s="117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  <c r="AA776" s="117"/>
      <c r="AB776" s="117"/>
    </row>
    <row r="777">
      <c r="A777" s="114"/>
      <c r="B777" s="117"/>
      <c r="C777" s="116"/>
      <c r="D777" s="116"/>
      <c r="E777" s="116"/>
      <c r="F777" s="116"/>
      <c r="G777" s="117"/>
      <c r="H777" s="117"/>
      <c r="I777" s="117"/>
      <c r="J777" s="117"/>
      <c r="K777" s="117"/>
      <c r="L777" s="117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  <c r="AA777" s="117"/>
      <c r="AB777" s="117"/>
    </row>
    <row r="778">
      <c r="A778" s="114"/>
      <c r="B778" s="117"/>
      <c r="C778" s="116"/>
      <c r="D778" s="116"/>
      <c r="E778" s="116"/>
      <c r="F778" s="116"/>
      <c r="G778" s="117"/>
      <c r="H778" s="117"/>
      <c r="I778" s="117"/>
      <c r="J778" s="117"/>
      <c r="K778" s="117"/>
      <c r="L778" s="117"/>
      <c r="M778" s="117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  <c r="AA778" s="117"/>
      <c r="AB778" s="117"/>
    </row>
    <row r="779">
      <c r="A779" s="114"/>
      <c r="B779" s="117"/>
      <c r="C779" s="116"/>
      <c r="D779" s="116"/>
      <c r="E779" s="116"/>
      <c r="F779" s="116"/>
      <c r="G779" s="117"/>
      <c r="H779" s="117"/>
      <c r="I779" s="117"/>
      <c r="J779" s="117"/>
      <c r="K779" s="117"/>
      <c r="L779" s="117"/>
      <c r="M779" s="117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  <c r="AA779" s="117"/>
      <c r="AB779" s="117"/>
    </row>
    <row r="780">
      <c r="A780" s="114"/>
      <c r="B780" s="117"/>
      <c r="C780" s="116"/>
      <c r="D780" s="116"/>
      <c r="E780" s="116"/>
      <c r="F780" s="116"/>
      <c r="G780" s="117"/>
      <c r="H780" s="117"/>
      <c r="I780" s="117"/>
      <c r="J780" s="117"/>
      <c r="K780" s="117"/>
      <c r="L780" s="117"/>
      <c r="M780" s="117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  <c r="AA780" s="117"/>
      <c r="AB780" s="117"/>
    </row>
    <row r="781">
      <c r="A781" s="114"/>
      <c r="B781" s="117"/>
      <c r="C781" s="116"/>
      <c r="D781" s="116"/>
      <c r="E781" s="116"/>
      <c r="F781" s="116"/>
      <c r="G781" s="117"/>
      <c r="H781" s="117"/>
      <c r="I781" s="117"/>
      <c r="J781" s="117"/>
      <c r="K781" s="117"/>
      <c r="L781" s="117"/>
      <c r="M781" s="117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17"/>
      <c r="Y781" s="117"/>
      <c r="Z781" s="117"/>
      <c r="AA781" s="117"/>
      <c r="AB781" s="117"/>
    </row>
    <row r="782">
      <c r="A782" s="114"/>
      <c r="B782" s="117"/>
      <c r="C782" s="116"/>
      <c r="D782" s="116"/>
      <c r="E782" s="116"/>
      <c r="F782" s="116"/>
      <c r="G782" s="117"/>
      <c r="H782" s="117"/>
      <c r="I782" s="117"/>
      <c r="J782" s="117"/>
      <c r="K782" s="117"/>
      <c r="L782" s="117"/>
      <c r="M782" s="117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117"/>
      <c r="AB782" s="117"/>
    </row>
    <row r="783">
      <c r="A783" s="114"/>
      <c r="B783" s="117"/>
      <c r="C783" s="116"/>
      <c r="D783" s="116"/>
      <c r="E783" s="116"/>
      <c r="F783" s="116"/>
      <c r="G783" s="117"/>
      <c r="H783" s="117"/>
      <c r="I783" s="117"/>
      <c r="J783" s="117"/>
      <c r="K783" s="117"/>
      <c r="L783" s="117"/>
      <c r="M783" s="117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  <c r="AA783" s="117"/>
      <c r="AB783" s="117"/>
    </row>
    <row r="784">
      <c r="A784" s="114"/>
      <c r="B784" s="117"/>
      <c r="C784" s="116"/>
      <c r="D784" s="116"/>
      <c r="E784" s="116"/>
      <c r="F784" s="116"/>
      <c r="G784" s="117"/>
      <c r="H784" s="117"/>
      <c r="I784" s="117"/>
      <c r="J784" s="117"/>
      <c r="K784" s="117"/>
      <c r="L784" s="117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  <c r="AA784" s="117"/>
      <c r="AB784" s="117"/>
    </row>
    <row r="785">
      <c r="A785" s="114"/>
      <c r="B785" s="117"/>
      <c r="C785" s="116"/>
      <c r="D785" s="116"/>
      <c r="E785" s="116"/>
      <c r="F785" s="116"/>
      <c r="G785" s="117"/>
      <c r="H785" s="117"/>
      <c r="I785" s="117"/>
      <c r="J785" s="117"/>
      <c r="K785" s="117"/>
      <c r="L785" s="117"/>
      <c r="M785" s="117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  <c r="AA785" s="117"/>
      <c r="AB785" s="117"/>
    </row>
    <row r="786">
      <c r="A786" s="114"/>
      <c r="B786" s="117"/>
      <c r="C786" s="116"/>
      <c r="D786" s="116"/>
      <c r="E786" s="116"/>
      <c r="F786" s="116"/>
      <c r="G786" s="117"/>
      <c r="H786" s="117"/>
      <c r="I786" s="117"/>
      <c r="J786" s="117"/>
      <c r="K786" s="117"/>
      <c r="L786" s="117"/>
      <c r="M786" s="117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  <c r="AA786" s="117"/>
      <c r="AB786" s="117"/>
    </row>
    <row r="787">
      <c r="A787" s="114"/>
      <c r="B787" s="117"/>
      <c r="C787" s="116"/>
      <c r="D787" s="116"/>
      <c r="E787" s="116"/>
      <c r="F787" s="116"/>
      <c r="G787" s="117"/>
      <c r="H787" s="117"/>
      <c r="I787" s="117"/>
      <c r="J787" s="117"/>
      <c r="K787" s="117"/>
      <c r="L787" s="117"/>
      <c r="M787" s="117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  <c r="AA787" s="117"/>
      <c r="AB787" s="117"/>
    </row>
    <row r="788">
      <c r="A788" s="114"/>
      <c r="B788" s="117"/>
      <c r="C788" s="116"/>
      <c r="D788" s="116"/>
      <c r="E788" s="116"/>
      <c r="F788" s="116"/>
      <c r="G788" s="117"/>
      <c r="H788" s="117"/>
      <c r="I788" s="117"/>
      <c r="J788" s="117"/>
      <c r="K788" s="117"/>
      <c r="L788" s="117"/>
      <c r="M788" s="117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  <c r="AA788" s="117"/>
      <c r="AB788" s="117"/>
    </row>
    <row r="789">
      <c r="A789" s="114"/>
      <c r="B789" s="117"/>
      <c r="C789" s="116"/>
      <c r="D789" s="116"/>
      <c r="E789" s="116"/>
      <c r="F789" s="116"/>
      <c r="G789" s="117"/>
      <c r="H789" s="117"/>
      <c r="I789" s="117"/>
      <c r="J789" s="117"/>
      <c r="K789" s="117"/>
      <c r="L789" s="117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  <c r="AA789" s="117"/>
      <c r="AB789" s="117"/>
    </row>
    <row r="790">
      <c r="A790" s="114"/>
      <c r="B790" s="117"/>
      <c r="C790" s="116"/>
      <c r="D790" s="116"/>
      <c r="E790" s="116"/>
      <c r="F790" s="116"/>
      <c r="G790" s="117"/>
      <c r="H790" s="117"/>
      <c r="I790" s="117"/>
      <c r="J790" s="117"/>
      <c r="K790" s="117"/>
      <c r="L790" s="117"/>
      <c r="M790" s="117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  <c r="AA790" s="117"/>
      <c r="AB790" s="117"/>
    </row>
    <row r="791">
      <c r="A791" s="114"/>
      <c r="B791" s="117"/>
      <c r="C791" s="116"/>
      <c r="D791" s="116"/>
      <c r="E791" s="116"/>
      <c r="F791" s="116"/>
      <c r="G791" s="117"/>
      <c r="H791" s="117"/>
      <c r="I791" s="117"/>
      <c r="J791" s="117"/>
      <c r="K791" s="117"/>
      <c r="L791" s="117"/>
      <c r="M791" s="117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  <c r="AA791" s="117"/>
      <c r="AB791" s="117"/>
    </row>
    <row r="792">
      <c r="A792" s="114"/>
      <c r="B792" s="117"/>
      <c r="C792" s="116"/>
      <c r="D792" s="116"/>
      <c r="E792" s="116"/>
      <c r="F792" s="116"/>
      <c r="G792" s="117"/>
      <c r="H792" s="117"/>
      <c r="I792" s="117"/>
      <c r="J792" s="117"/>
      <c r="K792" s="117"/>
      <c r="L792" s="117"/>
      <c r="M792" s="117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  <c r="AA792" s="117"/>
      <c r="AB792" s="117"/>
    </row>
    <row r="793">
      <c r="A793" s="114"/>
      <c r="B793" s="117"/>
      <c r="C793" s="116"/>
      <c r="D793" s="116"/>
      <c r="E793" s="116"/>
      <c r="F793" s="116"/>
      <c r="G793" s="117"/>
      <c r="H793" s="117"/>
      <c r="I793" s="117"/>
      <c r="J793" s="117"/>
      <c r="K793" s="117"/>
      <c r="L793" s="117"/>
      <c r="M793" s="117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  <c r="Y793" s="117"/>
      <c r="Z793" s="117"/>
      <c r="AA793" s="117"/>
      <c r="AB793" s="117"/>
    </row>
    <row r="794">
      <c r="A794" s="114"/>
      <c r="B794" s="117"/>
      <c r="C794" s="116"/>
      <c r="D794" s="116"/>
      <c r="E794" s="116"/>
      <c r="F794" s="116"/>
      <c r="G794" s="117"/>
      <c r="H794" s="117"/>
      <c r="I794" s="117"/>
      <c r="J794" s="117"/>
      <c r="K794" s="117"/>
      <c r="L794" s="117"/>
      <c r="M794" s="117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  <c r="AA794" s="117"/>
      <c r="AB794" s="117"/>
    </row>
    <row r="795">
      <c r="A795" s="114"/>
      <c r="B795" s="117"/>
      <c r="C795" s="116"/>
      <c r="D795" s="116"/>
      <c r="E795" s="116"/>
      <c r="F795" s="116"/>
      <c r="G795" s="117"/>
      <c r="H795" s="117"/>
      <c r="I795" s="117"/>
      <c r="J795" s="117"/>
      <c r="K795" s="117"/>
      <c r="L795" s="117"/>
      <c r="M795" s="117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  <c r="AA795" s="117"/>
      <c r="AB795" s="117"/>
    </row>
    <row r="796">
      <c r="A796" s="114"/>
      <c r="B796" s="117"/>
      <c r="C796" s="116"/>
      <c r="D796" s="116"/>
      <c r="E796" s="116"/>
      <c r="F796" s="116"/>
      <c r="G796" s="117"/>
      <c r="H796" s="117"/>
      <c r="I796" s="117"/>
      <c r="J796" s="117"/>
      <c r="K796" s="117"/>
      <c r="L796" s="117"/>
      <c r="M796" s="117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  <c r="AA796" s="117"/>
      <c r="AB796" s="117"/>
    </row>
    <row r="797">
      <c r="A797" s="114"/>
      <c r="B797" s="117"/>
      <c r="C797" s="116"/>
      <c r="D797" s="116"/>
      <c r="E797" s="116"/>
      <c r="F797" s="116"/>
      <c r="G797" s="117"/>
      <c r="H797" s="117"/>
      <c r="I797" s="117"/>
      <c r="J797" s="117"/>
      <c r="K797" s="117"/>
      <c r="L797" s="117"/>
      <c r="M797" s="117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  <c r="AA797" s="117"/>
      <c r="AB797" s="117"/>
    </row>
    <row r="798">
      <c r="A798" s="114"/>
      <c r="B798" s="117"/>
      <c r="C798" s="116"/>
      <c r="D798" s="116"/>
      <c r="E798" s="116"/>
      <c r="F798" s="116"/>
      <c r="G798" s="117"/>
      <c r="H798" s="117"/>
      <c r="I798" s="117"/>
      <c r="J798" s="117"/>
      <c r="K798" s="117"/>
      <c r="L798" s="117"/>
      <c r="M798" s="117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  <c r="AA798" s="117"/>
      <c r="AB798" s="117"/>
    </row>
    <row r="799">
      <c r="A799" s="114"/>
      <c r="B799" s="117"/>
      <c r="C799" s="116"/>
      <c r="D799" s="116"/>
      <c r="E799" s="116"/>
      <c r="F799" s="116"/>
      <c r="G799" s="117"/>
      <c r="H799" s="117"/>
      <c r="I799" s="117"/>
      <c r="J799" s="117"/>
      <c r="K799" s="117"/>
      <c r="L799" s="117"/>
      <c r="M799" s="117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  <c r="AA799" s="117"/>
      <c r="AB799" s="117"/>
    </row>
    <row r="800">
      <c r="A800" s="114"/>
      <c r="B800" s="117"/>
      <c r="C800" s="116"/>
      <c r="D800" s="116"/>
      <c r="E800" s="116"/>
      <c r="F800" s="116"/>
      <c r="G800" s="117"/>
      <c r="H800" s="117"/>
      <c r="I800" s="117"/>
      <c r="J800" s="117"/>
      <c r="K800" s="117"/>
      <c r="L800" s="117"/>
      <c r="M800" s="117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  <c r="AA800" s="117"/>
      <c r="AB800" s="117"/>
    </row>
    <row r="801">
      <c r="A801" s="114"/>
      <c r="B801" s="117"/>
      <c r="C801" s="116"/>
      <c r="D801" s="116"/>
      <c r="E801" s="116"/>
      <c r="F801" s="116"/>
      <c r="G801" s="117"/>
      <c r="H801" s="117"/>
      <c r="I801" s="117"/>
      <c r="J801" s="117"/>
      <c r="K801" s="117"/>
      <c r="L801" s="117"/>
      <c r="M801" s="117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  <c r="AA801" s="117"/>
      <c r="AB801" s="117"/>
    </row>
    <row r="802">
      <c r="A802" s="114"/>
      <c r="B802" s="117"/>
      <c r="C802" s="116"/>
      <c r="D802" s="116"/>
      <c r="E802" s="116"/>
      <c r="F802" s="116"/>
      <c r="G802" s="117"/>
      <c r="H802" s="117"/>
      <c r="I802" s="117"/>
      <c r="J802" s="117"/>
      <c r="K802" s="117"/>
      <c r="L802" s="117"/>
      <c r="M802" s="117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  <c r="AA802" s="117"/>
      <c r="AB802" s="117"/>
    </row>
    <row r="803">
      <c r="A803" s="114"/>
      <c r="B803" s="117"/>
      <c r="C803" s="116"/>
      <c r="D803" s="116"/>
      <c r="E803" s="116"/>
      <c r="F803" s="116"/>
      <c r="G803" s="117"/>
      <c r="H803" s="117"/>
      <c r="I803" s="117"/>
      <c r="J803" s="117"/>
      <c r="K803" s="117"/>
      <c r="L803" s="117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  <c r="AA803" s="117"/>
      <c r="AB803" s="117"/>
    </row>
    <row r="804">
      <c r="A804" s="114"/>
      <c r="B804" s="117"/>
      <c r="C804" s="116"/>
      <c r="D804" s="116"/>
      <c r="E804" s="116"/>
      <c r="F804" s="116"/>
      <c r="G804" s="117"/>
      <c r="H804" s="117"/>
      <c r="I804" s="117"/>
      <c r="J804" s="117"/>
      <c r="K804" s="117"/>
      <c r="L804" s="117"/>
      <c r="M804" s="117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  <c r="AA804" s="117"/>
      <c r="AB804" s="117"/>
    </row>
    <row r="805">
      <c r="A805" s="114"/>
      <c r="B805" s="117"/>
      <c r="C805" s="116"/>
      <c r="D805" s="116"/>
      <c r="E805" s="116"/>
      <c r="F805" s="116"/>
      <c r="G805" s="117"/>
      <c r="H805" s="117"/>
      <c r="I805" s="117"/>
      <c r="J805" s="117"/>
      <c r="K805" s="117"/>
      <c r="L805" s="117"/>
      <c r="M805" s="117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17"/>
      <c r="Y805" s="117"/>
      <c r="Z805" s="117"/>
      <c r="AA805" s="117"/>
      <c r="AB805" s="117"/>
    </row>
    <row r="806">
      <c r="A806" s="114"/>
      <c r="B806" s="117"/>
      <c r="C806" s="116"/>
      <c r="D806" s="116"/>
      <c r="E806" s="116"/>
      <c r="F806" s="116"/>
      <c r="G806" s="117"/>
      <c r="H806" s="117"/>
      <c r="I806" s="117"/>
      <c r="J806" s="117"/>
      <c r="K806" s="117"/>
      <c r="L806" s="117"/>
      <c r="M806" s="117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  <c r="AA806" s="117"/>
      <c r="AB806" s="117"/>
    </row>
    <row r="807">
      <c r="A807" s="114"/>
      <c r="B807" s="117"/>
      <c r="C807" s="116"/>
      <c r="D807" s="116"/>
      <c r="E807" s="116"/>
      <c r="F807" s="116"/>
      <c r="G807" s="117"/>
      <c r="H807" s="117"/>
      <c r="I807" s="117"/>
      <c r="J807" s="117"/>
      <c r="K807" s="117"/>
      <c r="L807" s="117"/>
      <c r="M807" s="117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  <c r="AA807" s="117"/>
      <c r="AB807" s="117"/>
    </row>
    <row r="808">
      <c r="A808" s="114"/>
      <c r="B808" s="117"/>
      <c r="C808" s="116"/>
      <c r="D808" s="116"/>
      <c r="E808" s="116"/>
      <c r="F808" s="116"/>
      <c r="G808" s="117"/>
      <c r="H808" s="117"/>
      <c r="I808" s="117"/>
      <c r="J808" s="117"/>
      <c r="K808" s="117"/>
      <c r="L808" s="117"/>
      <c r="M808" s="117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  <c r="AA808" s="117"/>
      <c r="AB808" s="117"/>
    </row>
    <row r="809">
      <c r="A809" s="114"/>
      <c r="B809" s="117"/>
      <c r="C809" s="116"/>
      <c r="D809" s="116"/>
      <c r="E809" s="116"/>
      <c r="F809" s="116"/>
      <c r="G809" s="117"/>
      <c r="H809" s="117"/>
      <c r="I809" s="117"/>
      <c r="J809" s="117"/>
      <c r="K809" s="117"/>
      <c r="L809" s="117"/>
      <c r="M809" s="117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  <c r="AA809" s="117"/>
      <c r="AB809" s="117"/>
    </row>
    <row r="810">
      <c r="A810" s="114"/>
      <c r="B810" s="117"/>
      <c r="C810" s="116"/>
      <c r="D810" s="116"/>
      <c r="E810" s="116"/>
      <c r="F810" s="116"/>
      <c r="G810" s="117"/>
      <c r="H810" s="117"/>
      <c r="I810" s="117"/>
      <c r="J810" s="117"/>
      <c r="K810" s="117"/>
      <c r="L810" s="117"/>
      <c r="M810" s="117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  <c r="AA810" s="117"/>
      <c r="AB810" s="117"/>
    </row>
    <row r="811">
      <c r="A811" s="114"/>
      <c r="B811" s="117"/>
      <c r="C811" s="116"/>
      <c r="D811" s="116"/>
      <c r="E811" s="116"/>
      <c r="F811" s="116"/>
      <c r="G811" s="117"/>
      <c r="H811" s="117"/>
      <c r="I811" s="117"/>
      <c r="J811" s="117"/>
      <c r="K811" s="117"/>
      <c r="L811" s="117"/>
      <c r="M811" s="117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17"/>
      <c r="Y811" s="117"/>
      <c r="Z811" s="117"/>
      <c r="AA811" s="117"/>
      <c r="AB811" s="117"/>
    </row>
    <row r="812">
      <c r="A812" s="114"/>
      <c r="B812" s="117"/>
      <c r="C812" s="116"/>
      <c r="D812" s="116"/>
      <c r="E812" s="116"/>
      <c r="F812" s="116"/>
      <c r="G812" s="117"/>
      <c r="H812" s="117"/>
      <c r="I812" s="117"/>
      <c r="J812" s="117"/>
      <c r="K812" s="117"/>
      <c r="L812" s="117"/>
      <c r="M812" s="117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  <c r="AA812" s="117"/>
      <c r="AB812" s="117"/>
    </row>
    <row r="813">
      <c r="A813" s="114"/>
      <c r="B813" s="117"/>
      <c r="C813" s="116"/>
      <c r="D813" s="116"/>
      <c r="E813" s="116"/>
      <c r="F813" s="116"/>
      <c r="G813" s="117"/>
      <c r="H813" s="117"/>
      <c r="I813" s="117"/>
      <c r="J813" s="117"/>
      <c r="K813" s="117"/>
      <c r="L813" s="117"/>
      <c r="M813" s="117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  <c r="AA813" s="117"/>
      <c r="AB813" s="117"/>
    </row>
    <row r="814">
      <c r="A814" s="114"/>
      <c r="B814" s="117"/>
      <c r="C814" s="116"/>
      <c r="D814" s="116"/>
      <c r="E814" s="116"/>
      <c r="F814" s="116"/>
      <c r="G814" s="117"/>
      <c r="H814" s="117"/>
      <c r="I814" s="117"/>
      <c r="J814" s="117"/>
      <c r="K814" s="117"/>
      <c r="L814" s="117"/>
      <c r="M814" s="117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17"/>
      <c r="Y814" s="117"/>
      <c r="Z814" s="117"/>
      <c r="AA814" s="117"/>
      <c r="AB814" s="117"/>
    </row>
    <row r="815">
      <c r="A815" s="114"/>
      <c r="B815" s="117"/>
      <c r="C815" s="116"/>
      <c r="D815" s="116"/>
      <c r="E815" s="116"/>
      <c r="F815" s="116"/>
      <c r="G815" s="117"/>
      <c r="H815" s="117"/>
      <c r="I815" s="117"/>
      <c r="J815" s="117"/>
      <c r="K815" s="117"/>
      <c r="L815" s="117"/>
      <c r="M815" s="117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  <c r="AA815" s="117"/>
      <c r="AB815" s="117"/>
    </row>
    <row r="816">
      <c r="A816" s="114"/>
      <c r="B816" s="117"/>
      <c r="C816" s="116"/>
      <c r="D816" s="116"/>
      <c r="E816" s="116"/>
      <c r="F816" s="116"/>
      <c r="G816" s="117"/>
      <c r="H816" s="117"/>
      <c r="I816" s="117"/>
      <c r="J816" s="117"/>
      <c r="K816" s="117"/>
      <c r="L816" s="117"/>
      <c r="M816" s="117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  <c r="AA816" s="117"/>
      <c r="AB816" s="117"/>
    </row>
    <row r="817">
      <c r="A817" s="114"/>
      <c r="B817" s="117"/>
      <c r="C817" s="116"/>
      <c r="D817" s="116"/>
      <c r="E817" s="116"/>
      <c r="F817" s="116"/>
      <c r="G817" s="117"/>
      <c r="H817" s="117"/>
      <c r="I817" s="117"/>
      <c r="J817" s="117"/>
      <c r="K817" s="117"/>
      <c r="L817" s="117"/>
      <c r="M817" s="117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17"/>
      <c r="Y817" s="117"/>
      <c r="Z817" s="117"/>
      <c r="AA817" s="117"/>
      <c r="AB817" s="117"/>
    </row>
    <row r="818">
      <c r="A818" s="114"/>
      <c r="B818" s="117"/>
      <c r="C818" s="116"/>
      <c r="D818" s="116"/>
      <c r="E818" s="116"/>
      <c r="F818" s="116"/>
      <c r="G818" s="117"/>
      <c r="H818" s="117"/>
      <c r="I818" s="117"/>
      <c r="J818" s="117"/>
      <c r="K818" s="117"/>
      <c r="L818" s="117"/>
      <c r="M818" s="117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  <c r="AA818" s="117"/>
      <c r="AB818" s="117"/>
    </row>
    <row r="819">
      <c r="A819" s="114"/>
      <c r="B819" s="117"/>
      <c r="C819" s="116"/>
      <c r="D819" s="116"/>
      <c r="E819" s="116"/>
      <c r="F819" s="116"/>
      <c r="G819" s="117"/>
      <c r="H819" s="117"/>
      <c r="I819" s="117"/>
      <c r="J819" s="117"/>
      <c r="K819" s="117"/>
      <c r="L819" s="117"/>
      <c r="M819" s="117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  <c r="AA819" s="117"/>
      <c r="AB819" s="117"/>
    </row>
    <row r="820">
      <c r="A820" s="114"/>
      <c r="B820" s="117"/>
      <c r="C820" s="116"/>
      <c r="D820" s="116"/>
      <c r="E820" s="116"/>
      <c r="F820" s="116"/>
      <c r="G820" s="117"/>
      <c r="H820" s="117"/>
      <c r="I820" s="117"/>
      <c r="J820" s="117"/>
      <c r="K820" s="117"/>
      <c r="L820" s="117"/>
      <c r="M820" s="117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117"/>
      <c r="AB820" s="117"/>
    </row>
    <row r="821">
      <c r="A821" s="114"/>
      <c r="B821" s="117"/>
      <c r="C821" s="116"/>
      <c r="D821" s="116"/>
      <c r="E821" s="116"/>
      <c r="F821" s="116"/>
      <c r="G821" s="117"/>
      <c r="H821" s="117"/>
      <c r="I821" s="117"/>
      <c r="J821" s="117"/>
      <c r="K821" s="117"/>
      <c r="L821" s="117"/>
      <c r="M821" s="117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  <c r="AA821" s="117"/>
      <c r="AB821" s="117"/>
    </row>
    <row r="822">
      <c r="A822" s="114"/>
      <c r="B822" s="117"/>
      <c r="C822" s="116"/>
      <c r="D822" s="116"/>
      <c r="E822" s="116"/>
      <c r="F822" s="116"/>
      <c r="G822" s="117"/>
      <c r="H822" s="117"/>
      <c r="I822" s="117"/>
      <c r="J822" s="117"/>
      <c r="K822" s="117"/>
      <c r="L822" s="117"/>
      <c r="M822" s="117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  <c r="AA822" s="117"/>
      <c r="AB822" s="117"/>
    </row>
    <row r="823">
      <c r="A823" s="114"/>
      <c r="B823" s="117"/>
      <c r="C823" s="116"/>
      <c r="D823" s="116"/>
      <c r="E823" s="116"/>
      <c r="F823" s="116"/>
      <c r="G823" s="117"/>
      <c r="H823" s="117"/>
      <c r="I823" s="117"/>
      <c r="J823" s="117"/>
      <c r="K823" s="117"/>
      <c r="L823" s="117"/>
      <c r="M823" s="117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  <c r="AA823" s="117"/>
      <c r="AB823" s="117"/>
    </row>
    <row r="824">
      <c r="A824" s="114"/>
      <c r="B824" s="117"/>
      <c r="C824" s="116"/>
      <c r="D824" s="116"/>
      <c r="E824" s="116"/>
      <c r="F824" s="116"/>
      <c r="G824" s="117"/>
      <c r="H824" s="117"/>
      <c r="I824" s="117"/>
      <c r="J824" s="117"/>
      <c r="K824" s="117"/>
      <c r="L824" s="117"/>
      <c r="M824" s="117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  <c r="AA824" s="117"/>
      <c r="AB824" s="117"/>
    </row>
    <row r="825">
      <c r="A825" s="114"/>
      <c r="B825" s="117"/>
      <c r="C825" s="116"/>
      <c r="D825" s="116"/>
      <c r="E825" s="116"/>
      <c r="F825" s="116"/>
      <c r="G825" s="117"/>
      <c r="H825" s="117"/>
      <c r="I825" s="117"/>
      <c r="J825" s="117"/>
      <c r="K825" s="117"/>
      <c r="L825" s="117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  <c r="AA825" s="117"/>
      <c r="AB825" s="117"/>
    </row>
    <row r="826">
      <c r="A826" s="114"/>
      <c r="B826" s="117"/>
      <c r="C826" s="116"/>
      <c r="D826" s="116"/>
      <c r="E826" s="116"/>
      <c r="F826" s="116"/>
      <c r="G826" s="117"/>
      <c r="H826" s="117"/>
      <c r="I826" s="117"/>
      <c r="J826" s="117"/>
      <c r="K826" s="117"/>
      <c r="L826" s="117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  <c r="AA826" s="117"/>
      <c r="AB826" s="117"/>
    </row>
    <row r="827">
      <c r="A827" s="114"/>
      <c r="B827" s="117"/>
      <c r="C827" s="116"/>
      <c r="D827" s="116"/>
      <c r="E827" s="116"/>
      <c r="F827" s="116"/>
      <c r="G827" s="117"/>
      <c r="H827" s="117"/>
      <c r="I827" s="117"/>
      <c r="J827" s="117"/>
      <c r="K827" s="117"/>
      <c r="L827" s="117"/>
      <c r="M827" s="117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  <c r="AA827" s="117"/>
      <c r="AB827" s="117"/>
    </row>
    <row r="828">
      <c r="A828" s="114"/>
      <c r="B828" s="117"/>
      <c r="C828" s="116"/>
      <c r="D828" s="116"/>
      <c r="E828" s="116"/>
      <c r="F828" s="116"/>
      <c r="G828" s="117"/>
      <c r="H828" s="117"/>
      <c r="I828" s="117"/>
      <c r="J828" s="117"/>
      <c r="K828" s="117"/>
      <c r="L828" s="117"/>
      <c r="M828" s="117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  <c r="AA828" s="117"/>
      <c r="AB828" s="117"/>
    </row>
    <row r="829">
      <c r="A829" s="114"/>
      <c r="B829" s="117"/>
      <c r="C829" s="116"/>
      <c r="D829" s="116"/>
      <c r="E829" s="116"/>
      <c r="F829" s="116"/>
      <c r="G829" s="117"/>
      <c r="H829" s="117"/>
      <c r="I829" s="117"/>
      <c r="J829" s="117"/>
      <c r="K829" s="117"/>
      <c r="L829" s="117"/>
      <c r="M829" s="117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17"/>
      <c r="Y829" s="117"/>
      <c r="Z829" s="117"/>
      <c r="AA829" s="117"/>
      <c r="AB829" s="117"/>
    </row>
    <row r="830">
      <c r="A830" s="114"/>
      <c r="B830" s="117"/>
      <c r="C830" s="116"/>
      <c r="D830" s="116"/>
      <c r="E830" s="116"/>
      <c r="F830" s="116"/>
      <c r="G830" s="117"/>
      <c r="H830" s="117"/>
      <c r="I830" s="117"/>
      <c r="J830" s="117"/>
      <c r="K830" s="117"/>
      <c r="L830" s="117"/>
      <c r="M830" s="117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  <c r="AA830" s="117"/>
      <c r="AB830" s="117"/>
    </row>
    <row r="831">
      <c r="A831" s="114"/>
      <c r="B831" s="117"/>
      <c r="C831" s="116"/>
      <c r="D831" s="116"/>
      <c r="E831" s="116"/>
      <c r="F831" s="116"/>
      <c r="G831" s="117"/>
      <c r="H831" s="117"/>
      <c r="I831" s="117"/>
      <c r="J831" s="117"/>
      <c r="K831" s="117"/>
      <c r="L831" s="117"/>
      <c r="M831" s="117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  <c r="AA831" s="117"/>
      <c r="AB831" s="117"/>
    </row>
    <row r="832">
      <c r="A832" s="114"/>
      <c r="B832" s="117"/>
      <c r="C832" s="116"/>
      <c r="D832" s="116"/>
      <c r="E832" s="116"/>
      <c r="F832" s="116"/>
      <c r="G832" s="117"/>
      <c r="H832" s="117"/>
      <c r="I832" s="117"/>
      <c r="J832" s="117"/>
      <c r="K832" s="117"/>
      <c r="L832" s="117"/>
      <c r="M832" s="117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  <c r="AA832" s="117"/>
      <c r="AB832" s="117"/>
    </row>
    <row r="833">
      <c r="A833" s="114"/>
      <c r="B833" s="117"/>
      <c r="C833" s="116"/>
      <c r="D833" s="116"/>
      <c r="E833" s="116"/>
      <c r="F833" s="116"/>
      <c r="G833" s="117"/>
      <c r="H833" s="117"/>
      <c r="I833" s="117"/>
      <c r="J833" s="117"/>
      <c r="K833" s="117"/>
      <c r="L833" s="117"/>
      <c r="M833" s="117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  <c r="AA833" s="117"/>
      <c r="AB833" s="117"/>
    </row>
    <row r="834">
      <c r="A834" s="114"/>
      <c r="B834" s="117"/>
      <c r="C834" s="116"/>
      <c r="D834" s="116"/>
      <c r="E834" s="116"/>
      <c r="F834" s="116"/>
      <c r="G834" s="117"/>
      <c r="H834" s="117"/>
      <c r="I834" s="117"/>
      <c r="J834" s="117"/>
      <c r="K834" s="117"/>
      <c r="L834" s="117"/>
      <c r="M834" s="117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  <c r="AA834" s="117"/>
      <c r="AB834" s="117"/>
    </row>
    <row r="835">
      <c r="A835" s="114"/>
      <c r="B835" s="117"/>
      <c r="C835" s="116"/>
      <c r="D835" s="116"/>
      <c r="E835" s="116"/>
      <c r="F835" s="116"/>
      <c r="G835" s="117"/>
      <c r="H835" s="117"/>
      <c r="I835" s="117"/>
      <c r="J835" s="117"/>
      <c r="K835" s="117"/>
      <c r="L835" s="117"/>
      <c r="M835" s="117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  <c r="AA835" s="117"/>
      <c r="AB835" s="117"/>
    </row>
    <row r="836">
      <c r="A836" s="114"/>
      <c r="B836" s="117"/>
      <c r="C836" s="116"/>
      <c r="D836" s="116"/>
      <c r="E836" s="116"/>
      <c r="F836" s="116"/>
      <c r="G836" s="117"/>
      <c r="H836" s="117"/>
      <c r="I836" s="117"/>
      <c r="J836" s="117"/>
      <c r="K836" s="117"/>
      <c r="L836" s="117"/>
      <c r="M836" s="117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  <c r="AA836" s="117"/>
      <c r="AB836" s="117"/>
    </row>
    <row r="837">
      <c r="A837" s="114"/>
      <c r="B837" s="117"/>
      <c r="C837" s="116"/>
      <c r="D837" s="116"/>
      <c r="E837" s="116"/>
      <c r="F837" s="116"/>
      <c r="G837" s="117"/>
      <c r="H837" s="117"/>
      <c r="I837" s="117"/>
      <c r="J837" s="117"/>
      <c r="K837" s="117"/>
      <c r="L837" s="117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  <c r="AA837" s="117"/>
      <c r="AB837" s="117"/>
    </row>
    <row r="838">
      <c r="A838" s="114"/>
      <c r="B838" s="117"/>
      <c r="C838" s="116"/>
      <c r="D838" s="116"/>
      <c r="E838" s="116"/>
      <c r="F838" s="116"/>
      <c r="G838" s="117"/>
      <c r="H838" s="117"/>
      <c r="I838" s="117"/>
      <c r="J838" s="117"/>
      <c r="K838" s="117"/>
      <c r="L838" s="117"/>
      <c r="M838" s="117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  <c r="AA838" s="117"/>
      <c r="AB838" s="117"/>
    </row>
    <row r="839">
      <c r="A839" s="114"/>
      <c r="B839" s="117"/>
      <c r="C839" s="116"/>
      <c r="D839" s="116"/>
      <c r="E839" s="116"/>
      <c r="F839" s="116"/>
      <c r="G839" s="117"/>
      <c r="H839" s="117"/>
      <c r="I839" s="117"/>
      <c r="J839" s="117"/>
      <c r="K839" s="117"/>
      <c r="L839" s="117"/>
      <c r="M839" s="117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  <c r="AA839" s="117"/>
      <c r="AB839" s="117"/>
    </row>
    <row r="840">
      <c r="A840" s="114"/>
      <c r="B840" s="117"/>
      <c r="C840" s="116"/>
      <c r="D840" s="116"/>
      <c r="E840" s="116"/>
      <c r="F840" s="116"/>
      <c r="G840" s="117"/>
      <c r="H840" s="117"/>
      <c r="I840" s="117"/>
      <c r="J840" s="117"/>
      <c r="K840" s="117"/>
      <c r="L840" s="117"/>
      <c r="M840" s="117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  <c r="AA840" s="117"/>
      <c r="AB840" s="117"/>
    </row>
    <row r="841">
      <c r="A841" s="114"/>
      <c r="B841" s="117"/>
      <c r="C841" s="116"/>
      <c r="D841" s="116"/>
      <c r="E841" s="116"/>
      <c r="F841" s="116"/>
      <c r="G841" s="117"/>
      <c r="H841" s="117"/>
      <c r="I841" s="117"/>
      <c r="J841" s="117"/>
      <c r="K841" s="117"/>
      <c r="L841" s="117"/>
      <c r="M841" s="117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17"/>
      <c r="Y841" s="117"/>
      <c r="Z841" s="117"/>
      <c r="AA841" s="117"/>
      <c r="AB841" s="117"/>
    </row>
    <row r="842">
      <c r="A842" s="114"/>
      <c r="B842" s="117"/>
      <c r="C842" s="116"/>
      <c r="D842" s="116"/>
      <c r="E842" s="116"/>
      <c r="F842" s="116"/>
      <c r="G842" s="117"/>
      <c r="H842" s="117"/>
      <c r="I842" s="117"/>
      <c r="J842" s="117"/>
      <c r="K842" s="117"/>
      <c r="L842" s="117"/>
      <c r="M842" s="117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  <c r="AA842" s="117"/>
      <c r="AB842" s="117"/>
    </row>
    <row r="843">
      <c r="A843" s="114"/>
      <c r="B843" s="117"/>
      <c r="C843" s="116"/>
      <c r="D843" s="116"/>
      <c r="E843" s="116"/>
      <c r="F843" s="116"/>
      <c r="G843" s="117"/>
      <c r="H843" s="117"/>
      <c r="I843" s="117"/>
      <c r="J843" s="117"/>
      <c r="K843" s="117"/>
      <c r="L843" s="117"/>
      <c r="M843" s="117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  <c r="AA843" s="117"/>
      <c r="AB843" s="117"/>
    </row>
    <row r="844">
      <c r="A844" s="114"/>
      <c r="B844" s="117"/>
      <c r="C844" s="116"/>
      <c r="D844" s="116"/>
      <c r="E844" s="116"/>
      <c r="F844" s="116"/>
      <c r="G844" s="117"/>
      <c r="H844" s="117"/>
      <c r="I844" s="117"/>
      <c r="J844" s="117"/>
      <c r="K844" s="117"/>
      <c r="L844" s="117"/>
      <c r="M844" s="117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  <c r="AA844" s="117"/>
      <c r="AB844" s="117"/>
    </row>
    <row r="845">
      <c r="A845" s="114"/>
      <c r="B845" s="117"/>
      <c r="C845" s="116"/>
      <c r="D845" s="116"/>
      <c r="E845" s="116"/>
      <c r="F845" s="116"/>
      <c r="G845" s="117"/>
      <c r="H845" s="117"/>
      <c r="I845" s="117"/>
      <c r="J845" s="117"/>
      <c r="K845" s="117"/>
      <c r="L845" s="117"/>
      <c r="M845" s="117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  <c r="AA845" s="117"/>
      <c r="AB845" s="117"/>
    </row>
    <row r="846">
      <c r="A846" s="114"/>
      <c r="B846" s="117"/>
      <c r="C846" s="116"/>
      <c r="D846" s="116"/>
      <c r="E846" s="116"/>
      <c r="F846" s="116"/>
      <c r="G846" s="117"/>
      <c r="H846" s="117"/>
      <c r="I846" s="117"/>
      <c r="J846" s="117"/>
      <c r="K846" s="117"/>
      <c r="L846" s="117"/>
      <c r="M846" s="117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  <c r="AA846" s="117"/>
      <c r="AB846" s="117"/>
    </row>
    <row r="847">
      <c r="A847" s="114"/>
      <c r="B847" s="117"/>
      <c r="C847" s="116"/>
      <c r="D847" s="116"/>
      <c r="E847" s="116"/>
      <c r="F847" s="116"/>
      <c r="G847" s="117"/>
      <c r="H847" s="117"/>
      <c r="I847" s="117"/>
      <c r="J847" s="117"/>
      <c r="K847" s="117"/>
      <c r="L847" s="117"/>
      <c r="M847" s="117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  <c r="AA847" s="117"/>
      <c r="AB847" s="117"/>
    </row>
    <row r="848">
      <c r="A848" s="114"/>
      <c r="B848" s="117"/>
      <c r="C848" s="116"/>
      <c r="D848" s="116"/>
      <c r="E848" s="116"/>
      <c r="F848" s="116"/>
      <c r="G848" s="117"/>
      <c r="H848" s="117"/>
      <c r="I848" s="117"/>
      <c r="J848" s="117"/>
      <c r="K848" s="117"/>
      <c r="L848" s="117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  <c r="AA848" s="117"/>
      <c r="AB848" s="117"/>
    </row>
    <row r="849">
      <c r="A849" s="114"/>
      <c r="B849" s="117"/>
      <c r="C849" s="116"/>
      <c r="D849" s="116"/>
      <c r="E849" s="116"/>
      <c r="F849" s="116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  <c r="AA849" s="117"/>
      <c r="AB849" s="117"/>
    </row>
    <row r="850">
      <c r="A850" s="114"/>
      <c r="B850" s="117"/>
      <c r="C850" s="116"/>
      <c r="D850" s="116"/>
      <c r="E850" s="116"/>
      <c r="F850" s="116"/>
      <c r="G850" s="117"/>
      <c r="H850" s="117"/>
      <c r="I850" s="117"/>
      <c r="J850" s="117"/>
      <c r="K850" s="117"/>
      <c r="L850" s="117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  <c r="AA850" s="117"/>
      <c r="AB850" s="117"/>
    </row>
    <row r="851">
      <c r="A851" s="114"/>
      <c r="B851" s="117"/>
      <c r="C851" s="116"/>
      <c r="D851" s="116"/>
      <c r="E851" s="116"/>
      <c r="F851" s="116"/>
      <c r="G851" s="117"/>
      <c r="H851" s="117"/>
      <c r="I851" s="117"/>
      <c r="J851" s="117"/>
      <c r="K851" s="117"/>
      <c r="L851" s="117"/>
      <c r="M851" s="117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  <c r="AA851" s="117"/>
      <c r="AB851" s="117"/>
    </row>
    <row r="852">
      <c r="A852" s="114"/>
      <c r="B852" s="117"/>
      <c r="C852" s="116"/>
      <c r="D852" s="116"/>
      <c r="E852" s="116"/>
      <c r="F852" s="116"/>
      <c r="G852" s="117"/>
      <c r="H852" s="117"/>
      <c r="I852" s="117"/>
      <c r="J852" s="117"/>
      <c r="K852" s="117"/>
      <c r="L852" s="117"/>
      <c r="M852" s="117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  <c r="AA852" s="117"/>
      <c r="AB852" s="117"/>
    </row>
    <row r="853">
      <c r="A853" s="114"/>
      <c r="B853" s="117"/>
      <c r="C853" s="116"/>
      <c r="D853" s="116"/>
      <c r="E853" s="116"/>
      <c r="F853" s="116"/>
      <c r="G853" s="117"/>
      <c r="H853" s="117"/>
      <c r="I853" s="117"/>
      <c r="J853" s="117"/>
      <c r="K853" s="117"/>
      <c r="L853" s="117"/>
      <c r="M853" s="117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17"/>
      <c r="Y853" s="117"/>
      <c r="Z853" s="117"/>
      <c r="AA853" s="117"/>
      <c r="AB853" s="117"/>
    </row>
    <row r="854">
      <c r="A854" s="114"/>
      <c r="B854" s="117"/>
      <c r="C854" s="116"/>
      <c r="D854" s="116"/>
      <c r="E854" s="116"/>
      <c r="F854" s="116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  <c r="AA854" s="117"/>
      <c r="AB854" s="117"/>
    </row>
    <row r="855">
      <c r="A855" s="114"/>
      <c r="B855" s="117"/>
      <c r="C855" s="116"/>
      <c r="D855" s="116"/>
      <c r="E855" s="116"/>
      <c r="F855" s="116"/>
      <c r="G855" s="117"/>
      <c r="H855" s="117"/>
      <c r="I855" s="117"/>
      <c r="J855" s="117"/>
      <c r="K855" s="117"/>
      <c r="L855" s="117"/>
      <c r="M855" s="117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  <c r="AA855" s="117"/>
      <c r="AB855" s="117"/>
    </row>
    <row r="856">
      <c r="A856" s="114"/>
      <c r="B856" s="117"/>
      <c r="C856" s="116"/>
      <c r="D856" s="116"/>
      <c r="E856" s="116"/>
      <c r="F856" s="116"/>
      <c r="G856" s="117"/>
      <c r="H856" s="117"/>
      <c r="I856" s="117"/>
      <c r="J856" s="117"/>
      <c r="K856" s="117"/>
      <c r="L856" s="117"/>
      <c r="M856" s="117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  <c r="AA856" s="117"/>
      <c r="AB856" s="117"/>
    </row>
    <row r="857">
      <c r="A857" s="114"/>
      <c r="B857" s="117"/>
      <c r="C857" s="116"/>
      <c r="D857" s="116"/>
      <c r="E857" s="116"/>
      <c r="F857" s="116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  <c r="AA857" s="117"/>
      <c r="AB857" s="117"/>
    </row>
    <row r="858">
      <c r="A858" s="114"/>
      <c r="B858" s="117"/>
      <c r="C858" s="116"/>
      <c r="D858" s="116"/>
      <c r="E858" s="116"/>
      <c r="F858" s="116"/>
      <c r="G858" s="117"/>
      <c r="H858" s="117"/>
      <c r="I858" s="11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117"/>
      <c r="AB858" s="117"/>
    </row>
    <row r="859">
      <c r="A859" s="114"/>
      <c r="B859" s="117"/>
      <c r="C859" s="116"/>
      <c r="D859" s="116"/>
      <c r="E859" s="116"/>
      <c r="F859" s="116"/>
      <c r="G859" s="117"/>
      <c r="H859" s="117"/>
      <c r="I859" s="11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  <c r="AA859" s="117"/>
      <c r="AB859" s="117"/>
    </row>
    <row r="860">
      <c r="A860" s="114"/>
      <c r="B860" s="117"/>
      <c r="C860" s="116"/>
      <c r="D860" s="116"/>
      <c r="E860" s="116"/>
      <c r="F860" s="116"/>
      <c r="G860" s="117"/>
      <c r="H860" s="117"/>
      <c r="I860" s="117"/>
      <c r="J860" s="117"/>
      <c r="K860" s="117"/>
      <c r="L860" s="117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  <c r="AA860" s="117"/>
      <c r="AB860" s="117"/>
    </row>
    <row r="861">
      <c r="A861" s="114"/>
      <c r="B861" s="117"/>
      <c r="C861" s="116"/>
      <c r="D861" s="116"/>
      <c r="E861" s="116"/>
      <c r="F861" s="116"/>
      <c r="G861" s="117"/>
      <c r="H861" s="117"/>
      <c r="I861" s="117"/>
      <c r="J861" s="117"/>
      <c r="K861" s="117"/>
      <c r="L861" s="117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  <c r="AA861" s="117"/>
      <c r="AB861" s="117"/>
    </row>
    <row r="862">
      <c r="A862" s="114"/>
      <c r="B862" s="117"/>
      <c r="C862" s="116"/>
      <c r="D862" s="116"/>
      <c r="E862" s="116"/>
      <c r="F862" s="116"/>
      <c r="G862" s="117"/>
      <c r="H862" s="117"/>
      <c r="I862" s="117"/>
      <c r="J862" s="117"/>
      <c r="K862" s="117"/>
      <c r="L862" s="117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  <c r="Y862" s="117"/>
      <c r="Z862" s="117"/>
      <c r="AA862" s="117"/>
      <c r="AB862" s="117"/>
    </row>
    <row r="863">
      <c r="A863" s="114"/>
      <c r="B863" s="117"/>
      <c r="C863" s="116"/>
      <c r="D863" s="116"/>
      <c r="E863" s="116"/>
      <c r="F863" s="116"/>
      <c r="G863" s="117"/>
      <c r="H863" s="117"/>
      <c r="I863" s="117"/>
      <c r="J863" s="117"/>
      <c r="K863" s="117"/>
      <c r="L863" s="117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  <c r="AA863" s="117"/>
      <c r="AB863" s="117"/>
    </row>
    <row r="864">
      <c r="A864" s="114"/>
      <c r="B864" s="117"/>
      <c r="C864" s="116"/>
      <c r="D864" s="116"/>
      <c r="E864" s="116"/>
      <c r="F864" s="116"/>
      <c r="G864" s="117"/>
      <c r="H864" s="117"/>
      <c r="I864" s="117"/>
      <c r="J864" s="117"/>
      <c r="K864" s="117"/>
      <c r="L864" s="117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  <c r="AA864" s="117"/>
      <c r="AB864" s="117"/>
    </row>
    <row r="865">
      <c r="A865" s="114"/>
      <c r="B865" s="117"/>
      <c r="C865" s="116"/>
      <c r="D865" s="116"/>
      <c r="E865" s="116"/>
      <c r="F865" s="116"/>
      <c r="G865" s="117"/>
      <c r="H865" s="117"/>
      <c r="I865" s="117"/>
      <c r="J865" s="117"/>
      <c r="K865" s="117"/>
      <c r="L865" s="117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  <c r="Y865" s="117"/>
      <c r="Z865" s="117"/>
      <c r="AA865" s="117"/>
      <c r="AB865" s="117"/>
    </row>
    <row r="866">
      <c r="A866" s="114"/>
      <c r="B866" s="117"/>
      <c r="C866" s="116"/>
      <c r="D866" s="116"/>
      <c r="E866" s="116"/>
      <c r="F866" s="116"/>
      <c r="G866" s="117"/>
      <c r="H866" s="117"/>
      <c r="I866" s="117"/>
      <c r="J866" s="117"/>
      <c r="K866" s="117"/>
      <c r="L866" s="117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  <c r="AA866" s="117"/>
      <c r="AB866" s="117"/>
    </row>
    <row r="867">
      <c r="A867" s="114"/>
      <c r="B867" s="117"/>
      <c r="C867" s="116"/>
      <c r="D867" s="116"/>
      <c r="E867" s="116"/>
      <c r="F867" s="116"/>
      <c r="G867" s="117"/>
      <c r="H867" s="117"/>
      <c r="I867" s="117"/>
      <c r="J867" s="117"/>
      <c r="K867" s="117"/>
      <c r="L867" s="117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  <c r="AA867" s="117"/>
      <c r="AB867" s="117"/>
    </row>
    <row r="868">
      <c r="A868" s="114"/>
      <c r="B868" s="117"/>
      <c r="C868" s="116"/>
      <c r="D868" s="116"/>
      <c r="E868" s="116"/>
      <c r="F868" s="116"/>
      <c r="G868" s="117"/>
      <c r="H868" s="117"/>
      <c r="I868" s="117"/>
      <c r="J868" s="117"/>
      <c r="K868" s="117"/>
      <c r="L868" s="117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  <c r="AA868" s="117"/>
      <c r="AB868" s="117"/>
    </row>
    <row r="869">
      <c r="A869" s="114"/>
      <c r="B869" s="117"/>
      <c r="C869" s="116"/>
      <c r="D869" s="116"/>
      <c r="E869" s="116"/>
      <c r="F869" s="116"/>
      <c r="G869" s="117"/>
      <c r="H869" s="117"/>
      <c r="I869" s="117"/>
      <c r="J869" s="117"/>
      <c r="K869" s="117"/>
      <c r="L869" s="117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  <c r="AA869" s="117"/>
      <c r="AB869" s="117"/>
    </row>
    <row r="870">
      <c r="A870" s="114"/>
      <c r="B870" s="117"/>
      <c r="C870" s="116"/>
      <c r="D870" s="116"/>
      <c r="E870" s="116"/>
      <c r="F870" s="116"/>
      <c r="G870" s="117"/>
      <c r="H870" s="117"/>
      <c r="I870" s="117"/>
      <c r="J870" s="117"/>
      <c r="K870" s="117"/>
      <c r="L870" s="117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  <c r="AA870" s="117"/>
      <c r="AB870" s="117"/>
    </row>
    <row r="871">
      <c r="A871" s="114"/>
      <c r="B871" s="117"/>
      <c r="C871" s="116"/>
      <c r="D871" s="116"/>
      <c r="E871" s="116"/>
      <c r="F871" s="116"/>
      <c r="G871" s="117"/>
      <c r="H871" s="117"/>
      <c r="I871" s="117"/>
      <c r="J871" s="117"/>
      <c r="K871" s="117"/>
      <c r="L871" s="117"/>
      <c r="M871" s="117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  <c r="AA871" s="117"/>
      <c r="AB871" s="117"/>
    </row>
    <row r="872">
      <c r="A872" s="114"/>
      <c r="B872" s="117"/>
      <c r="C872" s="116"/>
      <c r="D872" s="116"/>
      <c r="E872" s="116"/>
      <c r="F872" s="116"/>
      <c r="G872" s="117"/>
      <c r="H872" s="117"/>
      <c r="I872" s="117"/>
      <c r="J872" s="117"/>
      <c r="K872" s="117"/>
      <c r="L872" s="117"/>
      <c r="M872" s="117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  <c r="AA872" s="117"/>
      <c r="AB872" s="117"/>
    </row>
    <row r="873">
      <c r="A873" s="114"/>
      <c r="B873" s="117"/>
      <c r="C873" s="116"/>
      <c r="D873" s="116"/>
      <c r="E873" s="116"/>
      <c r="F873" s="116"/>
      <c r="G873" s="117"/>
      <c r="H873" s="117"/>
      <c r="I873" s="117"/>
      <c r="J873" s="117"/>
      <c r="K873" s="117"/>
      <c r="L873" s="117"/>
      <c r="M873" s="117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  <c r="AA873" s="117"/>
      <c r="AB873" s="117"/>
    </row>
    <row r="874">
      <c r="A874" s="114"/>
      <c r="B874" s="117"/>
      <c r="C874" s="116"/>
      <c r="D874" s="116"/>
      <c r="E874" s="116"/>
      <c r="F874" s="116"/>
      <c r="G874" s="117"/>
      <c r="H874" s="117"/>
      <c r="I874" s="117"/>
      <c r="J874" s="117"/>
      <c r="K874" s="117"/>
      <c r="L874" s="117"/>
      <c r="M874" s="117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  <c r="AA874" s="117"/>
      <c r="AB874" s="117"/>
    </row>
    <row r="875">
      <c r="A875" s="114"/>
      <c r="B875" s="117"/>
      <c r="C875" s="116"/>
      <c r="D875" s="116"/>
      <c r="E875" s="116"/>
      <c r="F875" s="116"/>
      <c r="G875" s="117"/>
      <c r="H875" s="117"/>
      <c r="I875" s="117"/>
      <c r="J875" s="117"/>
      <c r="K875" s="117"/>
      <c r="L875" s="117"/>
      <c r="M875" s="117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  <c r="AA875" s="117"/>
      <c r="AB875" s="117"/>
    </row>
    <row r="876">
      <c r="A876" s="114"/>
      <c r="B876" s="117"/>
      <c r="C876" s="116"/>
      <c r="D876" s="116"/>
      <c r="E876" s="116"/>
      <c r="F876" s="116"/>
      <c r="G876" s="117"/>
      <c r="H876" s="117"/>
      <c r="I876" s="117"/>
      <c r="J876" s="117"/>
      <c r="K876" s="117"/>
      <c r="L876" s="117"/>
      <c r="M876" s="117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  <c r="AA876" s="117"/>
      <c r="AB876" s="117"/>
    </row>
    <row r="877">
      <c r="A877" s="114"/>
      <c r="B877" s="117"/>
      <c r="C877" s="116"/>
      <c r="D877" s="116"/>
      <c r="E877" s="116"/>
      <c r="F877" s="116"/>
      <c r="G877" s="117"/>
      <c r="H877" s="117"/>
      <c r="I877" s="117"/>
      <c r="J877" s="117"/>
      <c r="K877" s="117"/>
      <c r="L877" s="117"/>
      <c r="M877" s="117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17"/>
      <c r="Y877" s="117"/>
      <c r="Z877" s="117"/>
      <c r="AA877" s="117"/>
      <c r="AB877" s="117"/>
    </row>
    <row r="878">
      <c r="A878" s="114"/>
      <c r="B878" s="117"/>
      <c r="C878" s="116"/>
      <c r="D878" s="116"/>
      <c r="E878" s="116"/>
      <c r="F878" s="116"/>
      <c r="G878" s="117"/>
      <c r="H878" s="117"/>
      <c r="I878" s="117"/>
      <c r="J878" s="117"/>
      <c r="K878" s="117"/>
      <c r="L878" s="117"/>
      <c r="M878" s="117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  <c r="AA878" s="117"/>
      <c r="AB878" s="117"/>
    </row>
    <row r="879">
      <c r="A879" s="114"/>
      <c r="B879" s="117"/>
      <c r="C879" s="116"/>
      <c r="D879" s="116"/>
      <c r="E879" s="116"/>
      <c r="F879" s="116"/>
      <c r="G879" s="117"/>
      <c r="H879" s="117"/>
      <c r="I879" s="117"/>
      <c r="J879" s="117"/>
      <c r="K879" s="117"/>
      <c r="L879" s="117"/>
      <c r="M879" s="117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  <c r="AA879" s="117"/>
      <c r="AB879" s="117"/>
    </row>
    <row r="880">
      <c r="A880" s="114"/>
      <c r="B880" s="117"/>
      <c r="C880" s="116"/>
      <c r="D880" s="116"/>
      <c r="E880" s="116"/>
      <c r="F880" s="116"/>
      <c r="G880" s="117"/>
      <c r="H880" s="117"/>
      <c r="I880" s="117"/>
      <c r="J880" s="117"/>
      <c r="K880" s="117"/>
      <c r="L880" s="117"/>
      <c r="M880" s="117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  <c r="AA880" s="117"/>
      <c r="AB880" s="117"/>
    </row>
    <row r="881">
      <c r="A881" s="114"/>
      <c r="B881" s="117"/>
      <c r="C881" s="116"/>
      <c r="D881" s="116"/>
      <c r="E881" s="116"/>
      <c r="F881" s="116"/>
      <c r="G881" s="117"/>
      <c r="H881" s="117"/>
      <c r="I881" s="117"/>
      <c r="J881" s="117"/>
      <c r="K881" s="117"/>
      <c r="L881" s="117"/>
      <c r="M881" s="117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  <c r="AA881" s="117"/>
      <c r="AB881" s="117"/>
    </row>
    <row r="882">
      <c r="A882" s="114"/>
      <c r="B882" s="117"/>
      <c r="C882" s="116"/>
      <c r="D882" s="116"/>
      <c r="E882" s="116"/>
      <c r="F882" s="116"/>
      <c r="G882" s="117"/>
      <c r="H882" s="117"/>
      <c r="I882" s="117"/>
      <c r="J882" s="117"/>
      <c r="K882" s="117"/>
      <c r="L882" s="117"/>
      <c r="M882" s="117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  <c r="AA882" s="117"/>
      <c r="AB882" s="117"/>
    </row>
    <row r="883">
      <c r="A883" s="114"/>
      <c r="B883" s="117"/>
      <c r="C883" s="116"/>
      <c r="D883" s="116"/>
      <c r="E883" s="116"/>
      <c r="F883" s="116"/>
      <c r="G883" s="117"/>
      <c r="H883" s="117"/>
      <c r="I883" s="117"/>
      <c r="J883" s="117"/>
      <c r="K883" s="117"/>
      <c r="L883" s="117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  <c r="AA883" s="117"/>
      <c r="AB883" s="117"/>
    </row>
    <row r="884">
      <c r="A884" s="114"/>
      <c r="B884" s="117"/>
      <c r="C884" s="116"/>
      <c r="D884" s="116"/>
      <c r="E884" s="116"/>
      <c r="F884" s="116"/>
      <c r="G884" s="117"/>
      <c r="H884" s="117"/>
      <c r="I884" s="117"/>
      <c r="J884" s="117"/>
      <c r="K884" s="117"/>
      <c r="L884" s="117"/>
      <c r="M884" s="117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  <c r="AA884" s="117"/>
      <c r="AB884" s="117"/>
    </row>
    <row r="885">
      <c r="A885" s="114"/>
      <c r="B885" s="117"/>
      <c r="C885" s="116"/>
      <c r="D885" s="116"/>
      <c r="E885" s="116"/>
      <c r="F885" s="116"/>
      <c r="G885" s="117"/>
      <c r="H885" s="117"/>
      <c r="I885" s="117"/>
      <c r="J885" s="117"/>
      <c r="K885" s="117"/>
      <c r="L885" s="117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  <c r="AA885" s="117"/>
      <c r="AB885" s="117"/>
    </row>
    <row r="886">
      <c r="A886" s="114"/>
      <c r="B886" s="117"/>
      <c r="C886" s="116"/>
      <c r="D886" s="116"/>
      <c r="E886" s="116"/>
      <c r="F886" s="116"/>
      <c r="G886" s="117"/>
      <c r="H886" s="117"/>
      <c r="I886" s="117"/>
      <c r="J886" s="117"/>
      <c r="K886" s="117"/>
      <c r="L886" s="117"/>
      <c r="M886" s="117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  <c r="AA886" s="117"/>
      <c r="AB886" s="117"/>
    </row>
    <row r="887">
      <c r="A887" s="114"/>
      <c r="B887" s="117"/>
      <c r="C887" s="116"/>
      <c r="D887" s="116"/>
      <c r="E887" s="116"/>
      <c r="F887" s="116"/>
      <c r="G887" s="117"/>
      <c r="H887" s="117"/>
      <c r="I887" s="117"/>
      <c r="J887" s="117"/>
      <c r="K887" s="117"/>
      <c r="L887" s="117"/>
      <c r="M887" s="117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  <c r="AA887" s="117"/>
      <c r="AB887" s="117"/>
    </row>
    <row r="888">
      <c r="A888" s="114"/>
      <c r="B888" s="117"/>
      <c r="C888" s="116"/>
      <c r="D888" s="116"/>
      <c r="E888" s="116"/>
      <c r="F888" s="116"/>
      <c r="G888" s="117"/>
      <c r="H888" s="117"/>
      <c r="I888" s="117"/>
      <c r="J888" s="117"/>
      <c r="K888" s="117"/>
      <c r="L888" s="117"/>
      <c r="M888" s="117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  <c r="AA888" s="117"/>
      <c r="AB888" s="117"/>
    </row>
    <row r="889">
      <c r="A889" s="114"/>
      <c r="B889" s="117"/>
      <c r="C889" s="116"/>
      <c r="D889" s="116"/>
      <c r="E889" s="116"/>
      <c r="F889" s="116"/>
      <c r="G889" s="117"/>
      <c r="H889" s="117"/>
      <c r="I889" s="117"/>
      <c r="J889" s="117"/>
      <c r="K889" s="117"/>
      <c r="L889" s="117"/>
      <c r="M889" s="117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17"/>
      <c r="Y889" s="117"/>
      <c r="Z889" s="117"/>
      <c r="AA889" s="117"/>
      <c r="AB889" s="117"/>
    </row>
    <row r="890">
      <c r="A890" s="114"/>
      <c r="B890" s="117"/>
      <c r="C890" s="116"/>
      <c r="D890" s="116"/>
      <c r="E890" s="116"/>
      <c r="F890" s="116"/>
      <c r="G890" s="117"/>
      <c r="H890" s="117"/>
      <c r="I890" s="117"/>
      <c r="J890" s="117"/>
      <c r="K890" s="117"/>
      <c r="L890" s="117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  <c r="AA890" s="117"/>
      <c r="AB890" s="117"/>
    </row>
    <row r="891">
      <c r="A891" s="114"/>
      <c r="B891" s="117"/>
      <c r="C891" s="116"/>
      <c r="D891" s="116"/>
      <c r="E891" s="116"/>
      <c r="F891" s="116"/>
      <c r="G891" s="117"/>
      <c r="H891" s="117"/>
      <c r="I891" s="117"/>
      <c r="J891" s="117"/>
      <c r="K891" s="117"/>
      <c r="L891" s="117"/>
      <c r="M891" s="117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  <c r="AA891" s="117"/>
      <c r="AB891" s="117"/>
    </row>
    <row r="892">
      <c r="A892" s="114"/>
      <c r="B892" s="117"/>
      <c r="C892" s="116"/>
      <c r="D892" s="116"/>
      <c r="E892" s="116"/>
      <c r="F892" s="116"/>
      <c r="G892" s="117"/>
      <c r="H892" s="117"/>
      <c r="I892" s="117"/>
      <c r="J892" s="117"/>
      <c r="K892" s="117"/>
      <c r="L892" s="117"/>
      <c r="M892" s="117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  <c r="AA892" s="117"/>
      <c r="AB892" s="117"/>
    </row>
    <row r="893">
      <c r="A893" s="114"/>
      <c r="B893" s="117"/>
      <c r="C893" s="116"/>
      <c r="D893" s="116"/>
      <c r="E893" s="116"/>
      <c r="F893" s="116"/>
      <c r="G893" s="117"/>
      <c r="H893" s="117"/>
      <c r="I893" s="117"/>
      <c r="J893" s="117"/>
      <c r="K893" s="117"/>
      <c r="L893" s="117"/>
      <c r="M893" s="117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  <c r="AA893" s="117"/>
      <c r="AB893" s="117"/>
    </row>
    <row r="894">
      <c r="A894" s="114"/>
      <c r="B894" s="117"/>
      <c r="C894" s="116"/>
      <c r="D894" s="116"/>
      <c r="E894" s="116"/>
      <c r="F894" s="116"/>
      <c r="G894" s="117"/>
      <c r="H894" s="117"/>
      <c r="I894" s="117"/>
      <c r="J894" s="117"/>
      <c r="K894" s="117"/>
      <c r="L894" s="117"/>
      <c r="M894" s="117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  <c r="AA894" s="117"/>
      <c r="AB894" s="117"/>
    </row>
    <row r="895">
      <c r="A895" s="114"/>
      <c r="B895" s="117"/>
      <c r="C895" s="116"/>
      <c r="D895" s="116"/>
      <c r="E895" s="116"/>
      <c r="F895" s="116"/>
      <c r="G895" s="117"/>
      <c r="H895" s="117"/>
      <c r="I895" s="117"/>
      <c r="J895" s="117"/>
      <c r="K895" s="117"/>
      <c r="L895" s="117"/>
      <c r="M895" s="117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  <c r="AA895" s="117"/>
      <c r="AB895" s="117"/>
    </row>
    <row r="896">
      <c r="A896" s="114"/>
      <c r="B896" s="117"/>
      <c r="C896" s="116"/>
      <c r="D896" s="116"/>
      <c r="E896" s="116"/>
      <c r="F896" s="116"/>
      <c r="G896" s="117"/>
      <c r="H896" s="117"/>
      <c r="I896" s="117"/>
      <c r="J896" s="117"/>
      <c r="K896" s="117"/>
      <c r="L896" s="117"/>
      <c r="M896" s="117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117"/>
      <c r="AB896" s="117"/>
    </row>
    <row r="897">
      <c r="A897" s="114"/>
      <c r="B897" s="117"/>
      <c r="C897" s="116"/>
      <c r="D897" s="116"/>
      <c r="E897" s="116"/>
      <c r="F897" s="116"/>
      <c r="G897" s="117"/>
      <c r="H897" s="117"/>
      <c r="I897" s="117"/>
      <c r="J897" s="117"/>
      <c r="K897" s="117"/>
      <c r="L897" s="117"/>
      <c r="M897" s="117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  <c r="AA897" s="117"/>
      <c r="AB897" s="117"/>
    </row>
    <row r="898">
      <c r="A898" s="114"/>
      <c r="B898" s="117"/>
      <c r="C898" s="116"/>
      <c r="D898" s="116"/>
      <c r="E898" s="116"/>
      <c r="F898" s="116"/>
      <c r="G898" s="117"/>
      <c r="H898" s="117"/>
      <c r="I898" s="117"/>
      <c r="J898" s="117"/>
      <c r="K898" s="117"/>
      <c r="L898" s="117"/>
      <c r="M898" s="117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  <c r="AA898" s="117"/>
      <c r="AB898" s="117"/>
    </row>
    <row r="899">
      <c r="A899" s="114"/>
      <c r="B899" s="117"/>
      <c r="C899" s="116"/>
      <c r="D899" s="116"/>
      <c r="E899" s="116"/>
      <c r="F899" s="116"/>
      <c r="G899" s="117"/>
      <c r="H899" s="117"/>
      <c r="I899" s="117"/>
      <c r="J899" s="117"/>
      <c r="K899" s="117"/>
      <c r="L899" s="117"/>
      <c r="M899" s="117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  <c r="AA899" s="117"/>
      <c r="AB899" s="117"/>
    </row>
    <row r="900">
      <c r="A900" s="114"/>
      <c r="B900" s="117"/>
      <c r="C900" s="116"/>
      <c r="D900" s="116"/>
      <c r="E900" s="116"/>
      <c r="F900" s="116"/>
      <c r="G900" s="117"/>
      <c r="H900" s="117"/>
      <c r="I900" s="117"/>
      <c r="J900" s="117"/>
      <c r="K900" s="117"/>
      <c r="L900" s="117"/>
      <c r="M900" s="117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  <c r="AA900" s="117"/>
      <c r="AB900" s="117"/>
    </row>
    <row r="901">
      <c r="A901" s="114"/>
      <c r="B901" s="117"/>
      <c r="C901" s="116"/>
      <c r="D901" s="116"/>
      <c r="E901" s="116"/>
      <c r="F901" s="116"/>
      <c r="G901" s="117"/>
      <c r="H901" s="117"/>
      <c r="I901" s="117"/>
      <c r="J901" s="117"/>
      <c r="K901" s="117"/>
      <c r="L901" s="117"/>
      <c r="M901" s="117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  <c r="X901" s="117"/>
      <c r="Y901" s="117"/>
      <c r="Z901" s="117"/>
      <c r="AA901" s="117"/>
      <c r="AB901" s="117"/>
    </row>
    <row r="902">
      <c r="A902" s="114"/>
      <c r="B902" s="117"/>
      <c r="C902" s="116"/>
      <c r="D902" s="116"/>
      <c r="E902" s="116"/>
      <c r="F902" s="116"/>
      <c r="G902" s="117"/>
      <c r="H902" s="117"/>
      <c r="I902" s="117"/>
      <c r="J902" s="117"/>
      <c r="K902" s="117"/>
      <c r="L902" s="117"/>
      <c r="M902" s="117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  <c r="AA902" s="117"/>
      <c r="AB902" s="117"/>
    </row>
    <row r="903">
      <c r="A903" s="114"/>
      <c r="B903" s="117"/>
      <c r="C903" s="116"/>
      <c r="D903" s="116"/>
      <c r="E903" s="116"/>
      <c r="F903" s="116"/>
      <c r="G903" s="117"/>
      <c r="H903" s="117"/>
      <c r="I903" s="117"/>
      <c r="J903" s="117"/>
      <c r="K903" s="117"/>
      <c r="L903" s="117"/>
      <c r="M903" s="117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  <c r="AA903" s="117"/>
      <c r="AB903" s="117"/>
    </row>
    <row r="904">
      <c r="A904" s="114"/>
      <c r="B904" s="117"/>
      <c r="C904" s="116"/>
      <c r="D904" s="116"/>
      <c r="E904" s="116"/>
      <c r="F904" s="116"/>
      <c r="G904" s="117"/>
      <c r="H904" s="117"/>
      <c r="I904" s="117"/>
      <c r="J904" s="117"/>
      <c r="K904" s="117"/>
      <c r="L904" s="117"/>
      <c r="M904" s="117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  <c r="AA904" s="117"/>
      <c r="AB904" s="117"/>
    </row>
    <row r="905">
      <c r="A905" s="114"/>
      <c r="B905" s="117"/>
      <c r="C905" s="116"/>
      <c r="D905" s="116"/>
      <c r="E905" s="116"/>
      <c r="F905" s="116"/>
      <c r="G905" s="117"/>
      <c r="H905" s="117"/>
      <c r="I905" s="117"/>
      <c r="J905" s="117"/>
      <c r="K905" s="117"/>
      <c r="L905" s="117"/>
      <c r="M905" s="117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  <c r="AA905" s="117"/>
      <c r="AB905" s="117"/>
    </row>
    <row r="906">
      <c r="A906" s="114"/>
      <c r="B906" s="117"/>
      <c r="C906" s="116"/>
      <c r="D906" s="116"/>
      <c r="E906" s="116"/>
      <c r="F906" s="116"/>
      <c r="G906" s="117"/>
      <c r="H906" s="117"/>
      <c r="I906" s="117"/>
      <c r="J906" s="117"/>
      <c r="K906" s="117"/>
      <c r="L906" s="117"/>
      <c r="M906" s="117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  <c r="AA906" s="117"/>
      <c r="AB906" s="117"/>
    </row>
    <row r="907">
      <c r="A907" s="114"/>
      <c r="B907" s="117"/>
      <c r="C907" s="116"/>
      <c r="D907" s="116"/>
      <c r="E907" s="116"/>
      <c r="F907" s="116"/>
      <c r="G907" s="117"/>
      <c r="H907" s="117"/>
      <c r="I907" s="117"/>
      <c r="J907" s="117"/>
      <c r="K907" s="117"/>
      <c r="L907" s="117"/>
      <c r="M907" s="117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  <c r="AA907" s="117"/>
      <c r="AB907" s="117"/>
    </row>
    <row r="908">
      <c r="A908" s="114"/>
      <c r="B908" s="117"/>
      <c r="C908" s="116"/>
      <c r="D908" s="116"/>
      <c r="E908" s="116"/>
      <c r="F908" s="116"/>
      <c r="G908" s="117"/>
      <c r="H908" s="117"/>
      <c r="I908" s="117"/>
      <c r="J908" s="117"/>
      <c r="K908" s="117"/>
      <c r="L908" s="117"/>
      <c r="M908" s="117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  <c r="AA908" s="117"/>
      <c r="AB908" s="117"/>
    </row>
    <row r="909">
      <c r="A909" s="114"/>
      <c r="B909" s="117"/>
      <c r="C909" s="116"/>
      <c r="D909" s="116"/>
      <c r="E909" s="116"/>
      <c r="F909" s="116"/>
      <c r="G909" s="117"/>
      <c r="H909" s="117"/>
      <c r="I909" s="117"/>
      <c r="J909" s="117"/>
      <c r="K909" s="117"/>
      <c r="L909" s="117"/>
      <c r="M909" s="117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  <c r="AA909" s="117"/>
      <c r="AB909" s="117"/>
    </row>
    <row r="910">
      <c r="A910" s="114"/>
      <c r="B910" s="117"/>
      <c r="C910" s="116"/>
      <c r="D910" s="116"/>
      <c r="E910" s="116"/>
      <c r="F910" s="116"/>
      <c r="G910" s="117"/>
      <c r="H910" s="117"/>
      <c r="I910" s="117"/>
      <c r="J910" s="117"/>
      <c r="K910" s="117"/>
      <c r="L910" s="117"/>
      <c r="M910" s="117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  <c r="AA910" s="117"/>
      <c r="AB910" s="117"/>
    </row>
    <row r="911">
      <c r="A911" s="114"/>
      <c r="B911" s="117"/>
      <c r="C911" s="116"/>
      <c r="D911" s="116"/>
      <c r="E911" s="116"/>
      <c r="F911" s="116"/>
      <c r="G911" s="117"/>
      <c r="H911" s="117"/>
      <c r="I911" s="117"/>
      <c r="J911" s="117"/>
      <c r="K911" s="117"/>
      <c r="L911" s="117"/>
      <c r="M911" s="117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  <c r="AA911" s="117"/>
      <c r="AB911" s="117"/>
    </row>
    <row r="912">
      <c r="A912" s="114"/>
      <c r="B912" s="117"/>
      <c r="C912" s="116"/>
      <c r="D912" s="116"/>
      <c r="E912" s="116"/>
      <c r="F912" s="116"/>
      <c r="G912" s="117"/>
      <c r="H912" s="117"/>
      <c r="I912" s="117"/>
      <c r="J912" s="117"/>
      <c r="K912" s="117"/>
      <c r="L912" s="117"/>
      <c r="M912" s="117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  <c r="AA912" s="117"/>
      <c r="AB912" s="117"/>
    </row>
    <row r="913">
      <c r="A913" s="114"/>
      <c r="B913" s="117"/>
      <c r="C913" s="116"/>
      <c r="D913" s="116"/>
      <c r="E913" s="116"/>
      <c r="F913" s="116"/>
      <c r="G913" s="117"/>
      <c r="H913" s="117"/>
      <c r="I913" s="117"/>
      <c r="J913" s="117"/>
      <c r="K913" s="117"/>
      <c r="L913" s="117"/>
      <c r="M913" s="117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  <c r="X913" s="117"/>
      <c r="Y913" s="117"/>
      <c r="Z913" s="117"/>
      <c r="AA913" s="117"/>
      <c r="AB913" s="117"/>
    </row>
    <row r="914">
      <c r="A914" s="114"/>
      <c r="B914" s="117"/>
      <c r="C914" s="116"/>
      <c r="D914" s="116"/>
      <c r="E914" s="116"/>
      <c r="F914" s="116"/>
      <c r="G914" s="117"/>
      <c r="H914" s="117"/>
      <c r="I914" s="117"/>
      <c r="J914" s="117"/>
      <c r="K914" s="117"/>
      <c r="L914" s="117"/>
      <c r="M914" s="117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  <c r="X914" s="117"/>
      <c r="Y914" s="117"/>
      <c r="Z914" s="117"/>
      <c r="AA914" s="117"/>
      <c r="AB914" s="117"/>
    </row>
    <row r="915">
      <c r="A915" s="114"/>
      <c r="B915" s="117"/>
      <c r="C915" s="116"/>
      <c r="D915" s="116"/>
      <c r="E915" s="116"/>
      <c r="F915" s="116"/>
      <c r="G915" s="117"/>
      <c r="H915" s="117"/>
      <c r="I915" s="117"/>
      <c r="J915" s="117"/>
      <c r="K915" s="117"/>
      <c r="L915" s="117"/>
      <c r="M915" s="117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  <c r="AA915" s="117"/>
      <c r="AB915" s="117"/>
    </row>
    <row r="916">
      <c r="A916" s="114"/>
      <c r="B916" s="117"/>
      <c r="C916" s="116"/>
      <c r="D916" s="116"/>
      <c r="E916" s="116"/>
      <c r="F916" s="116"/>
      <c r="G916" s="117"/>
      <c r="H916" s="117"/>
      <c r="I916" s="117"/>
      <c r="J916" s="117"/>
      <c r="K916" s="117"/>
      <c r="L916" s="117"/>
      <c r="M916" s="117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  <c r="X916" s="117"/>
      <c r="Y916" s="117"/>
      <c r="Z916" s="117"/>
      <c r="AA916" s="117"/>
      <c r="AB916" s="117"/>
    </row>
    <row r="917">
      <c r="A917" s="114"/>
      <c r="B917" s="117"/>
      <c r="C917" s="116"/>
      <c r="D917" s="116"/>
      <c r="E917" s="116"/>
      <c r="F917" s="116"/>
      <c r="G917" s="117"/>
      <c r="H917" s="117"/>
      <c r="I917" s="117"/>
      <c r="J917" s="117"/>
      <c r="K917" s="117"/>
      <c r="L917" s="117"/>
      <c r="M917" s="117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  <c r="AA917" s="117"/>
      <c r="AB917" s="117"/>
    </row>
    <row r="918">
      <c r="A918" s="114"/>
      <c r="B918" s="117"/>
      <c r="C918" s="116"/>
      <c r="D918" s="116"/>
      <c r="E918" s="116"/>
      <c r="F918" s="116"/>
      <c r="G918" s="117"/>
      <c r="H918" s="117"/>
      <c r="I918" s="117"/>
      <c r="J918" s="117"/>
      <c r="K918" s="117"/>
      <c r="L918" s="117"/>
      <c r="M918" s="117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  <c r="AA918" s="117"/>
      <c r="AB918" s="117"/>
    </row>
    <row r="919">
      <c r="A919" s="114"/>
      <c r="B919" s="117"/>
      <c r="C919" s="116"/>
      <c r="D919" s="116"/>
      <c r="E919" s="116"/>
      <c r="F919" s="116"/>
      <c r="G919" s="117"/>
      <c r="H919" s="117"/>
      <c r="I919" s="117"/>
      <c r="J919" s="117"/>
      <c r="K919" s="117"/>
      <c r="L919" s="117"/>
      <c r="M919" s="117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  <c r="AA919" s="117"/>
      <c r="AB919" s="117"/>
    </row>
    <row r="920">
      <c r="A920" s="114"/>
      <c r="B920" s="117"/>
      <c r="C920" s="116"/>
      <c r="D920" s="116"/>
      <c r="E920" s="116"/>
      <c r="F920" s="116"/>
      <c r="G920" s="117"/>
      <c r="H920" s="117"/>
      <c r="I920" s="117"/>
      <c r="J920" s="117"/>
      <c r="K920" s="117"/>
      <c r="L920" s="117"/>
      <c r="M920" s="117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  <c r="AA920" s="117"/>
      <c r="AB920" s="117"/>
    </row>
    <row r="921">
      <c r="A921" s="114"/>
      <c r="B921" s="117"/>
      <c r="C921" s="116"/>
      <c r="D921" s="116"/>
      <c r="E921" s="116"/>
      <c r="F921" s="116"/>
      <c r="G921" s="117"/>
      <c r="H921" s="117"/>
      <c r="I921" s="117"/>
      <c r="J921" s="117"/>
      <c r="K921" s="117"/>
      <c r="L921" s="117"/>
      <c r="M921" s="117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  <c r="AA921" s="117"/>
      <c r="AB921" s="117"/>
    </row>
    <row r="922">
      <c r="A922" s="114"/>
      <c r="B922" s="117"/>
      <c r="C922" s="116"/>
      <c r="D922" s="116"/>
      <c r="E922" s="116"/>
      <c r="F922" s="116"/>
      <c r="G922" s="117"/>
      <c r="H922" s="117"/>
      <c r="I922" s="117"/>
      <c r="J922" s="117"/>
      <c r="K922" s="117"/>
      <c r="L922" s="117"/>
      <c r="M922" s="117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  <c r="AA922" s="117"/>
      <c r="AB922" s="117"/>
    </row>
    <row r="923">
      <c r="A923" s="114"/>
      <c r="B923" s="117"/>
      <c r="C923" s="116"/>
      <c r="D923" s="116"/>
      <c r="E923" s="116"/>
      <c r="F923" s="116"/>
      <c r="G923" s="117"/>
      <c r="H923" s="117"/>
      <c r="I923" s="117"/>
      <c r="J923" s="117"/>
      <c r="K923" s="117"/>
      <c r="L923" s="117"/>
      <c r="M923" s="117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  <c r="AA923" s="117"/>
      <c r="AB923" s="117"/>
    </row>
    <row r="924">
      <c r="A924" s="114"/>
      <c r="B924" s="117"/>
      <c r="C924" s="116"/>
      <c r="D924" s="116"/>
      <c r="E924" s="116"/>
      <c r="F924" s="116"/>
      <c r="G924" s="117"/>
      <c r="H924" s="117"/>
      <c r="I924" s="117"/>
      <c r="J924" s="117"/>
      <c r="K924" s="117"/>
      <c r="L924" s="117"/>
      <c r="M924" s="117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  <c r="AA924" s="117"/>
      <c r="AB924" s="117"/>
    </row>
    <row r="925">
      <c r="A925" s="114"/>
      <c r="B925" s="117"/>
      <c r="C925" s="116"/>
      <c r="D925" s="116"/>
      <c r="E925" s="116"/>
      <c r="F925" s="116"/>
      <c r="G925" s="117"/>
      <c r="H925" s="117"/>
      <c r="I925" s="117"/>
      <c r="J925" s="117"/>
      <c r="K925" s="117"/>
      <c r="L925" s="117"/>
      <c r="M925" s="117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  <c r="X925" s="117"/>
      <c r="Y925" s="117"/>
      <c r="Z925" s="117"/>
      <c r="AA925" s="117"/>
      <c r="AB925" s="117"/>
    </row>
    <row r="926">
      <c r="A926" s="114"/>
      <c r="B926" s="117"/>
      <c r="C926" s="116"/>
      <c r="D926" s="116"/>
      <c r="E926" s="116"/>
      <c r="F926" s="116"/>
      <c r="G926" s="117"/>
      <c r="H926" s="117"/>
      <c r="I926" s="117"/>
      <c r="J926" s="117"/>
      <c r="K926" s="117"/>
      <c r="L926" s="117"/>
      <c r="M926" s="117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  <c r="AA926" s="117"/>
      <c r="AB926" s="117"/>
    </row>
    <row r="927">
      <c r="A927" s="114"/>
      <c r="B927" s="117"/>
      <c r="C927" s="116"/>
      <c r="D927" s="116"/>
      <c r="E927" s="116"/>
      <c r="F927" s="116"/>
      <c r="G927" s="117"/>
      <c r="H927" s="117"/>
      <c r="I927" s="117"/>
      <c r="J927" s="117"/>
      <c r="K927" s="117"/>
      <c r="L927" s="117"/>
      <c r="M927" s="117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  <c r="AA927" s="117"/>
      <c r="AB927" s="117"/>
    </row>
    <row r="928">
      <c r="A928" s="114"/>
      <c r="B928" s="117"/>
      <c r="C928" s="116"/>
      <c r="D928" s="116"/>
      <c r="E928" s="116"/>
      <c r="F928" s="116"/>
      <c r="G928" s="117"/>
      <c r="H928" s="117"/>
      <c r="I928" s="117"/>
      <c r="J928" s="117"/>
      <c r="K928" s="117"/>
      <c r="L928" s="117"/>
      <c r="M928" s="117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  <c r="AA928" s="117"/>
      <c r="AB928" s="117"/>
    </row>
    <row r="929">
      <c r="A929" s="114"/>
      <c r="B929" s="117"/>
      <c r="C929" s="116"/>
      <c r="D929" s="116"/>
      <c r="E929" s="116"/>
      <c r="F929" s="116"/>
      <c r="G929" s="117"/>
      <c r="H929" s="117"/>
      <c r="I929" s="117"/>
      <c r="J929" s="117"/>
      <c r="K929" s="117"/>
      <c r="L929" s="117"/>
      <c r="M929" s="117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  <c r="AA929" s="117"/>
      <c r="AB929" s="117"/>
    </row>
    <row r="930">
      <c r="A930" s="114"/>
      <c r="B930" s="117"/>
      <c r="C930" s="116"/>
      <c r="D930" s="116"/>
      <c r="E930" s="116"/>
      <c r="F930" s="116"/>
      <c r="G930" s="117"/>
      <c r="H930" s="117"/>
      <c r="I930" s="117"/>
      <c r="J930" s="117"/>
      <c r="K930" s="117"/>
      <c r="L930" s="117"/>
      <c r="M930" s="117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  <c r="AA930" s="117"/>
      <c r="AB930" s="117"/>
    </row>
    <row r="931">
      <c r="A931" s="114"/>
      <c r="B931" s="117"/>
      <c r="C931" s="116"/>
      <c r="D931" s="116"/>
      <c r="E931" s="116"/>
      <c r="F931" s="116"/>
      <c r="G931" s="117"/>
      <c r="H931" s="117"/>
      <c r="I931" s="117"/>
      <c r="J931" s="117"/>
      <c r="K931" s="117"/>
      <c r="L931" s="117"/>
      <c r="M931" s="117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  <c r="AA931" s="117"/>
      <c r="AB931" s="117"/>
    </row>
    <row r="932">
      <c r="A932" s="114"/>
      <c r="B932" s="117"/>
      <c r="C932" s="116"/>
      <c r="D932" s="116"/>
      <c r="E932" s="116"/>
      <c r="F932" s="116"/>
      <c r="G932" s="117"/>
      <c r="H932" s="117"/>
      <c r="I932" s="117"/>
      <c r="J932" s="117"/>
      <c r="K932" s="117"/>
      <c r="L932" s="117"/>
      <c r="M932" s="117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  <c r="AA932" s="117"/>
      <c r="AB932" s="117"/>
    </row>
    <row r="933">
      <c r="A933" s="114"/>
      <c r="B933" s="117"/>
      <c r="C933" s="116"/>
      <c r="D933" s="116"/>
      <c r="E933" s="116"/>
      <c r="F933" s="116"/>
      <c r="G933" s="117"/>
      <c r="H933" s="117"/>
      <c r="I933" s="117"/>
      <c r="J933" s="117"/>
      <c r="K933" s="117"/>
      <c r="L933" s="117"/>
      <c r="M933" s="117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  <c r="AA933" s="117"/>
      <c r="AB933" s="117"/>
    </row>
    <row r="934">
      <c r="A934" s="114"/>
      <c r="B934" s="117"/>
      <c r="C934" s="116"/>
      <c r="D934" s="116"/>
      <c r="E934" s="116"/>
      <c r="F934" s="116"/>
      <c r="G934" s="117"/>
      <c r="H934" s="117"/>
      <c r="I934" s="117"/>
      <c r="J934" s="117"/>
      <c r="K934" s="117"/>
      <c r="L934" s="117"/>
      <c r="M934" s="117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117"/>
      <c r="AB934" s="117"/>
    </row>
    <row r="935">
      <c r="A935" s="114"/>
      <c r="B935" s="117"/>
      <c r="C935" s="116"/>
      <c r="D935" s="116"/>
      <c r="E935" s="116"/>
      <c r="F935" s="116"/>
      <c r="G935" s="117"/>
      <c r="H935" s="117"/>
      <c r="I935" s="117"/>
      <c r="J935" s="117"/>
      <c r="K935" s="117"/>
      <c r="L935" s="117"/>
      <c r="M935" s="117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  <c r="AA935" s="117"/>
      <c r="AB935" s="117"/>
    </row>
    <row r="936">
      <c r="A936" s="114"/>
      <c r="B936" s="117"/>
      <c r="C936" s="116"/>
      <c r="D936" s="116"/>
      <c r="E936" s="116"/>
      <c r="F936" s="116"/>
      <c r="G936" s="117"/>
      <c r="H936" s="117"/>
      <c r="I936" s="117"/>
      <c r="J936" s="117"/>
      <c r="K936" s="117"/>
      <c r="L936" s="117"/>
      <c r="M936" s="117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  <c r="AA936" s="117"/>
      <c r="AB936" s="117"/>
    </row>
    <row r="937">
      <c r="A937" s="114"/>
      <c r="B937" s="117"/>
      <c r="C937" s="116"/>
      <c r="D937" s="116"/>
      <c r="E937" s="116"/>
      <c r="F937" s="116"/>
      <c r="G937" s="117"/>
      <c r="H937" s="117"/>
      <c r="I937" s="117"/>
      <c r="J937" s="117"/>
      <c r="K937" s="117"/>
      <c r="L937" s="117"/>
      <c r="M937" s="117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  <c r="X937" s="117"/>
      <c r="Y937" s="117"/>
      <c r="Z937" s="117"/>
      <c r="AA937" s="117"/>
      <c r="AB937" s="117"/>
    </row>
    <row r="938">
      <c r="A938" s="114"/>
      <c r="B938" s="117"/>
      <c r="C938" s="116"/>
      <c r="D938" s="116"/>
      <c r="E938" s="116"/>
      <c r="F938" s="116"/>
      <c r="G938" s="117"/>
      <c r="H938" s="117"/>
      <c r="I938" s="117"/>
      <c r="J938" s="117"/>
      <c r="K938" s="117"/>
      <c r="L938" s="117"/>
      <c r="M938" s="117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  <c r="AA938" s="117"/>
      <c r="AB938" s="117"/>
    </row>
    <row r="939">
      <c r="A939" s="114"/>
      <c r="B939" s="117"/>
      <c r="C939" s="116"/>
      <c r="D939" s="116"/>
      <c r="E939" s="116"/>
      <c r="F939" s="116"/>
      <c r="G939" s="117"/>
      <c r="H939" s="117"/>
      <c r="I939" s="117"/>
      <c r="J939" s="117"/>
      <c r="K939" s="117"/>
      <c r="L939" s="117"/>
      <c r="M939" s="117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  <c r="AA939" s="117"/>
      <c r="AB939" s="117"/>
    </row>
    <row r="940">
      <c r="A940" s="114"/>
      <c r="B940" s="117"/>
      <c r="C940" s="116"/>
      <c r="D940" s="116"/>
      <c r="E940" s="116"/>
      <c r="F940" s="116"/>
      <c r="G940" s="117"/>
      <c r="H940" s="117"/>
      <c r="I940" s="117"/>
      <c r="J940" s="117"/>
      <c r="K940" s="117"/>
      <c r="L940" s="117"/>
      <c r="M940" s="117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  <c r="AA940" s="117"/>
      <c r="AB940" s="117"/>
    </row>
    <row r="941">
      <c r="A941" s="114"/>
      <c r="B941" s="117"/>
      <c r="C941" s="116"/>
      <c r="D941" s="116"/>
      <c r="E941" s="116"/>
      <c r="F941" s="116"/>
      <c r="G941" s="117"/>
      <c r="H941" s="117"/>
      <c r="I941" s="117"/>
      <c r="J941" s="117"/>
      <c r="K941" s="117"/>
      <c r="L941" s="117"/>
      <c r="M941" s="117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  <c r="AA941" s="117"/>
      <c r="AB941" s="117"/>
    </row>
    <row r="942">
      <c r="A942" s="114"/>
      <c r="B942" s="117"/>
      <c r="C942" s="116"/>
      <c r="D942" s="116"/>
      <c r="E942" s="116"/>
      <c r="F942" s="116"/>
      <c r="G942" s="117"/>
      <c r="H942" s="117"/>
      <c r="I942" s="117"/>
      <c r="J942" s="117"/>
      <c r="K942" s="117"/>
      <c r="L942" s="117"/>
      <c r="M942" s="117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  <c r="AA942" s="117"/>
      <c r="AB942" s="117"/>
    </row>
    <row r="943">
      <c r="A943" s="114"/>
      <c r="B943" s="117"/>
      <c r="C943" s="116"/>
      <c r="D943" s="116"/>
      <c r="E943" s="116"/>
      <c r="F943" s="116"/>
      <c r="G943" s="117"/>
      <c r="H943" s="117"/>
      <c r="I943" s="117"/>
      <c r="J943" s="117"/>
      <c r="K943" s="117"/>
      <c r="L943" s="117"/>
      <c r="M943" s="117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  <c r="AA943" s="117"/>
      <c r="AB943" s="117"/>
    </row>
    <row r="944">
      <c r="A944" s="114"/>
      <c r="B944" s="117"/>
      <c r="C944" s="116"/>
      <c r="D944" s="116"/>
      <c r="E944" s="116"/>
      <c r="F944" s="116"/>
      <c r="G944" s="117"/>
      <c r="H944" s="117"/>
      <c r="I944" s="117"/>
      <c r="J944" s="117"/>
      <c r="K944" s="117"/>
      <c r="L944" s="117"/>
      <c r="M944" s="117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  <c r="AA944" s="117"/>
      <c r="AB944" s="117"/>
    </row>
    <row r="945">
      <c r="A945" s="114"/>
      <c r="B945" s="117"/>
      <c r="C945" s="116"/>
      <c r="D945" s="116"/>
      <c r="E945" s="116"/>
      <c r="F945" s="116"/>
      <c r="G945" s="117"/>
      <c r="H945" s="117"/>
      <c r="I945" s="117"/>
      <c r="J945" s="117"/>
      <c r="K945" s="117"/>
      <c r="L945" s="117"/>
      <c r="M945" s="117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  <c r="AA945" s="117"/>
      <c r="AB945" s="117"/>
    </row>
    <row r="946">
      <c r="A946" s="114"/>
      <c r="B946" s="117"/>
      <c r="C946" s="116"/>
      <c r="D946" s="116"/>
      <c r="E946" s="116"/>
      <c r="F946" s="116"/>
      <c r="G946" s="117"/>
      <c r="H946" s="117"/>
      <c r="I946" s="117"/>
      <c r="J946" s="117"/>
      <c r="K946" s="117"/>
      <c r="L946" s="117"/>
      <c r="M946" s="117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  <c r="AA946" s="117"/>
      <c r="AB946" s="117"/>
    </row>
    <row r="947">
      <c r="A947" s="114"/>
      <c r="B947" s="117"/>
      <c r="C947" s="116"/>
      <c r="D947" s="116"/>
      <c r="E947" s="116"/>
      <c r="F947" s="116"/>
      <c r="G947" s="117"/>
      <c r="H947" s="117"/>
      <c r="I947" s="117"/>
      <c r="J947" s="117"/>
      <c r="K947" s="117"/>
      <c r="L947" s="117"/>
      <c r="M947" s="117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  <c r="AA947" s="117"/>
      <c r="AB947" s="117"/>
    </row>
    <row r="948">
      <c r="A948" s="114"/>
      <c r="B948" s="117"/>
      <c r="C948" s="116"/>
      <c r="D948" s="116"/>
      <c r="E948" s="116"/>
      <c r="F948" s="116"/>
      <c r="G948" s="117"/>
      <c r="H948" s="117"/>
      <c r="I948" s="117"/>
      <c r="J948" s="117"/>
      <c r="K948" s="117"/>
      <c r="L948" s="117"/>
      <c r="M948" s="117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  <c r="AA948" s="117"/>
      <c r="AB948" s="117"/>
    </row>
    <row r="949">
      <c r="A949" s="114"/>
      <c r="B949" s="117"/>
      <c r="C949" s="116"/>
      <c r="D949" s="116"/>
      <c r="E949" s="116"/>
      <c r="F949" s="116"/>
      <c r="G949" s="117"/>
      <c r="H949" s="117"/>
      <c r="I949" s="117"/>
      <c r="J949" s="117"/>
      <c r="K949" s="117"/>
      <c r="L949" s="117"/>
      <c r="M949" s="117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  <c r="X949" s="117"/>
      <c r="Y949" s="117"/>
      <c r="Z949" s="117"/>
      <c r="AA949" s="117"/>
      <c r="AB949" s="117"/>
    </row>
    <row r="950">
      <c r="A950" s="114"/>
      <c r="B950" s="117"/>
      <c r="C950" s="116"/>
      <c r="D950" s="116"/>
      <c r="E950" s="116"/>
      <c r="F950" s="116"/>
      <c r="G950" s="117"/>
      <c r="H950" s="117"/>
      <c r="I950" s="117"/>
      <c r="J950" s="117"/>
      <c r="K950" s="117"/>
      <c r="L950" s="117"/>
      <c r="M950" s="117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  <c r="AA950" s="117"/>
      <c r="AB950" s="117"/>
    </row>
    <row r="951">
      <c r="A951" s="114"/>
      <c r="B951" s="117"/>
      <c r="C951" s="116"/>
      <c r="D951" s="116"/>
      <c r="E951" s="116"/>
      <c r="F951" s="116"/>
      <c r="G951" s="117"/>
      <c r="H951" s="117"/>
      <c r="I951" s="117"/>
      <c r="J951" s="117"/>
      <c r="K951" s="117"/>
      <c r="L951" s="117"/>
      <c r="M951" s="117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  <c r="AA951" s="117"/>
      <c r="AB951" s="117"/>
    </row>
    <row r="952">
      <c r="A952" s="114"/>
      <c r="B952" s="117"/>
      <c r="C952" s="116"/>
      <c r="D952" s="116"/>
      <c r="E952" s="116"/>
      <c r="F952" s="116"/>
      <c r="G952" s="117"/>
      <c r="H952" s="117"/>
      <c r="I952" s="117"/>
      <c r="J952" s="117"/>
      <c r="K952" s="117"/>
      <c r="L952" s="117"/>
      <c r="M952" s="117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  <c r="AA952" s="117"/>
      <c r="AB952" s="117"/>
    </row>
    <row r="953">
      <c r="A953" s="114"/>
      <c r="B953" s="117"/>
      <c r="C953" s="116"/>
      <c r="D953" s="116"/>
      <c r="E953" s="116"/>
      <c r="F953" s="116"/>
      <c r="G953" s="117"/>
      <c r="H953" s="117"/>
      <c r="I953" s="117"/>
      <c r="J953" s="117"/>
      <c r="K953" s="117"/>
      <c r="L953" s="117"/>
      <c r="M953" s="117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  <c r="X953" s="117"/>
      <c r="Y953" s="117"/>
      <c r="Z953" s="117"/>
      <c r="AA953" s="117"/>
      <c r="AB953" s="117"/>
    </row>
    <row r="954">
      <c r="A954" s="114"/>
      <c r="B954" s="117"/>
      <c r="C954" s="116"/>
      <c r="D954" s="116"/>
      <c r="E954" s="116"/>
      <c r="F954" s="116"/>
      <c r="G954" s="117"/>
      <c r="H954" s="117"/>
      <c r="I954" s="117"/>
      <c r="J954" s="117"/>
      <c r="K954" s="117"/>
      <c r="L954" s="117"/>
      <c r="M954" s="117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  <c r="X954" s="117"/>
      <c r="Y954" s="117"/>
      <c r="Z954" s="117"/>
      <c r="AA954" s="117"/>
      <c r="AB954" s="117"/>
    </row>
    <row r="955">
      <c r="A955" s="114"/>
      <c r="B955" s="117"/>
      <c r="C955" s="116"/>
      <c r="D955" s="116"/>
      <c r="E955" s="116"/>
      <c r="F955" s="116"/>
      <c r="G955" s="117"/>
      <c r="H955" s="117"/>
      <c r="I955" s="117"/>
      <c r="J955" s="117"/>
      <c r="K955" s="117"/>
      <c r="L955" s="117"/>
      <c r="M955" s="117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  <c r="X955" s="117"/>
      <c r="Y955" s="117"/>
      <c r="Z955" s="117"/>
      <c r="AA955" s="117"/>
      <c r="AB955" s="117"/>
    </row>
    <row r="956">
      <c r="A956" s="114"/>
      <c r="B956" s="117"/>
      <c r="C956" s="116"/>
      <c r="D956" s="116"/>
      <c r="E956" s="116"/>
      <c r="F956" s="116"/>
      <c r="G956" s="117"/>
      <c r="H956" s="117"/>
      <c r="I956" s="117"/>
      <c r="J956" s="117"/>
      <c r="K956" s="117"/>
      <c r="L956" s="117"/>
      <c r="M956" s="117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  <c r="X956" s="117"/>
      <c r="Y956" s="117"/>
      <c r="Z956" s="117"/>
      <c r="AA956" s="117"/>
      <c r="AB956" s="117"/>
    </row>
    <row r="957">
      <c r="A957" s="114"/>
      <c r="B957" s="117"/>
      <c r="C957" s="116"/>
      <c r="D957" s="116"/>
      <c r="E957" s="116"/>
      <c r="F957" s="116"/>
      <c r="G957" s="117"/>
      <c r="H957" s="117"/>
      <c r="I957" s="117"/>
      <c r="J957" s="117"/>
      <c r="K957" s="117"/>
      <c r="L957" s="117"/>
      <c r="M957" s="117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  <c r="X957" s="117"/>
      <c r="Y957" s="117"/>
      <c r="Z957" s="117"/>
      <c r="AA957" s="117"/>
      <c r="AB957" s="117"/>
    </row>
    <row r="958">
      <c r="A958" s="114"/>
      <c r="B958" s="117"/>
      <c r="C958" s="116"/>
      <c r="D958" s="116"/>
      <c r="E958" s="116"/>
      <c r="F958" s="116"/>
      <c r="G958" s="117"/>
      <c r="H958" s="117"/>
      <c r="I958" s="117"/>
      <c r="J958" s="117"/>
      <c r="K958" s="117"/>
      <c r="L958" s="117"/>
      <c r="M958" s="117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  <c r="X958" s="117"/>
      <c r="Y958" s="117"/>
      <c r="Z958" s="117"/>
      <c r="AA958" s="117"/>
      <c r="AB958" s="117"/>
    </row>
    <row r="959">
      <c r="A959" s="114"/>
      <c r="B959" s="117"/>
      <c r="C959" s="116"/>
      <c r="D959" s="116"/>
      <c r="E959" s="116"/>
      <c r="F959" s="116"/>
      <c r="G959" s="117"/>
      <c r="H959" s="117"/>
      <c r="I959" s="117"/>
      <c r="J959" s="117"/>
      <c r="K959" s="117"/>
      <c r="L959" s="117"/>
      <c r="M959" s="117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  <c r="X959" s="117"/>
      <c r="Y959" s="117"/>
      <c r="Z959" s="117"/>
      <c r="AA959" s="117"/>
      <c r="AB959" s="117"/>
    </row>
    <row r="960">
      <c r="A960" s="114"/>
      <c r="B960" s="117"/>
      <c r="C960" s="116"/>
      <c r="D960" s="116"/>
      <c r="E960" s="116"/>
      <c r="F960" s="116"/>
      <c r="G960" s="117"/>
      <c r="H960" s="117"/>
      <c r="I960" s="117"/>
      <c r="J960" s="117"/>
      <c r="K960" s="117"/>
      <c r="L960" s="117"/>
      <c r="M960" s="117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  <c r="X960" s="117"/>
      <c r="Y960" s="117"/>
      <c r="Z960" s="117"/>
      <c r="AA960" s="117"/>
      <c r="AB960" s="117"/>
    </row>
    <row r="961">
      <c r="A961" s="114"/>
      <c r="B961" s="117"/>
      <c r="C961" s="116"/>
      <c r="D961" s="116"/>
      <c r="E961" s="116"/>
      <c r="F961" s="116"/>
      <c r="G961" s="117"/>
      <c r="H961" s="117"/>
      <c r="I961" s="117"/>
      <c r="J961" s="117"/>
      <c r="K961" s="117"/>
      <c r="L961" s="117"/>
      <c r="M961" s="117"/>
      <c r="N961" s="117"/>
      <c r="O961" s="117"/>
      <c r="P961" s="117"/>
      <c r="Q961" s="117"/>
      <c r="R961" s="117"/>
      <c r="S961" s="117"/>
      <c r="T961" s="117"/>
      <c r="U961" s="117"/>
      <c r="V961" s="117"/>
      <c r="W961" s="117"/>
      <c r="X961" s="117"/>
      <c r="Y961" s="117"/>
      <c r="Z961" s="117"/>
      <c r="AA961" s="117"/>
      <c r="AB961" s="117"/>
    </row>
    <row r="962">
      <c r="A962" s="114"/>
      <c r="B962" s="117"/>
      <c r="C962" s="116"/>
      <c r="D962" s="116"/>
      <c r="E962" s="116"/>
      <c r="F962" s="116"/>
      <c r="G962" s="117"/>
      <c r="H962" s="117"/>
      <c r="I962" s="117"/>
      <c r="J962" s="117"/>
      <c r="K962" s="117"/>
      <c r="L962" s="117"/>
      <c r="M962" s="117"/>
      <c r="N962" s="117"/>
      <c r="O962" s="117"/>
      <c r="P962" s="117"/>
      <c r="Q962" s="117"/>
      <c r="R962" s="117"/>
      <c r="S962" s="117"/>
      <c r="T962" s="117"/>
      <c r="U962" s="117"/>
      <c r="V962" s="117"/>
      <c r="W962" s="117"/>
      <c r="X962" s="117"/>
      <c r="Y962" s="117"/>
      <c r="Z962" s="117"/>
      <c r="AA962" s="117"/>
      <c r="AB962" s="117"/>
    </row>
    <row r="963">
      <c r="A963" s="114"/>
      <c r="B963" s="117"/>
      <c r="C963" s="116"/>
      <c r="D963" s="116"/>
      <c r="E963" s="116"/>
      <c r="F963" s="116"/>
      <c r="G963" s="117"/>
      <c r="H963" s="117"/>
      <c r="I963" s="117"/>
      <c r="J963" s="117"/>
      <c r="K963" s="117"/>
      <c r="L963" s="117"/>
      <c r="M963" s="117"/>
      <c r="N963" s="117"/>
      <c r="O963" s="117"/>
      <c r="P963" s="117"/>
      <c r="Q963" s="117"/>
      <c r="R963" s="117"/>
      <c r="S963" s="117"/>
      <c r="T963" s="117"/>
      <c r="U963" s="117"/>
      <c r="V963" s="117"/>
      <c r="W963" s="117"/>
      <c r="X963" s="117"/>
      <c r="Y963" s="117"/>
      <c r="Z963" s="117"/>
      <c r="AA963" s="117"/>
      <c r="AB963" s="117"/>
    </row>
    <row r="964">
      <c r="A964" s="114"/>
      <c r="B964" s="117"/>
      <c r="C964" s="116"/>
      <c r="D964" s="116"/>
      <c r="E964" s="116"/>
      <c r="F964" s="116"/>
      <c r="G964" s="117"/>
      <c r="H964" s="117"/>
      <c r="I964" s="117"/>
      <c r="J964" s="117"/>
      <c r="K964" s="117"/>
      <c r="L964" s="117"/>
      <c r="M964" s="117"/>
      <c r="N964" s="117"/>
      <c r="O964" s="117"/>
      <c r="P964" s="117"/>
      <c r="Q964" s="117"/>
      <c r="R964" s="117"/>
      <c r="S964" s="117"/>
      <c r="T964" s="117"/>
      <c r="U964" s="117"/>
      <c r="V964" s="117"/>
      <c r="W964" s="117"/>
      <c r="X964" s="117"/>
      <c r="Y964" s="117"/>
      <c r="Z964" s="117"/>
      <c r="AA964" s="117"/>
      <c r="AB964" s="117"/>
    </row>
    <row r="965">
      <c r="A965" s="114"/>
      <c r="B965" s="117"/>
      <c r="C965" s="116"/>
      <c r="D965" s="116"/>
      <c r="E965" s="116"/>
      <c r="F965" s="116"/>
      <c r="G965" s="117"/>
      <c r="H965" s="117"/>
      <c r="I965" s="117"/>
      <c r="J965" s="117"/>
      <c r="K965" s="117"/>
      <c r="L965" s="117"/>
      <c r="M965" s="117"/>
      <c r="N965" s="117"/>
      <c r="O965" s="117"/>
      <c r="P965" s="117"/>
      <c r="Q965" s="117"/>
      <c r="R965" s="117"/>
      <c r="S965" s="117"/>
      <c r="T965" s="117"/>
      <c r="U965" s="117"/>
      <c r="V965" s="117"/>
      <c r="W965" s="117"/>
      <c r="X965" s="117"/>
      <c r="Y965" s="117"/>
      <c r="Z965" s="117"/>
      <c r="AA965" s="117"/>
      <c r="AB965" s="117"/>
    </row>
    <row r="966">
      <c r="A966" s="114"/>
      <c r="B966" s="117"/>
      <c r="C966" s="116"/>
      <c r="D966" s="116"/>
      <c r="E966" s="116"/>
      <c r="F966" s="116"/>
      <c r="G966" s="117"/>
      <c r="H966" s="117"/>
      <c r="I966" s="117"/>
      <c r="J966" s="117"/>
      <c r="K966" s="117"/>
      <c r="L966" s="117"/>
      <c r="M966" s="117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  <c r="AA966" s="117"/>
      <c r="AB966" s="117"/>
    </row>
    <row r="967">
      <c r="A967" s="114"/>
      <c r="B967" s="117"/>
      <c r="C967" s="116"/>
      <c r="D967" s="116"/>
      <c r="E967" s="116"/>
      <c r="F967" s="116"/>
      <c r="G967" s="117"/>
      <c r="H967" s="117"/>
      <c r="I967" s="117"/>
      <c r="J967" s="117"/>
      <c r="K967" s="117"/>
      <c r="L967" s="117"/>
      <c r="M967" s="117"/>
      <c r="N967" s="117"/>
      <c r="O967" s="117"/>
      <c r="P967" s="117"/>
      <c r="Q967" s="117"/>
      <c r="R967" s="117"/>
      <c r="S967" s="117"/>
      <c r="T967" s="117"/>
      <c r="U967" s="117"/>
      <c r="V967" s="117"/>
      <c r="W967" s="117"/>
      <c r="X967" s="117"/>
      <c r="Y967" s="117"/>
      <c r="Z967" s="117"/>
      <c r="AA967" s="117"/>
      <c r="AB967" s="117"/>
    </row>
    <row r="968">
      <c r="A968" s="114"/>
      <c r="B968" s="117"/>
      <c r="C968" s="116"/>
      <c r="D968" s="116"/>
      <c r="E968" s="116"/>
      <c r="F968" s="116"/>
      <c r="G968" s="117"/>
      <c r="H968" s="117"/>
      <c r="I968" s="117"/>
      <c r="J968" s="117"/>
      <c r="K968" s="117"/>
      <c r="L968" s="117"/>
      <c r="M968" s="117"/>
      <c r="N968" s="117"/>
      <c r="O968" s="117"/>
      <c r="P968" s="117"/>
      <c r="Q968" s="117"/>
      <c r="R968" s="117"/>
      <c r="S968" s="117"/>
      <c r="T968" s="117"/>
      <c r="U968" s="117"/>
      <c r="V968" s="117"/>
      <c r="W968" s="117"/>
      <c r="X968" s="117"/>
      <c r="Y968" s="117"/>
      <c r="Z968" s="117"/>
      <c r="AA968" s="117"/>
      <c r="AB968" s="117"/>
    </row>
    <row r="969">
      <c r="A969" s="114"/>
      <c r="B969" s="117"/>
      <c r="C969" s="116"/>
      <c r="D969" s="116"/>
      <c r="E969" s="116"/>
      <c r="F969" s="116"/>
      <c r="G969" s="117"/>
      <c r="H969" s="117"/>
      <c r="I969" s="117"/>
      <c r="J969" s="117"/>
      <c r="K969" s="117"/>
      <c r="L969" s="117"/>
      <c r="M969" s="117"/>
      <c r="N969" s="117"/>
      <c r="O969" s="117"/>
      <c r="P969" s="117"/>
      <c r="Q969" s="117"/>
      <c r="R969" s="117"/>
      <c r="S969" s="117"/>
      <c r="T969" s="117"/>
      <c r="U969" s="117"/>
      <c r="V969" s="117"/>
      <c r="W969" s="117"/>
      <c r="X969" s="117"/>
      <c r="Y969" s="117"/>
      <c r="Z969" s="117"/>
      <c r="AA969" s="117"/>
      <c r="AB969" s="117"/>
    </row>
    <row r="970">
      <c r="A970" s="114"/>
      <c r="B970" s="117"/>
      <c r="C970" s="116"/>
      <c r="D970" s="116"/>
      <c r="E970" s="116"/>
      <c r="F970" s="116"/>
      <c r="G970" s="117"/>
      <c r="H970" s="117"/>
      <c r="I970" s="117"/>
      <c r="J970" s="117"/>
      <c r="K970" s="117"/>
      <c r="L970" s="117"/>
      <c r="M970" s="117"/>
      <c r="N970" s="117"/>
      <c r="O970" s="117"/>
      <c r="P970" s="117"/>
      <c r="Q970" s="117"/>
      <c r="R970" s="117"/>
      <c r="S970" s="117"/>
      <c r="T970" s="117"/>
      <c r="U970" s="117"/>
      <c r="V970" s="117"/>
      <c r="W970" s="117"/>
      <c r="X970" s="117"/>
      <c r="Y970" s="117"/>
      <c r="Z970" s="117"/>
      <c r="AA970" s="117"/>
      <c r="AB970" s="117"/>
    </row>
    <row r="971">
      <c r="A971" s="114"/>
      <c r="B971" s="117"/>
      <c r="C971" s="116"/>
      <c r="D971" s="116"/>
      <c r="E971" s="116"/>
      <c r="F971" s="116"/>
      <c r="G971" s="117"/>
      <c r="H971" s="117"/>
      <c r="I971" s="117"/>
      <c r="J971" s="117"/>
      <c r="K971" s="117"/>
      <c r="L971" s="117"/>
      <c r="M971" s="117"/>
      <c r="N971" s="117"/>
      <c r="O971" s="117"/>
      <c r="P971" s="117"/>
      <c r="Q971" s="117"/>
      <c r="R971" s="117"/>
      <c r="S971" s="117"/>
      <c r="T971" s="117"/>
      <c r="U971" s="117"/>
      <c r="V971" s="117"/>
      <c r="W971" s="117"/>
      <c r="X971" s="117"/>
      <c r="Y971" s="117"/>
      <c r="Z971" s="117"/>
      <c r="AA971" s="117"/>
      <c r="AB971" s="117"/>
    </row>
    <row r="972">
      <c r="A972" s="114"/>
      <c r="B972" s="117"/>
      <c r="C972" s="116"/>
      <c r="D972" s="116"/>
      <c r="E972" s="116"/>
      <c r="F972" s="116"/>
      <c r="G972" s="117"/>
      <c r="H972" s="117"/>
      <c r="I972" s="117"/>
      <c r="J972" s="117"/>
      <c r="K972" s="117"/>
      <c r="L972" s="117"/>
      <c r="M972" s="117"/>
      <c r="N972" s="117"/>
      <c r="O972" s="117"/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117"/>
      <c r="AB972" s="117"/>
    </row>
    <row r="973">
      <c r="A973" s="114"/>
      <c r="B973" s="117"/>
      <c r="C973" s="116"/>
      <c r="D973" s="116"/>
      <c r="E973" s="116"/>
      <c r="F973" s="116"/>
      <c r="G973" s="117"/>
      <c r="H973" s="117"/>
      <c r="I973" s="117"/>
      <c r="J973" s="117"/>
      <c r="K973" s="117"/>
      <c r="L973" s="117"/>
      <c r="M973" s="117"/>
      <c r="N973" s="117"/>
      <c r="O973" s="117"/>
      <c r="P973" s="117"/>
      <c r="Q973" s="117"/>
      <c r="R973" s="117"/>
      <c r="S973" s="117"/>
      <c r="T973" s="117"/>
      <c r="U973" s="117"/>
      <c r="V973" s="117"/>
      <c r="W973" s="117"/>
      <c r="X973" s="117"/>
      <c r="Y973" s="117"/>
      <c r="Z973" s="117"/>
      <c r="AA973" s="117"/>
      <c r="AB973" s="117"/>
    </row>
    <row r="974">
      <c r="A974" s="114"/>
      <c r="B974" s="117"/>
      <c r="C974" s="116"/>
      <c r="D974" s="116"/>
      <c r="E974" s="116"/>
      <c r="F974" s="116"/>
      <c r="G974" s="117"/>
      <c r="H974" s="117"/>
      <c r="I974" s="117"/>
      <c r="J974" s="117"/>
      <c r="K974" s="117"/>
      <c r="L974" s="117"/>
      <c r="M974" s="117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  <c r="AA974" s="117"/>
      <c r="AB974" s="117"/>
    </row>
    <row r="975">
      <c r="A975" s="114"/>
      <c r="B975" s="117"/>
      <c r="C975" s="116"/>
      <c r="D975" s="116"/>
      <c r="E975" s="116"/>
      <c r="F975" s="116"/>
      <c r="G975" s="117"/>
      <c r="H975" s="117"/>
      <c r="I975" s="117"/>
      <c r="J975" s="117"/>
      <c r="K975" s="117"/>
      <c r="L975" s="117"/>
      <c r="M975" s="117"/>
      <c r="N975" s="117"/>
      <c r="O975" s="117"/>
      <c r="P975" s="117"/>
      <c r="Q975" s="117"/>
      <c r="R975" s="117"/>
      <c r="S975" s="117"/>
      <c r="T975" s="117"/>
      <c r="U975" s="117"/>
      <c r="V975" s="117"/>
      <c r="W975" s="117"/>
      <c r="X975" s="117"/>
      <c r="Y975" s="117"/>
      <c r="Z975" s="117"/>
      <c r="AA975" s="117"/>
      <c r="AB975" s="117"/>
    </row>
    <row r="976">
      <c r="A976" s="114"/>
      <c r="B976" s="117"/>
      <c r="C976" s="116"/>
      <c r="D976" s="116"/>
      <c r="E976" s="116"/>
      <c r="F976" s="116"/>
      <c r="G976" s="117"/>
      <c r="H976" s="117"/>
      <c r="I976" s="117"/>
      <c r="J976" s="117"/>
      <c r="K976" s="117"/>
      <c r="L976" s="117"/>
      <c r="M976" s="117"/>
      <c r="N976" s="117"/>
      <c r="O976" s="117"/>
      <c r="P976" s="117"/>
      <c r="Q976" s="117"/>
      <c r="R976" s="117"/>
      <c r="S976" s="117"/>
      <c r="T976" s="117"/>
      <c r="U976" s="117"/>
      <c r="V976" s="117"/>
      <c r="W976" s="117"/>
      <c r="X976" s="117"/>
      <c r="Y976" s="117"/>
      <c r="Z976" s="117"/>
      <c r="AA976" s="117"/>
      <c r="AB976" s="117"/>
    </row>
    <row r="977">
      <c r="A977" s="114"/>
      <c r="B977" s="117"/>
      <c r="C977" s="116"/>
      <c r="D977" s="116"/>
      <c r="E977" s="116"/>
      <c r="F977" s="116"/>
      <c r="G977" s="117"/>
      <c r="H977" s="117"/>
      <c r="I977" s="117"/>
      <c r="J977" s="117"/>
      <c r="K977" s="117"/>
      <c r="L977" s="117"/>
      <c r="M977" s="117"/>
      <c r="N977" s="117"/>
      <c r="O977" s="117"/>
      <c r="P977" s="117"/>
      <c r="Q977" s="117"/>
      <c r="R977" s="117"/>
      <c r="S977" s="117"/>
      <c r="T977" s="117"/>
      <c r="U977" s="117"/>
      <c r="V977" s="117"/>
      <c r="W977" s="117"/>
      <c r="X977" s="117"/>
      <c r="Y977" s="117"/>
      <c r="Z977" s="117"/>
      <c r="AA977" s="117"/>
      <c r="AB977" s="117"/>
    </row>
    <row r="978">
      <c r="A978" s="114"/>
      <c r="B978" s="117"/>
      <c r="C978" s="116"/>
      <c r="D978" s="116"/>
      <c r="E978" s="116"/>
      <c r="F978" s="116"/>
      <c r="G978" s="117"/>
      <c r="H978" s="117"/>
      <c r="I978" s="117"/>
      <c r="J978" s="117"/>
      <c r="K978" s="117"/>
      <c r="L978" s="117"/>
      <c r="M978" s="117"/>
      <c r="N978" s="117"/>
      <c r="O978" s="117"/>
      <c r="P978" s="117"/>
      <c r="Q978" s="117"/>
      <c r="R978" s="117"/>
      <c r="S978" s="117"/>
      <c r="T978" s="117"/>
      <c r="U978" s="117"/>
      <c r="V978" s="117"/>
      <c r="W978" s="117"/>
      <c r="X978" s="117"/>
      <c r="Y978" s="117"/>
      <c r="Z978" s="117"/>
      <c r="AA978" s="117"/>
      <c r="AB978" s="117"/>
    </row>
    <row r="979">
      <c r="A979" s="114"/>
      <c r="B979" s="117"/>
      <c r="C979" s="116"/>
      <c r="D979" s="116"/>
      <c r="E979" s="116"/>
      <c r="F979" s="116"/>
      <c r="G979" s="117"/>
      <c r="H979" s="117"/>
      <c r="I979" s="117"/>
      <c r="J979" s="117"/>
      <c r="K979" s="117"/>
      <c r="L979" s="117"/>
      <c r="M979" s="117"/>
      <c r="N979" s="117"/>
      <c r="O979" s="117"/>
      <c r="P979" s="117"/>
      <c r="Q979" s="117"/>
      <c r="R979" s="117"/>
      <c r="S979" s="117"/>
      <c r="T979" s="117"/>
      <c r="U979" s="117"/>
      <c r="V979" s="117"/>
      <c r="W979" s="117"/>
      <c r="X979" s="117"/>
      <c r="Y979" s="117"/>
      <c r="Z979" s="117"/>
      <c r="AA979" s="117"/>
      <c r="AB979" s="117"/>
    </row>
    <row r="980">
      <c r="A980" s="114"/>
      <c r="B980" s="117"/>
      <c r="C980" s="116"/>
      <c r="D980" s="116"/>
      <c r="E980" s="116"/>
      <c r="F980" s="116"/>
      <c r="G980" s="117"/>
      <c r="H980" s="117"/>
      <c r="I980" s="117"/>
      <c r="J980" s="117"/>
      <c r="K980" s="117"/>
      <c r="L980" s="117"/>
      <c r="M980" s="117"/>
      <c r="N980" s="117"/>
      <c r="O980" s="117"/>
      <c r="P980" s="117"/>
      <c r="Q980" s="117"/>
      <c r="R980" s="117"/>
      <c r="S980" s="117"/>
      <c r="T980" s="117"/>
      <c r="U980" s="117"/>
      <c r="V980" s="117"/>
      <c r="W980" s="117"/>
      <c r="X980" s="117"/>
      <c r="Y980" s="117"/>
      <c r="Z980" s="117"/>
      <c r="AA980" s="117"/>
      <c r="AB980" s="117"/>
    </row>
    <row r="981">
      <c r="A981" s="114"/>
      <c r="B981" s="117"/>
      <c r="C981" s="116"/>
      <c r="D981" s="116"/>
      <c r="E981" s="116"/>
      <c r="F981" s="116"/>
      <c r="G981" s="117"/>
      <c r="H981" s="117"/>
      <c r="I981" s="117"/>
      <c r="J981" s="117"/>
      <c r="K981" s="117"/>
      <c r="L981" s="117"/>
      <c r="M981" s="117"/>
      <c r="N981" s="117"/>
      <c r="O981" s="117"/>
      <c r="P981" s="117"/>
      <c r="Q981" s="117"/>
      <c r="R981" s="117"/>
      <c r="S981" s="117"/>
      <c r="T981" s="117"/>
      <c r="U981" s="117"/>
      <c r="V981" s="117"/>
      <c r="W981" s="117"/>
      <c r="X981" s="117"/>
      <c r="Y981" s="117"/>
      <c r="Z981" s="117"/>
      <c r="AA981" s="117"/>
      <c r="AB981" s="117"/>
    </row>
    <row r="982">
      <c r="A982" s="114"/>
      <c r="B982" s="117"/>
      <c r="C982" s="116"/>
      <c r="D982" s="116"/>
      <c r="E982" s="116"/>
      <c r="F982" s="116"/>
      <c r="G982" s="117"/>
      <c r="H982" s="117"/>
      <c r="I982" s="117"/>
      <c r="J982" s="117"/>
      <c r="K982" s="117"/>
      <c r="L982" s="117"/>
      <c r="M982" s="117"/>
      <c r="N982" s="117"/>
      <c r="O982" s="117"/>
      <c r="P982" s="117"/>
      <c r="Q982" s="117"/>
      <c r="R982" s="117"/>
      <c r="S982" s="117"/>
      <c r="T982" s="117"/>
      <c r="U982" s="117"/>
      <c r="V982" s="117"/>
      <c r="W982" s="117"/>
      <c r="X982" s="117"/>
      <c r="Y982" s="117"/>
      <c r="Z982" s="117"/>
      <c r="AA982" s="117"/>
      <c r="AB982" s="117"/>
    </row>
    <row r="983">
      <c r="A983" s="114"/>
      <c r="B983" s="117"/>
      <c r="C983" s="116"/>
      <c r="D983" s="116"/>
      <c r="E983" s="116"/>
      <c r="F983" s="116"/>
      <c r="G983" s="117"/>
      <c r="H983" s="117"/>
      <c r="I983" s="117"/>
      <c r="J983" s="117"/>
      <c r="K983" s="117"/>
      <c r="L983" s="117"/>
      <c r="M983" s="117"/>
      <c r="N983" s="117"/>
      <c r="O983" s="117"/>
      <c r="P983" s="117"/>
      <c r="Q983" s="117"/>
      <c r="R983" s="117"/>
      <c r="S983" s="117"/>
      <c r="T983" s="117"/>
      <c r="U983" s="117"/>
      <c r="V983" s="117"/>
      <c r="W983" s="117"/>
      <c r="X983" s="117"/>
      <c r="Y983" s="117"/>
      <c r="Z983" s="117"/>
      <c r="AA983" s="117"/>
      <c r="AB983" s="117"/>
    </row>
    <row r="984">
      <c r="A984" s="114"/>
      <c r="B984" s="117"/>
      <c r="C984" s="116"/>
      <c r="D984" s="116"/>
      <c r="E984" s="116"/>
      <c r="F984" s="116"/>
      <c r="G984" s="117"/>
      <c r="H984" s="117"/>
      <c r="I984" s="117"/>
      <c r="J984" s="117"/>
      <c r="K984" s="117"/>
      <c r="L984" s="117"/>
      <c r="M984" s="117"/>
      <c r="N984" s="117"/>
      <c r="O984" s="117"/>
      <c r="P984" s="117"/>
      <c r="Q984" s="117"/>
      <c r="R984" s="117"/>
      <c r="S984" s="117"/>
      <c r="T984" s="117"/>
      <c r="U984" s="117"/>
      <c r="V984" s="117"/>
      <c r="W984" s="117"/>
      <c r="X984" s="117"/>
      <c r="Y984" s="117"/>
      <c r="Z984" s="117"/>
      <c r="AA984" s="117"/>
      <c r="AB984" s="117"/>
    </row>
    <row r="985">
      <c r="A985" s="114"/>
      <c r="B985" s="117"/>
      <c r="C985" s="116"/>
      <c r="D985" s="116"/>
      <c r="E985" s="116"/>
      <c r="F985" s="116"/>
      <c r="G985" s="117"/>
      <c r="H985" s="117"/>
      <c r="I985" s="117"/>
      <c r="J985" s="117"/>
      <c r="K985" s="117"/>
      <c r="L985" s="117"/>
      <c r="M985" s="117"/>
      <c r="N985" s="117"/>
      <c r="O985" s="117"/>
      <c r="P985" s="117"/>
      <c r="Q985" s="117"/>
      <c r="R985" s="117"/>
      <c r="S985" s="117"/>
      <c r="T985" s="117"/>
      <c r="U985" s="117"/>
      <c r="V985" s="117"/>
      <c r="W985" s="117"/>
      <c r="X985" s="117"/>
      <c r="Y985" s="117"/>
      <c r="Z985" s="117"/>
      <c r="AA985" s="117"/>
      <c r="AB985" s="117"/>
    </row>
    <row r="986">
      <c r="A986" s="114"/>
      <c r="B986" s="117"/>
      <c r="C986" s="116"/>
      <c r="D986" s="116"/>
      <c r="E986" s="116"/>
      <c r="F986" s="116"/>
      <c r="G986" s="117"/>
      <c r="H986" s="117"/>
      <c r="I986" s="117"/>
      <c r="J986" s="117"/>
      <c r="K986" s="117"/>
      <c r="L986" s="117"/>
      <c r="M986" s="117"/>
      <c r="N986" s="117"/>
      <c r="O986" s="117"/>
      <c r="P986" s="117"/>
      <c r="Q986" s="117"/>
      <c r="R986" s="117"/>
      <c r="S986" s="117"/>
      <c r="T986" s="117"/>
      <c r="U986" s="117"/>
      <c r="V986" s="117"/>
      <c r="W986" s="117"/>
      <c r="X986" s="117"/>
      <c r="Y986" s="117"/>
      <c r="Z986" s="117"/>
      <c r="AA986" s="117"/>
      <c r="AB986" s="117"/>
    </row>
    <row r="987">
      <c r="A987" s="114"/>
      <c r="B987" s="117"/>
      <c r="C987" s="116"/>
      <c r="D987" s="116"/>
      <c r="E987" s="116"/>
      <c r="F987" s="116"/>
      <c r="G987" s="117"/>
      <c r="H987" s="117"/>
      <c r="I987" s="117"/>
      <c r="J987" s="117"/>
      <c r="K987" s="117"/>
      <c r="L987" s="117"/>
      <c r="M987" s="117"/>
      <c r="N987" s="117"/>
      <c r="O987" s="117"/>
      <c r="P987" s="117"/>
      <c r="Q987" s="117"/>
      <c r="R987" s="117"/>
      <c r="S987" s="117"/>
      <c r="T987" s="117"/>
      <c r="U987" s="117"/>
      <c r="V987" s="117"/>
      <c r="W987" s="117"/>
      <c r="X987" s="117"/>
      <c r="Y987" s="117"/>
      <c r="Z987" s="117"/>
      <c r="AA987" s="117"/>
      <c r="AB987" s="117"/>
    </row>
    <row r="988">
      <c r="A988" s="114"/>
      <c r="B988" s="117"/>
      <c r="C988" s="116"/>
      <c r="D988" s="116"/>
      <c r="E988" s="116"/>
      <c r="F988" s="116"/>
      <c r="G988" s="117"/>
      <c r="H988" s="117"/>
      <c r="I988" s="117"/>
      <c r="J988" s="117"/>
      <c r="K988" s="117"/>
      <c r="L988" s="117"/>
      <c r="M988" s="117"/>
      <c r="N988" s="117"/>
      <c r="O988" s="117"/>
      <c r="P988" s="117"/>
      <c r="Q988" s="117"/>
      <c r="R988" s="117"/>
      <c r="S988" s="117"/>
      <c r="T988" s="117"/>
      <c r="U988" s="117"/>
      <c r="V988" s="117"/>
      <c r="W988" s="117"/>
      <c r="X988" s="117"/>
      <c r="Y988" s="117"/>
      <c r="Z988" s="117"/>
      <c r="AA988" s="117"/>
      <c r="AB988" s="117"/>
    </row>
    <row r="989">
      <c r="A989" s="114"/>
      <c r="B989" s="117"/>
      <c r="C989" s="116"/>
      <c r="D989" s="116"/>
      <c r="E989" s="116"/>
      <c r="F989" s="116"/>
      <c r="G989" s="117"/>
      <c r="H989" s="117"/>
      <c r="I989" s="117"/>
      <c r="J989" s="117"/>
      <c r="K989" s="117"/>
      <c r="L989" s="117"/>
      <c r="M989" s="117"/>
      <c r="N989" s="117"/>
      <c r="O989" s="117"/>
      <c r="P989" s="117"/>
      <c r="Q989" s="117"/>
      <c r="R989" s="117"/>
      <c r="S989" s="117"/>
      <c r="T989" s="117"/>
      <c r="U989" s="117"/>
      <c r="V989" s="117"/>
      <c r="W989" s="117"/>
      <c r="X989" s="117"/>
      <c r="Y989" s="117"/>
      <c r="Z989" s="117"/>
      <c r="AA989" s="117"/>
      <c r="AB989" s="117"/>
    </row>
    <row r="990">
      <c r="A990" s="114"/>
      <c r="B990" s="117"/>
      <c r="C990" s="116"/>
      <c r="D990" s="116"/>
      <c r="E990" s="116"/>
      <c r="F990" s="116"/>
      <c r="G990" s="117"/>
      <c r="H990" s="117"/>
      <c r="I990" s="117"/>
      <c r="J990" s="117"/>
      <c r="K990" s="117"/>
      <c r="L990" s="117"/>
      <c r="M990" s="117"/>
      <c r="N990" s="117"/>
      <c r="O990" s="117"/>
      <c r="P990" s="117"/>
      <c r="Q990" s="117"/>
      <c r="R990" s="117"/>
      <c r="S990" s="117"/>
      <c r="T990" s="117"/>
      <c r="U990" s="117"/>
      <c r="V990" s="117"/>
      <c r="W990" s="117"/>
      <c r="X990" s="117"/>
      <c r="Y990" s="117"/>
      <c r="Z990" s="117"/>
      <c r="AA990" s="117"/>
      <c r="AB990" s="117"/>
    </row>
    <row r="991">
      <c r="A991" s="114"/>
      <c r="B991" s="117"/>
      <c r="C991" s="116"/>
      <c r="D991" s="116"/>
      <c r="E991" s="116"/>
      <c r="F991" s="116"/>
      <c r="G991" s="117"/>
      <c r="H991" s="117"/>
      <c r="I991" s="117"/>
      <c r="J991" s="117"/>
      <c r="K991" s="117"/>
      <c r="L991" s="117"/>
      <c r="M991" s="117"/>
      <c r="N991" s="117"/>
      <c r="O991" s="117"/>
      <c r="P991" s="117"/>
      <c r="Q991" s="117"/>
      <c r="R991" s="117"/>
      <c r="S991" s="117"/>
      <c r="T991" s="117"/>
      <c r="U991" s="117"/>
      <c r="V991" s="117"/>
      <c r="W991" s="117"/>
      <c r="X991" s="117"/>
      <c r="Y991" s="117"/>
      <c r="Z991" s="117"/>
      <c r="AA991" s="117"/>
      <c r="AB991" s="117"/>
    </row>
    <row r="992">
      <c r="A992" s="114"/>
      <c r="B992" s="117"/>
      <c r="C992" s="116"/>
      <c r="D992" s="116"/>
      <c r="E992" s="116"/>
      <c r="F992" s="116"/>
      <c r="G992" s="117"/>
      <c r="H992" s="117"/>
      <c r="I992" s="117"/>
      <c r="J992" s="117"/>
      <c r="K992" s="117"/>
      <c r="L992" s="117"/>
      <c r="M992" s="117"/>
      <c r="N992" s="117"/>
      <c r="O992" s="117"/>
      <c r="P992" s="117"/>
      <c r="Q992" s="117"/>
      <c r="R992" s="117"/>
      <c r="S992" s="117"/>
      <c r="T992" s="117"/>
      <c r="U992" s="117"/>
      <c r="V992" s="117"/>
      <c r="W992" s="117"/>
      <c r="X992" s="117"/>
      <c r="Y992" s="117"/>
      <c r="Z992" s="117"/>
      <c r="AA992" s="117"/>
      <c r="AB992" s="117"/>
    </row>
    <row r="993">
      <c r="A993" s="114"/>
      <c r="B993" s="117"/>
      <c r="C993" s="116"/>
      <c r="D993" s="116"/>
      <c r="E993" s="116"/>
      <c r="F993" s="116"/>
      <c r="G993" s="117"/>
      <c r="H993" s="117"/>
      <c r="I993" s="117"/>
      <c r="J993" s="117"/>
      <c r="K993" s="117"/>
      <c r="L993" s="117"/>
      <c r="M993" s="117"/>
      <c r="N993" s="117"/>
      <c r="O993" s="117"/>
      <c r="P993" s="117"/>
      <c r="Q993" s="117"/>
      <c r="R993" s="117"/>
      <c r="S993" s="117"/>
      <c r="T993" s="117"/>
      <c r="U993" s="117"/>
      <c r="V993" s="117"/>
      <c r="W993" s="117"/>
      <c r="X993" s="117"/>
      <c r="Y993" s="117"/>
      <c r="Z993" s="117"/>
      <c r="AA993" s="117"/>
      <c r="AB993" s="117"/>
    </row>
    <row r="994">
      <c r="A994" s="114"/>
      <c r="B994" s="117"/>
      <c r="C994" s="116"/>
      <c r="D994" s="116"/>
      <c r="E994" s="116"/>
      <c r="F994" s="116"/>
      <c r="G994" s="117"/>
      <c r="H994" s="117"/>
      <c r="I994" s="117"/>
      <c r="J994" s="117"/>
      <c r="K994" s="117"/>
      <c r="L994" s="117"/>
      <c r="M994" s="117"/>
      <c r="N994" s="117"/>
      <c r="O994" s="117"/>
      <c r="P994" s="117"/>
      <c r="Q994" s="117"/>
      <c r="R994" s="117"/>
      <c r="S994" s="117"/>
      <c r="T994" s="117"/>
      <c r="U994" s="117"/>
      <c r="V994" s="117"/>
      <c r="W994" s="117"/>
      <c r="X994" s="117"/>
      <c r="Y994" s="117"/>
      <c r="Z994" s="117"/>
      <c r="AA994" s="117"/>
      <c r="AB994" s="117"/>
    </row>
    <row r="995">
      <c r="A995" s="114"/>
      <c r="B995" s="117"/>
      <c r="C995" s="116"/>
      <c r="D995" s="116"/>
      <c r="E995" s="116"/>
      <c r="F995" s="116"/>
      <c r="G995" s="117"/>
      <c r="H995" s="117"/>
      <c r="I995" s="117"/>
      <c r="J995" s="117"/>
      <c r="K995" s="117"/>
      <c r="L995" s="117"/>
      <c r="M995" s="117"/>
      <c r="N995" s="117"/>
      <c r="O995" s="117"/>
      <c r="P995" s="117"/>
      <c r="Q995" s="117"/>
      <c r="R995" s="117"/>
      <c r="S995" s="117"/>
      <c r="T995" s="117"/>
      <c r="U995" s="117"/>
      <c r="V995" s="117"/>
      <c r="W995" s="117"/>
      <c r="X995" s="117"/>
      <c r="Y995" s="117"/>
      <c r="Z995" s="117"/>
      <c r="AA995" s="117"/>
      <c r="AB995" s="117"/>
    </row>
    <row r="996">
      <c r="A996" s="114"/>
      <c r="B996" s="117"/>
      <c r="C996" s="116"/>
      <c r="D996" s="116"/>
      <c r="E996" s="116"/>
      <c r="F996" s="116"/>
      <c r="G996" s="117"/>
      <c r="H996" s="117"/>
      <c r="I996" s="117"/>
      <c r="J996" s="117"/>
      <c r="K996" s="117"/>
      <c r="L996" s="117"/>
      <c r="M996" s="117"/>
      <c r="N996" s="117"/>
      <c r="O996" s="117"/>
      <c r="P996" s="117"/>
      <c r="Q996" s="117"/>
      <c r="R996" s="117"/>
      <c r="S996" s="117"/>
      <c r="T996" s="117"/>
      <c r="U996" s="117"/>
      <c r="V996" s="117"/>
      <c r="W996" s="117"/>
      <c r="X996" s="117"/>
      <c r="Y996" s="117"/>
      <c r="Z996" s="117"/>
      <c r="AA996" s="117"/>
      <c r="AB996" s="117"/>
    </row>
    <row r="997">
      <c r="A997" s="114"/>
      <c r="B997" s="117"/>
      <c r="C997" s="116"/>
      <c r="D997" s="116"/>
      <c r="E997" s="116"/>
      <c r="F997" s="116"/>
      <c r="G997" s="117"/>
      <c r="H997" s="117"/>
      <c r="I997" s="117"/>
      <c r="J997" s="117"/>
      <c r="K997" s="117"/>
      <c r="L997" s="117"/>
      <c r="M997" s="117"/>
      <c r="N997" s="117"/>
      <c r="O997" s="117"/>
      <c r="P997" s="117"/>
      <c r="Q997" s="117"/>
      <c r="R997" s="117"/>
      <c r="S997" s="117"/>
      <c r="T997" s="117"/>
      <c r="U997" s="117"/>
      <c r="V997" s="117"/>
      <c r="W997" s="117"/>
      <c r="X997" s="117"/>
      <c r="Y997" s="117"/>
      <c r="Z997" s="117"/>
      <c r="AA997" s="117"/>
      <c r="AB997" s="117"/>
    </row>
    <row r="998">
      <c r="A998" s="114"/>
      <c r="B998" s="117"/>
      <c r="C998" s="116"/>
      <c r="D998" s="116"/>
      <c r="E998" s="116"/>
      <c r="F998" s="116"/>
      <c r="G998" s="117"/>
      <c r="H998" s="117"/>
      <c r="I998" s="117"/>
      <c r="J998" s="117"/>
      <c r="K998" s="117"/>
      <c r="L998" s="117"/>
      <c r="M998" s="117"/>
      <c r="N998" s="117"/>
      <c r="O998" s="117"/>
      <c r="P998" s="117"/>
      <c r="Q998" s="117"/>
      <c r="R998" s="117"/>
      <c r="S998" s="117"/>
      <c r="T998" s="117"/>
      <c r="U998" s="117"/>
      <c r="V998" s="117"/>
      <c r="W998" s="117"/>
      <c r="X998" s="117"/>
      <c r="Y998" s="117"/>
      <c r="Z998" s="117"/>
      <c r="AA998" s="117"/>
      <c r="AB998" s="117"/>
    </row>
    <row r="999">
      <c r="A999" s="114"/>
      <c r="B999" s="117"/>
      <c r="C999" s="116"/>
      <c r="D999" s="116"/>
      <c r="E999" s="116"/>
      <c r="F999" s="116"/>
      <c r="G999" s="117"/>
      <c r="H999" s="117"/>
      <c r="I999" s="117"/>
      <c r="J999" s="117"/>
      <c r="K999" s="117"/>
      <c r="L999" s="117"/>
      <c r="M999" s="117"/>
      <c r="N999" s="117"/>
      <c r="O999" s="117"/>
      <c r="P999" s="117"/>
      <c r="Q999" s="117"/>
      <c r="R999" s="117"/>
      <c r="S999" s="117"/>
      <c r="T999" s="117"/>
      <c r="U999" s="117"/>
      <c r="V999" s="117"/>
      <c r="W999" s="117"/>
      <c r="X999" s="117"/>
      <c r="Y999" s="117"/>
      <c r="Z999" s="117"/>
      <c r="AA999" s="117"/>
      <c r="AB999" s="117"/>
    </row>
    <row r="1000">
      <c r="A1000" s="114"/>
      <c r="B1000" s="117"/>
      <c r="C1000" s="116"/>
      <c r="D1000" s="116"/>
      <c r="E1000" s="116"/>
      <c r="F1000" s="116"/>
      <c r="G1000" s="117"/>
      <c r="H1000" s="117"/>
      <c r="I1000" s="117"/>
      <c r="J1000" s="117"/>
      <c r="K1000" s="117"/>
      <c r="L1000" s="117"/>
      <c r="M1000" s="117"/>
      <c r="N1000" s="117"/>
      <c r="O1000" s="117"/>
      <c r="P1000" s="117"/>
      <c r="Q1000" s="117"/>
      <c r="R1000" s="117"/>
      <c r="S1000" s="117"/>
      <c r="T1000" s="117"/>
      <c r="U1000" s="117"/>
      <c r="V1000" s="117"/>
      <c r="W1000" s="117"/>
      <c r="X1000" s="117"/>
      <c r="Y1000" s="117"/>
      <c r="Z1000" s="117"/>
      <c r="AA1000" s="117"/>
      <c r="AB1000" s="117"/>
    </row>
    <row r="1001">
      <c r="A1001" s="114"/>
      <c r="B1001" s="117"/>
      <c r="C1001" s="116"/>
      <c r="D1001" s="116"/>
      <c r="E1001" s="116"/>
      <c r="F1001" s="116"/>
      <c r="G1001" s="117"/>
      <c r="H1001" s="117"/>
      <c r="I1001" s="117"/>
      <c r="J1001" s="117"/>
      <c r="K1001" s="117"/>
      <c r="L1001" s="117"/>
      <c r="M1001" s="117"/>
      <c r="N1001" s="117"/>
      <c r="O1001" s="117"/>
      <c r="P1001" s="117"/>
      <c r="Q1001" s="117"/>
      <c r="R1001" s="117"/>
      <c r="S1001" s="117"/>
      <c r="T1001" s="117"/>
      <c r="U1001" s="117"/>
      <c r="V1001" s="117"/>
      <c r="W1001" s="117"/>
      <c r="X1001" s="117"/>
      <c r="Y1001" s="117"/>
      <c r="Z1001" s="117"/>
      <c r="AA1001" s="117"/>
      <c r="AB1001" s="117"/>
    </row>
    <row r="1002">
      <c r="A1002" s="114"/>
      <c r="B1002" s="117"/>
      <c r="C1002" s="116"/>
      <c r="D1002" s="116"/>
      <c r="E1002" s="116"/>
      <c r="F1002" s="116"/>
      <c r="G1002" s="117"/>
      <c r="H1002" s="117"/>
      <c r="I1002" s="117"/>
      <c r="J1002" s="117"/>
      <c r="K1002" s="117"/>
      <c r="L1002" s="117"/>
      <c r="M1002" s="117"/>
      <c r="N1002" s="117"/>
      <c r="O1002" s="117"/>
      <c r="P1002" s="117"/>
      <c r="Q1002" s="117"/>
      <c r="R1002" s="117"/>
      <c r="S1002" s="117"/>
      <c r="T1002" s="117"/>
      <c r="U1002" s="117"/>
      <c r="V1002" s="117"/>
      <c r="W1002" s="117"/>
      <c r="X1002" s="117"/>
      <c r="Y1002" s="117"/>
      <c r="Z1002" s="117"/>
      <c r="AA1002" s="117"/>
      <c r="AB1002" s="117"/>
    </row>
    <row r="1003">
      <c r="A1003" s="114"/>
      <c r="B1003" s="117"/>
      <c r="C1003" s="116"/>
      <c r="D1003" s="116"/>
      <c r="E1003" s="116"/>
      <c r="F1003" s="116"/>
      <c r="G1003" s="117"/>
      <c r="H1003" s="117"/>
      <c r="I1003" s="117"/>
      <c r="J1003" s="117"/>
      <c r="K1003" s="117"/>
      <c r="L1003" s="117"/>
      <c r="M1003" s="117"/>
      <c r="N1003" s="117"/>
      <c r="O1003" s="117"/>
      <c r="P1003" s="117"/>
      <c r="Q1003" s="117"/>
      <c r="R1003" s="117"/>
      <c r="S1003" s="117"/>
      <c r="T1003" s="117"/>
      <c r="U1003" s="117"/>
      <c r="V1003" s="117"/>
      <c r="W1003" s="117"/>
      <c r="X1003" s="117"/>
      <c r="Y1003" s="117"/>
      <c r="Z1003" s="117"/>
      <c r="AA1003" s="117"/>
      <c r="AB1003" s="117"/>
    </row>
    <row r="1004">
      <c r="A1004" s="114"/>
      <c r="B1004" s="117"/>
      <c r="C1004" s="116"/>
      <c r="D1004" s="116"/>
      <c r="E1004" s="116"/>
      <c r="F1004" s="116"/>
      <c r="G1004" s="117"/>
      <c r="H1004" s="117"/>
      <c r="I1004" s="117"/>
      <c r="J1004" s="117"/>
      <c r="K1004" s="117"/>
      <c r="L1004" s="117"/>
      <c r="M1004" s="117"/>
      <c r="N1004" s="117"/>
      <c r="O1004" s="117"/>
      <c r="P1004" s="117"/>
      <c r="Q1004" s="117"/>
      <c r="R1004" s="117"/>
      <c r="S1004" s="117"/>
      <c r="T1004" s="117"/>
      <c r="U1004" s="117"/>
      <c r="V1004" s="117"/>
      <c r="W1004" s="117"/>
      <c r="X1004" s="117"/>
      <c r="Y1004" s="117"/>
      <c r="Z1004" s="117"/>
      <c r="AA1004" s="117"/>
      <c r="AB1004" s="117"/>
    </row>
    <row r="1005">
      <c r="A1005" s="114"/>
      <c r="B1005" s="117"/>
      <c r="C1005" s="116"/>
      <c r="D1005" s="116"/>
      <c r="E1005" s="116"/>
      <c r="F1005" s="116"/>
      <c r="G1005" s="117"/>
      <c r="H1005" s="117"/>
      <c r="I1005" s="117"/>
      <c r="J1005" s="117"/>
      <c r="K1005" s="117"/>
      <c r="L1005" s="117"/>
      <c r="M1005" s="117"/>
      <c r="N1005" s="117"/>
      <c r="O1005" s="117"/>
      <c r="P1005" s="117"/>
      <c r="Q1005" s="117"/>
      <c r="R1005" s="117"/>
      <c r="S1005" s="117"/>
      <c r="T1005" s="117"/>
      <c r="U1005" s="117"/>
      <c r="V1005" s="117"/>
      <c r="W1005" s="117"/>
      <c r="X1005" s="117"/>
      <c r="Y1005" s="117"/>
      <c r="Z1005" s="117"/>
      <c r="AA1005" s="117"/>
      <c r="AB1005" s="117"/>
    </row>
    <row r="1006">
      <c r="A1006" s="114"/>
      <c r="B1006" s="117"/>
      <c r="C1006" s="116"/>
      <c r="D1006" s="116"/>
      <c r="E1006" s="116"/>
      <c r="F1006" s="116"/>
      <c r="G1006" s="117"/>
      <c r="H1006" s="117"/>
      <c r="I1006" s="117"/>
      <c r="J1006" s="117"/>
      <c r="K1006" s="117"/>
      <c r="L1006" s="117"/>
      <c r="M1006" s="117"/>
      <c r="N1006" s="117"/>
      <c r="O1006" s="117"/>
      <c r="P1006" s="117"/>
      <c r="Q1006" s="117"/>
      <c r="R1006" s="117"/>
      <c r="S1006" s="117"/>
      <c r="T1006" s="117"/>
      <c r="U1006" s="117"/>
      <c r="V1006" s="117"/>
      <c r="W1006" s="117"/>
      <c r="X1006" s="117"/>
      <c r="Y1006" s="117"/>
      <c r="Z1006" s="117"/>
      <c r="AA1006" s="117"/>
      <c r="AB1006" s="117"/>
    </row>
    <row r="1007">
      <c r="A1007" s="114"/>
      <c r="B1007" s="117"/>
      <c r="C1007" s="116"/>
      <c r="D1007" s="116"/>
      <c r="E1007" s="116"/>
      <c r="F1007" s="116"/>
      <c r="G1007" s="117"/>
      <c r="H1007" s="117"/>
      <c r="I1007" s="117"/>
      <c r="J1007" s="117"/>
      <c r="K1007" s="117"/>
      <c r="L1007" s="117"/>
      <c r="M1007" s="117"/>
      <c r="N1007" s="117"/>
      <c r="O1007" s="117"/>
      <c r="P1007" s="117"/>
      <c r="Q1007" s="117"/>
      <c r="R1007" s="117"/>
      <c r="S1007" s="117"/>
      <c r="T1007" s="117"/>
      <c r="U1007" s="117"/>
      <c r="V1007" s="117"/>
      <c r="W1007" s="117"/>
      <c r="X1007" s="117"/>
      <c r="Y1007" s="117"/>
      <c r="Z1007" s="117"/>
      <c r="AA1007" s="117"/>
      <c r="AB1007" s="117"/>
    </row>
    <row r="1008">
      <c r="A1008" s="114"/>
      <c r="B1008" s="117"/>
      <c r="C1008" s="116"/>
      <c r="D1008" s="116"/>
      <c r="E1008" s="116"/>
      <c r="F1008" s="116"/>
      <c r="G1008" s="117"/>
      <c r="H1008" s="117"/>
      <c r="I1008" s="117"/>
      <c r="J1008" s="117"/>
      <c r="K1008" s="117"/>
      <c r="L1008" s="117"/>
      <c r="M1008" s="117"/>
      <c r="N1008" s="117"/>
      <c r="O1008" s="117"/>
      <c r="P1008" s="117"/>
      <c r="Q1008" s="117"/>
      <c r="R1008" s="117"/>
      <c r="S1008" s="117"/>
      <c r="T1008" s="117"/>
      <c r="U1008" s="117"/>
      <c r="V1008" s="117"/>
      <c r="W1008" s="117"/>
      <c r="X1008" s="117"/>
      <c r="Y1008" s="117"/>
      <c r="Z1008" s="117"/>
      <c r="AA1008" s="117"/>
      <c r="AB1008" s="117"/>
    </row>
    <row r="1009">
      <c r="A1009" s="114"/>
      <c r="B1009" s="117"/>
      <c r="C1009" s="116"/>
      <c r="D1009" s="116"/>
      <c r="E1009" s="116"/>
      <c r="F1009" s="116"/>
      <c r="G1009" s="117"/>
      <c r="H1009" s="117"/>
      <c r="I1009" s="117"/>
      <c r="J1009" s="117"/>
      <c r="K1009" s="117"/>
      <c r="L1009" s="117"/>
      <c r="M1009" s="117"/>
      <c r="N1009" s="117"/>
      <c r="O1009" s="117"/>
      <c r="P1009" s="117"/>
      <c r="Q1009" s="117"/>
      <c r="R1009" s="117"/>
      <c r="S1009" s="117"/>
      <c r="T1009" s="117"/>
      <c r="U1009" s="117"/>
      <c r="V1009" s="117"/>
      <c r="W1009" s="117"/>
      <c r="X1009" s="117"/>
      <c r="Y1009" s="117"/>
      <c r="Z1009" s="117"/>
      <c r="AA1009" s="117"/>
      <c r="AB1009" s="117"/>
    </row>
    <row r="1010">
      <c r="A1010" s="114"/>
      <c r="B1010" s="117"/>
      <c r="C1010" s="116"/>
      <c r="D1010" s="116"/>
      <c r="E1010" s="116"/>
      <c r="F1010" s="116"/>
      <c r="G1010" s="117"/>
      <c r="H1010" s="117"/>
      <c r="I1010" s="117"/>
      <c r="J1010" s="117"/>
      <c r="K1010" s="117"/>
      <c r="L1010" s="117"/>
      <c r="M1010" s="117"/>
      <c r="N1010" s="117"/>
      <c r="O1010" s="117"/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117"/>
      <c r="AB1010" s="117"/>
    </row>
    <row r="1011">
      <c r="A1011" s="114"/>
      <c r="B1011" s="117"/>
      <c r="C1011" s="116"/>
      <c r="D1011" s="116"/>
      <c r="E1011" s="116"/>
      <c r="F1011" s="116"/>
      <c r="G1011" s="117"/>
      <c r="H1011" s="117"/>
      <c r="I1011" s="117"/>
      <c r="J1011" s="117"/>
      <c r="K1011" s="117"/>
      <c r="L1011" s="117"/>
      <c r="M1011" s="117"/>
      <c r="N1011" s="117"/>
      <c r="O1011" s="117"/>
      <c r="P1011" s="117"/>
      <c r="Q1011" s="117"/>
      <c r="R1011" s="117"/>
      <c r="S1011" s="117"/>
      <c r="T1011" s="117"/>
      <c r="U1011" s="117"/>
      <c r="V1011" s="117"/>
      <c r="W1011" s="117"/>
      <c r="X1011" s="117"/>
      <c r="Y1011" s="117"/>
      <c r="Z1011" s="117"/>
      <c r="AA1011" s="117"/>
      <c r="AB1011" s="117"/>
    </row>
    <row r="1012">
      <c r="A1012" s="114"/>
      <c r="B1012" s="117"/>
      <c r="C1012" s="116"/>
      <c r="D1012" s="116"/>
      <c r="E1012" s="116"/>
      <c r="F1012" s="116"/>
      <c r="G1012" s="117"/>
      <c r="H1012" s="117"/>
      <c r="I1012" s="117"/>
      <c r="J1012" s="117"/>
      <c r="K1012" s="117"/>
      <c r="L1012" s="117"/>
      <c r="M1012" s="117"/>
      <c r="N1012" s="117"/>
      <c r="O1012" s="117"/>
      <c r="P1012" s="117"/>
      <c r="Q1012" s="117"/>
      <c r="R1012" s="117"/>
      <c r="S1012" s="117"/>
      <c r="T1012" s="117"/>
      <c r="U1012" s="117"/>
      <c r="V1012" s="117"/>
      <c r="W1012" s="117"/>
      <c r="X1012" s="117"/>
      <c r="Y1012" s="117"/>
      <c r="Z1012" s="117"/>
      <c r="AA1012" s="117"/>
      <c r="AB1012" s="117"/>
    </row>
    <row r="1013">
      <c r="A1013" s="114"/>
      <c r="B1013" s="117"/>
      <c r="C1013" s="116"/>
      <c r="D1013" s="116"/>
      <c r="E1013" s="116"/>
      <c r="F1013" s="116"/>
      <c r="G1013" s="117"/>
      <c r="H1013" s="117"/>
      <c r="I1013" s="117"/>
      <c r="J1013" s="117"/>
      <c r="K1013" s="117"/>
      <c r="L1013" s="117"/>
      <c r="M1013" s="117"/>
      <c r="N1013" s="117"/>
      <c r="O1013" s="117"/>
      <c r="P1013" s="117"/>
      <c r="Q1013" s="117"/>
      <c r="R1013" s="117"/>
      <c r="S1013" s="117"/>
      <c r="T1013" s="117"/>
      <c r="U1013" s="117"/>
      <c r="V1013" s="117"/>
      <c r="W1013" s="117"/>
      <c r="X1013" s="117"/>
      <c r="Y1013" s="117"/>
      <c r="Z1013" s="117"/>
      <c r="AA1013" s="117"/>
      <c r="AB1013" s="11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4" t="str">
        <f>IFERROR(__xludf.DUMMYFUNCTION("importrange(""https://docs.google.com/spreadsheets/d/1S3MX3cHqFIgb4SzkDH9lXORTMiEkDw5ybW1ovrknbRg/edit?gid=907455009#gid=907455009"",""SOT"")"),"")</f>
        <v/>
      </c>
      <c r="B1" s="115" t="str">
        <f>IFERROR(__xludf.DUMMYFUNCTION("""COMPUTED_VALUE"""),"Al's Supply Profitability Report")</f>
        <v>Al's Supply Profitability Report</v>
      </c>
      <c r="C1" s="116"/>
      <c r="D1" s="116"/>
      <c r="E1" s="116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</row>
    <row r="2">
      <c r="A2" s="114"/>
      <c r="B2" s="118" t="str">
        <f>IFERROR(__xludf.DUMMYFUNCTION("""COMPUTED_VALUE"""),"Net Margins")</f>
        <v>Net Margins</v>
      </c>
      <c r="C2" s="4" t="str">
        <f>IFERROR(__xludf.DUMMYFUNCTION("""COMPUTED_VALUE"""),"Year to Date")</f>
        <v>Year to Date</v>
      </c>
      <c r="D2" s="4" t="str">
        <f>IFERROR(__xludf.DUMMYFUNCTION("""COMPUTED_VALUE"""),"Last Month")</f>
        <v>Last Month</v>
      </c>
      <c r="E2" s="4" t="str">
        <f>IFERROR(__xludf.DUMMYFUNCTION("""COMPUTED_VALUE"""),"Month to Date")</f>
        <v>Month to Date</v>
      </c>
      <c r="F2" s="5" t="str">
        <f>IFERROR(__xludf.DUMMYFUNCTION("""COMPUTED_VALUE"""),"This Week")</f>
        <v>This Week</v>
      </c>
      <c r="G2" s="6" t="str">
        <f>IFERROR(__xludf.DUMMYFUNCTION("""COMPUTED_VALUE"""),"Last Week")</f>
        <v>Last Week</v>
      </c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</row>
    <row r="3">
      <c r="A3" s="114"/>
      <c r="B3" s="119"/>
      <c r="C3" s="120">
        <f>IFERROR(__xludf.DUMMYFUNCTION("""COMPUTED_VALUE"""),2025.0)</f>
        <v>2025</v>
      </c>
      <c r="D3" s="121" t="str">
        <f>IFERROR(__xludf.DUMMYFUNCTION("""COMPUTED_VALUE"""),"November")</f>
        <v>November</v>
      </c>
      <c r="E3" s="121" t="str">
        <f>IFERROR(__xludf.DUMMYFUNCTION("""COMPUTED_VALUE"""),"December")</f>
        <v>December</v>
      </c>
      <c r="F3" s="122">
        <f>IFERROR(__xludf.DUMMYFUNCTION("""COMPUTED_VALUE"""),45999.0)</f>
        <v>45999</v>
      </c>
      <c r="G3" s="122">
        <f>IFERROR(__xludf.DUMMYFUNCTION("""COMPUTED_VALUE"""),45992.0)</f>
        <v>45992</v>
      </c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</row>
    <row r="4">
      <c r="A4" s="114"/>
      <c r="B4" s="123" t="str">
        <f>IFERROR(__xludf.DUMMYFUNCTION("""COMPUTED_VALUE"""),"20% Projection")</f>
        <v>20% Projection</v>
      </c>
      <c r="C4" s="124">
        <f>IFERROR(__xludf.DUMMYFUNCTION("""COMPUTED_VALUE"""),61.77999999999957)</f>
        <v>61.78</v>
      </c>
      <c r="D4" s="124">
        <f>IFERROR(__xludf.DUMMYFUNCTION("""COMPUTED_VALUE"""),-40.852000000000004)</f>
        <v>-40.852</v>
      </c>
      <c r="E4" s="124">
        <f>IFERROR(__xludf.DUMMYFUNCTION("""COMPUTED_VALUE"""),-42.312000000000005)</f>
        <v>-42.312</v>
      </c>
      <c r="F4" s="124">
        <f>IFERROR(__xludf.DUMMYFUNCTION("""COMPUTED_VALUE"""),-18.364)</f>
        <v>-18.364</v>
      </c>
      <c r="G4" s="125">
        <f>IFERROR(__xludf.DUMMYFUNCTION("""COMPUTED_VALUE"""),-5.334)</f>
        <v>-5.334</v>
      </c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</row>
    <row r="5">
      <c r="A5" s="114"/>
      <c r="B5" s="126" t="str">
        <f>IFERROR(__xludf.DUMMYFUNCTION("""COMPUTED_VALUE"""),"Net Profit Al's Supply")</f>
        <v>Net Profit Al's Supply</v>
      </c>
      <c r="C5" s="85">
        <f>IFERROR(__xludf.DUMMYFUNCTION("""COMPUTED_VALUE"""),308.8999999999978)</f>
        <v>308.9</v>
      </c>
      <c r="D5" s="85">
        <f>IFERROR(__xludf.DUMMYFUNCTION("""COMPUTED_VALUE"""),-204.26)</f>
        <v>-204.26</v>
      </c>
      <c r="E5" s="85">
        <f>IFERROR(__xludf.DUMMYFUNCTION("""COMPUTED_VALUE"""),-211.56)</f>
        <v>-211.56</v>
      </c>
      <c r="F5" s="85">
        <f>IFERROR(__xludf.DUMMYFUNCTION("""COMPUTED_VALUE"""),-91.82000000000001)</f>
        <v>-91.82</v>
      </c>
      <c r="G5" s="86">
        <f>IFERROR(__xludf.DUMMYFUNCTION("""COMPUTED_VALUE"""),-26.669999999999998)</f>
        <v>-26.67</v>
      </c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</row>
    <row r="6">
      <c r="A6" s="114"/>
      <c r="B6" s="127" t="str">
        <f>IFERROR(__xludf.DUMMYFUNCTION("""COMPUTED_VALUE"""),"Item Profit Vs. Returned Items")</f>
        <v>Item Profit Vs. Returned Items</v>
      </c>
      <c r="C6" s="128">
        <f>IFERROR(__xludf.DUMMYFUNCTION("""COMPUTED_VALUE"""),2684.529999999997)</f>
        <v>2684.53</v>
      </c>
      <c r="D6" s="128">
        <f>IFERROR(__xludf.DUMMYFUNCTION("""COMPUTED_VALUE"""),-71.64)</f>
        <v>-71.64</v>
      </c>
      <c r="E6" s="128">
        <f>IFERROR(__xludf.DUMMYFUNCTION("""COMPUTED_VALUE"""),-127.65)</f>
        <v>-127.65</v>
      </c>
      <c r="F6" s="128">
        <f>IFERROR(__xludf.DUMMYFUNCTION("""COMPUTED_VALUE"""),-26.01)</f>
        <v>-26.01</v>
      </c>
      <c r="G6" s="129">
        <f>IFERROR(__xludf.DUMMYFUNCTION("""COMPUTED_VALUE"""),0.0)</f>
        <v>0</v>
      </c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</row>
    <row r="7">
      <c r="A7" s="114"/>
      <c r="B7" s="130" t="str">
        <f>IFERROR(__xludf.DUMMYFUNCTION("""COMPUTED_VALUE"""),"Al's Supply Item Sales Profit")</f>
        <v>Al's Supply Item Sales Profit</v>
      </c>
      <c r="C7" s="131">
        <f>IFERROR(__xludf.DUMMYFUNCTION("""COMPUTED_VALUE"""),5606.619999999999)</f>
        <v>5606.62</v>
      </c>
      <c r="D7" s="131">
        <f>IFERROR(__xludf.DUMMYFUNCTION("""COMPUTED_VALUE"""),0.0)</f>
        <v>0</v>
      </c>
      <c r="E7" s="131">
        <f>IFERROR(__xludf.DUMMYFUNCTION("""COMPUTED_VALUE"""),0.0)</f>
        <v>0</v>
      </c>
      <c r="F7" s="131">
        <f>IFERROR(__xludf.DUMMYFUNCTION("""COMPUTED_VALUE"""),0.0)</f>
        <v>0</v>
      </c>
      <c r="G7" s="132">
        <f>IFERROR(__xludf.DUMMYFUNCTION("""COMPUTED_VALUE"""),0.0)</f>
        <v>0</v>
      </c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</row>
    <row r="8">
      <c r="A8" s="114"/>
      <c r="B8" s="138" t="str">
        <f>IFERROR(__xludf.DUMMYFUNCTION("""COMPUTED_VALUE"""),"Keystone")</f>
        <v>Keystone</v>
      </c>
      <c r="C8" s="124">
        <f>IFERROR(__xludf.DUMMYFUNCTION("""COMPUTED_VALUE"""),5216.8099999999995)</f>
        <v>5216.81</v>
      </c>
      <c r="D8" s="124">
        <f>IFERROR(__xludf.DUMMYFUNCTION("""COMPUTED_VALUE"""),0.0)</f>
        <v>0</v>
      </c>
      <c r="E8" s="124">
        <f>IFERROR(__xludf.DUMMYFUNCTION("""COMPUTED_VALUE"""),0.0)</f>
        <v>0</v>
      </c>
      <c r="F8" s="124">
        <f>IFERROR(__xludf.DUMMYFUNCTION("""COMPUTED_VALUE"""),0.0)</f>
        <v>0</v>
      </c>
      <c r="G8" s="125">
        <f>IFERROR(__xludf.DUMMYFUNCTION("""COMPUTED_VALUE"""),0.0)</f>
        <v>0</v>
      </c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</row>
    <row r="9">
      <c r="A9" s="114"/>
      <c r="B9" s="133" t="str">
        <f>IFERROR(__xludf.DUMMYFUNCTION("""COMPUTED_VALUE"""),"eBay")</f>
        <v>eBay</v>
      </c>
      <c r="C9" s="128">
        <f>IFERROR(__xludf.DUMMYFUNCTION("""COMPUTED_VALUE"""),299.29000000000013)</f>
        <v>299.29</v>
      </c>
      <c r="D9" s="128">
        <f>IFERROR(__xludf.DUMMYFUNCTION("""COMPUTED_VALUE"""),0.0)</f>
        <v>0</v>
      </c>
      <c r="E9" s="128">
        <f>IFERROR(__xludf.DUMMYFUNCTION("""COMPUTED_VALUE"""),0.0)</f>
        <v>0</v>
      </c>
      <c r="F9" s="128">
        <f>IFERROR(__xludf.DUMMYFUNCTION("""COMPUTED_VALUE"""),0.0)</f>
        <v>0</v>
      </c>
      <c r="G9" s="129">
        <f>IFERROR(__xludf.DUMMYFUNCTION("""COMPUTED_VALUE"""),0.0)</f>
        <v>0</v>
      </c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</row>
    <row r="10">
      <c r="A10" s="114"/>
      <c r="B10" s="133" t="str">
        <f>IFERROR(__xludf.DUMMYFUNCTION("""COMPUTED_VALUE"""),"TAAS")</f>
        <v>TAAS</v>
      </c>
      <c r="C10" s="128">
        <f>IFERROR(__xludf.DUMMYFUNCTION("""COMPUTED_VALUE"""),97.28000000000002)</f>
        <v>97.28</v>
      </c>
      <c r="D10" s="128">
        <f>IFERROR(__xludf.DUMMYFUNCTION("""COMPUTED_VALUE"""),0.0)</f>
        <v>0</v>
      </c>
      <c r="E10" s="128">
        <f>IFERROR(__xludf.DUMMYFUNCTION("""COMPUTED_VALUE"""),0.0)</f>
        <v>0</v>
      </c>
      <c r="F10" s="128">
        <f>IFERROR(__xludf.DUMMYFUNCTION("""COMPUTED_VALUE"""),0.0)</f>
        <v>0</v>
      </c>
      <c r="G10" s="129">
        <f>IFERROR(__xludf.DUMMYFUNCTION("""COMPUTED_VALUE"""),0.0)</f>
        <v>0</v>
      </c>
      <c r="H10" s="117"/>
      <c r="I10" s="117"/>
      <c r="J10" s="117"/>
      <c r="K10" s="117"/>
      <c r="L10" s="117">
        <f>IFERROR(__xludf.DUMMYFUNCTION("""COMPUTED_VALUE"""),360.0)</f>
        <v>360</v>
      </c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</row>
    <row r="11">
      <c r="A11" s="114"/>
      <c r="B11" s="133" t="str">
        <f>IFERROR(__xludf.DUMMYFUNCTION("""COMPUTED_VALUE"""),"RR-Wally's")</f>
        <v>RR-Wally's</v>
      </c>
      <c r="C11" s="128">
        <f>IFERROR(__xludf.DUMMYFUNCTION("""COMPUTED_VALUE"""),0.0)</f>
        <v>0</v>
      </c>
      <c r="D11" s="128">
        <f>IFERROR(__xludf.DUMMYFUNCTION("""COMPUTED_VALUE"""),0.0)</f>
        <v>0</v>
      </c>
      <c r="E11" s="128">
        <f>IFERROR(__xludf.DUMMYFUNCTION("""COMPUTED_VALUE"""),0.0)</f>
        <v>0</v>
      </c>
      <c r="F11" s="128">
        <f>IFERROR(__xludf.DUMMYFUNCTION("""COMPUTED_VALUE"""),0.0)</f>
        <v>0</v>
      </c>
      <c r="G11" s="129">
        <f>IFERROR(__xludf.DUMMYFUNCTION("""COMPUTED_VALUE"""),0.0)</f>
        <v>0</v>
      </c>
      <c r="H11" s="117"/>
      <c r="I11" s="117"/>
      <c r="J11" s="117"/>
      <c r="K11" s="117"/>
      <c r="L11" s="117">
        <f>IFERROR(__xludf.DUMMYFUNCTION("""COMPUTED_VALUE"""),720.0)</f>
        <v>720</v>
      </c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</row>
    <row r="12">
      <c r="A12" s="114"/>
      <c r="B12" s="133" t="str">
        <f>IFERROR(__xludf.DUMMYFUNCTION("""COMPUTED_VALUE"""),"RR-FBA")</f>
        <v>RR-FBA</v>
      </c>
      <c r="C12" s="128">
        <f>IFERROR(__xludf.DUMMYFUNCTION("""COMPUTED_VALUE"""),-6.76)</f>
        <v>-6.76</v>
      </c>
      <c r="D12" s="128">
        <f>IFERROR(__xludf.DUMMYFUNCTION("""COMPUTED_VALUE"""),0.0)</f>
        <v>0</v>
      </c>
      <c r="E12" s="128">
        <f>IFERROR(__xludf.DUMMYFUNCTION("""COMPUTED_VALUE"""),0.0)</f>
        <v>0</v>
      </c>
      <c r="F12" s="128">
        <f>IFERROR(__xludf.DUMMYFUNCTION("""COMPUTED_VALUE"""),0.0)</f>
        <v>0</v>
      </c>
      <c r="G12" s="129">
        <f>IFERROR(__xludf.DUMMYFUNCTION("""COMPUTED_VALUE"""),0.0)</f>
        <v>0</v>
      </c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</row>
    <row r="13">
      <c r="A13" s="114"/>
      <c r="B13" s="133" t="str">
        <f>IFERROR(__xludf.DUMMYFUNCTION("""COMPUTED_VALUE"""),"Returns-TAAS")</f>
        <v>Returns-TAAS</v>
      </c>
      <c r="C13" s="128">
        <f>IFERROR(__xludf.DUMMYFUNCTION("""COMPUTED_VALUE"""),0.0)</f>
        <v>0</v>
      </c>
      <c r="D13" s="128">
        <f>IFERROR(__xludf.DUMMYFUNCTION("""COMPUTED_VALUE"""),0.0)</f>
        <v>0</v>
      </c>
      <c r="E13" s="128">
        <f>IFERROR(__xludf.DUMMYFUNCTION("""COMPUTED_VALUE"""),0.0)</f>
        <v>0</v>
      </c>
      <c r="F13" s="128">
        <f>IFERROR(__xludf.DUMMYFUNCTION("""COMPUTED_VALUE"""),0.0)</f>
        <v>0</v>
      </c>
      <c r="G13" s="129">
        <f>IFERROR(__xludf.DUMMYFUNCTION("""COMPUTED_VALUE"""),0.0)</f>
        <v>0</v>
      </c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</row>
    <row r="14">
      <c r="A14" s="114"/>
      <c r="B14" s="134" t="str">
        <f>IFERROR(__xludf.DUMMYFUNCTION("""COMPUTED_VALUE"""),"Returns - Rico")</f>
        <v>Returns - Rico</v>
      </c>
      <c r="C14" s="131">
        <f>IFERROR(__xludf.DUMMYFUNCTION("""COMPUTED_VALUE"""),0.0)</f>
        <v>0</v>
      </c>
      <c r="D14" s="131">
        <f>IFERROR(__xludf.DUMMYFUNCTION("""COMPUTED_VALUE"""),0.0)</f>
        <v>0</v>
      </c>
      <c r="E14" s="131">
        <f>IFERROR(__xludf.DUMMYFUNCTION("""COMPUTED_VALUE"""),0.0)</f>
        <v>0</v>
      </c>
      <c r="F14" s="131">
        <f>IFERROR(__xludf.DUMMYFUNCTION("""COMPUTED_VALUE"""),0.0)</f>
        <v>0</v>
      </c>
      <c r="G14" s="132">
        <f>IFERROR(__xludf.DUMMYFUNCTION("""COMPUTED_VALUE"""),0.0)</f>
        <v>0</v>
      </c>
      <c r="H14" s="117"/>
      <c r="I14" s="117"/>
      <c r="J14" s="117"/>
      <c r="K14" s="117"/>
      <c r="L14" s="117">
        <f>IFERROR(__xludf.DUMMYFUNCTION("""COMPUTED_VALUE"""),-960.0)</f>
        <v>-960</v>
      </c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</row>
    <row r="15">
      <c r="A15" s="114"/>
      <c r="B15" s="117"/>
      <c r="C15" s="116"/>
      <c r="D15" s="116"/>
      <c r="E15" s="116"/>
      <c r="F15" s="116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</row>
    <row r="16">
      <c r="A16" s="114"/>
      <c r="B16" s="135" t="str">
        <f>IFERROR(__xludf.DUMMYFUNCTION("""COMPUTED_VALUE"""),"Returns")</f>
        <v>Returns</v>
      </c>
      <c r="C16" s="136">
        <f>IFERROR(__xludf.DUMMYFUNCTION("""COMPUTED_VALUE"""),-2922.090000000002)</f>
        <v>-2922.09</v>
      </c>
      <c r="D16" s="136">
        <f>IFERROR(__xludf.DUMMYFUNCTION("""COMPUTED_VALUE"""),-71.64)</f>
        <v>-71.64</v>
      </c>
      <c r="E16" s="136">
        <f>IFERROR(__xludf.DUMMYFUNCTION("""COMPUTED_VALUE"""),-127.65)</f>
        <v>-127.65</v>
      </c>
      <c r="F16" s="136">
        <f>IFERROR(__xludf.DUMMYFUNCTION("""COMPUTED_VALUE"""),-26.01)</f>
        <v>-26.01</v>
      </c>
      <c r="G16" s="137">
        <f>IFERROR(__xludf.DUMMYFUNCTION("""COMPUTED_VALUE"""),0.0)</f>
        <v>0</v>
      </c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</row>
    <row r="17">
      <c r="A17" s="114"/>
      <c r="B17" s="138" t="str">
        <f>IFERROR(__xludf.DUMMYFUNCTION("""COMPUTED_VALUE"""),"Keystone")</f>
        <v>Keystone</v>
      </c>
      <c r="C17" s="124">
        <f>IFERROR(__xludf.DUMMYFUNCTION("""COMPUTED_VALUE"""),-2835.680000000002)</f>
        <v>-2835.68</v>
      </c>
      <c r="D17" s="124">
        <f>IFERROR(__xludf.DUMMYFUNCTION("""COMPUTED_VALUE"""),-71.64)</f>
        <v>-71.64</v>
      </c>
      <c r="E17" s="124">
        <f>IFERROR(__xludf.DUMMYFUNCTION("""COMPUTED_VALUE"""),-127.65)</f>
        <v>-127.65</v>
      </c>
      <c r="F17" s="124">
        <f>IFERROR(__xludf.DUMMYFUNCTION("""COMPUTED_VALUE"""),-26.01)</f>
        <v>-26.01</v>
      </c>
      <c r="G17" s="125">
        <f>IFERROR(__xludf.DUMMYFUNCTION("""COMPUTED_VALUE"""),0.0)</f>
        <v>0</v>
      </c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</row>
    <row r="18">
      <c r="A18" s="114"/>
      <c r="B18" s="133" t="str">
        <f>IFERROR(__xludf.DUMMYFUNCTION("""COMPUTED_VALUE"""),"eBay")</f>
        <v>eBay</v>
      </c>
      <c r="C18" s="128">
        <f>IFERROR(__xludf.DUMMYFUNCTION("""COMPUTED_VALUE"""),-16.67)</f>
        <v>-16.67</v>
      </c>
      <c r="D18" s="128">
        <f>IFERROR(__xludf.DUMMYFUNCTION("""COMPUTED_VALUE"""),0.0)</f>
        <v>0</v>
      </c>
      <c r="E18" s="128">
        <f>IFERROR(__xludf.DUMMYFUNCTION("""COMPUTED_VALUE"""),0.0)</f>
        <v>0</v>
      </c>
      <c r="F18" s="128">
        <f>IFERROR(__xludf.DUMMYFUNCTION("""COMPUTED_VALUE"""),0.0)</f>
        <v>0</v>
      </c>
      <c r="G18" s="129">
        <f>IFERROR(__xludf.DUMMYFUNCTION("""COMPUTED_VALUE"""),0.0)</f>
        <v>0</v>
      </c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</row>
    <row r="19">
      <c r="A19" s="114"/>
      <c r="B19" s="133" t="str">
        <f>IFERROR(__xludf.DUMMYFUNCTION("""COMPUTED_VALUE"""),"TAAS")</f>
        <v>TAAS</v>
      </c>
      <c r="C19" s="128">
        <f>IFERROR(__xludf.DUMMYFUNCTION("""COMPUTED_VALUE"""),-69.74)</f>
        <v>-69.74</v>
      </c>
      <c r="D19" s="128">
        <f>IFERROR(__xludf.DUMMYFUNCTION("""COMPUTED_VALUE"""),0.0)</f>
        <v>0</v>
      </c>
      <c r="E19" s="128">
        <f>IFERROR(__xludf.DUMMYFUNCTION("""COMPUTED_VALUE"""),0.0)</f>
        <v>0</v>
      </c>
      <c r="F19" s="128">
        <f>IFERROR(__xludf.DUMMYFUNCTION("""COMPUTED_VALUE"""),0.0)</f>
        <v>0</v>
      </c>
      <c r="G19" s="129">
        <f>IFERROR(__xludf.DUMMYFUNCTION("""COMPUTED_VALUE"""),0.0)</f>
        <v>0</v>
      </c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</row>
    <row r="20">
      <c r="A20" s="114"/>
      <c r="B20" s="133" t="str">
        <f>IFERROR(__xludf.DUMMYFUNCTION("""COMPUTED_VALUE"""),"RR-Wally's")</f>
        <v>RR-Wally's</v>
      </c>
      <c r="C20" s="128">
        <f>IFERROR(__xludf.DUMMYFUNCTION("""COMPUTED_VALUE"""),0.0)</f>
        <v>0</v>
      </c>
      <c r="D20" s="128">
        <f>IFERROR(__xludf.DUMMYFUNCTION("""COMPUTED_VALUE"""),0.0)</f>
        <v>0</v>
      </c>
      <c r="E20" s="128">
        <f>IFERROR(__xludf.DUMMYFUNCTION("""COMPUTED_VALUE"""),0.0)</f>
        <v>0</v>
      </c>
      <c r="F20" s="128">
        <f>IFERROR(__xludf.DUMMYFUNCTION("""COMPUTED_VALUE"""),0.0)</f>
        <v>0</v>
      </c>
      <c r="G20" s="129">
        <f>IFERROR(__xludf.DUMMYFUNCTION("""COMPUTED_VALUE"""),0.0)</f>
        <v>0</v>
      </c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</row>
    <row r="21">
      <c r="A21" s="114"/>
      <c r="B21" s="133" t="str">
        <f>IFERROR(__xludf.DUMMYFUNCTION("""COMPUTED_VALUE"""),"RR-FBA")</f>
        <v>RR-FBA</v>
      </c>
      <c r="C21" s="128">
        <f>IFERROR(__xludf.DUMMYFUNCTION("""COMPUTED_VALUE"""),0.0)</f>
        <v>0</v>
      </c>
      <c r="D21" s="128">
        <f>IFERROR(__xludf.DUMMYFUNCTION("""COMPUTED_VALUE"""),0.0)</f>
        <v>0</v>
      </c>
      <c r="E21" s="128">
        <f>IFERROR(__xludf.DUMMYFUNCTION("""COMPUTED_VALUE"""),0.0)</f>
        <v>0</v>
      </c>
      <c r="F21" s="128">
        <f>IFERROR(__xludf.DUMMYFUNCTION("""COMPUTED_VALUE"""),0.0)</f>
        <v>0</v>
      </c>
      <c r="G21" s="129">
        <f>IFERROR(__xludf.DUMMYFUNCTION("""COMPUTED_VALUE"""),0.0)</f>
        <v>0</v>
      </c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</row>
    <row r="22">
      <c r="A22" s="114"/>
      <c r="B22" s="133" t="str">
        <f>IFERROR(__xludf.DUMMYFUNCTION("""COMPUTED_VALUE"""),"Returns-TAAS")</f>
        <v>Returns-TAAS</v>
      </c>
      <c r="C22" s="128">
        <f>IFERROR(__xludf.DUMMYFUNCTION("""COMPUTED_VALUE"""),0.0)</f>
        <v>0</v>
      </c>
      <c r="D22" s="128">
        <f>IFERROR(__xludf.DUMMYFUNCTION("""COMPUTED_VALUE"""),0.0)</f>
        <v>0</v>
      </c>
      <c r="E22" s="128">
        <f>IFERROR(__xludf.DUMMYFUNCTION("""COMPUTED_VALUE"""),0.0)</f>
        <v>0</v>
      </c>
      <c r="F22" s="128">
        <f>IFERROR(__xludf.DUMMYFUNCTION("""COMPUTED_VALUE"""),0.0)</f>
        <v>0</v>
      </c>
      <c r="G22" s="129">
        <f>IFERROR(__xludf.DUMMYFUNCTION("""COMPUTED_VALUE"""),0.0)</f>
        <v>0</v>
      </c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</row>
    <row r="23">
      <c r="A23" s="114"/>
      <c r="B23" s="134" t="str">
        <f>IFERROR(__xludf.DUMMYFUNCTION("""COMPUTED_VALUE"""),"Returns - Rico")</f>
        <v>Returns - Rico</v>
      </c>
      <c r="C23" s="131">
        <f>IFERROR(__xludf.DUMMYFUNCTION("""COMPUTED_VALUE"""),0.0)</f>
        <v>0</v>
      </c>
      <c r="D23" s="131">
        <f>IFERROR(__xludf.DUMMYFUNCTION("""COMPUTED_VALUE"""),0.0)</f>
        <v>0</v>
      </c>
      <c r="E23" s="131">
        <f>IFERROR(__xludf.DUMMYFUNCTION("""COMPUTED_VALUE"""),0.0)</f>
        <v>0</v>
      </c>
      <c r="F23" s="131">
        <f>IFERROR(__xludf.DUMMYFUNCTION("""COMPUTED_VALUE"""),0.0)</f>
        <v>0</v>
      </c>
      <c r="G23" s="132">
        <f>IFERROR(__xludf.DUMMYFUNCTION("""COMPUTED_VALUE"""),0.0)</f>
        <v>0</v>
      </c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</row>
    <row r="24">
      <c r="A24" s="114"/>
      <c r="B24" s="117"/>
      <c r="C24" s="116"/>
      <c r="D24" s="116"/>
      <c r="E24" s="116"/>
      <c r="F24" s="116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</row>
    <row r="25">
      <c r="A25" s="114"/>
      <c r="B25" s="135" t="str">
        <f>IFERROR(__xludf.DUMMYFUNCTION("""COMPUTED_VALUE"""),"Other Fees")</f>
        <v>Other Fees</v>
      </c>
      <c r="C25" s="136">
        <f>IFERROR(__xludf.DUMMYFUNCTION("""COMPUTED_VALUE"""),-2375.629999999999)</f>
        <v>-2375.63</v>
      </c>
      <c r="D25" s="136">
        <f>IFERROR(__xludf.DUMMYFUNCTION("""COMPUTED_VALUE"""),-132.62)</f>
        <v>-132.62</v>
      </c>
      <c r="E25" s="136">
        <f>IFERROR(__xludf.DUMMYFUNCTION("""COMPUTED_VALUE"""),-83.91)</f>
        <v>-83.91</v>
      </c>
      <c r="F25" s="136">
        <f>IFERROR(__xludf.DUMMYFUNCTION("""COMPUTED_VALUE"""),-65.81)</f>
        <v>-65.81</v>
      </c>
      <c r="G25" s="137">
        <f>IFERROR(__xludf.DUMMYFUNCTION("""COMPUTED_VALUE"""),-26.669999999999998)</f>
        <v>-26.67</v>
      </c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</row>
    <row r="26">
      <c r="A26" s="114"/>
      <c r="B26" s="138" t="str">
        <f>IFERROR(__xludf.DUMMYFUNCTION("""COMPUTED_VALUE"""),"Shipping Services")</f>
        <v>Shipping Services</v>
      </c>
      <c r="C26" s="124">
        <f>IFERROR(__xludf.DUMMYFUNCTION("""COMPUTED_VALUE"""),-1924.169999999999)</f>
        <v>-1924.17</v>
      </c>
      <c r="D26" s="124">
        <f>IFERROR(__xludf.DUMMYFUNCTION("""COMPUTED_VALUE"""),-92.26)</f>
        <v>-92.26</v>
      </c>
      <c r="E26" s="124">
        <f>IFERROR(__xludf.DUMMYFUNCTION("""COMPUTED_VALUE"""),-43.26)</f>
        <v>-43.26</v>
      </c>
      <c r="F26" s="124">
        <f>IFERROR(__xludf.DUMMYFUNCTION("""COMPUTED_VALUE"""),-25.16)</f>
        <v>-25.16</v>
      </c>
      <c r="G26" s="125">
        <f>IFERROR(__xludf.DUMMYFUNCTION("""COMPUTED_VALUE"""),-26.669999999999998)</f>
        <v>-26.67</v>
      </c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</row>
    <row r="27">
      <c r="A27" s="114"/>
      <c r="B27" s="133" t="str">
        <f>IFERROR(__xludf.DUMMYFUNCTION("""COMPUTED_VALUE"""),"FBA Inventory Fee")</f>
        <v>FBA Inventory Fee</v>
      </c>
      <c r="C27" s="128">
        <f>IFERROR(__xludf.DUMMYFUNCTION("""COMPUTED_VALUE"""),-5.490000000000001)</f>
        <v>-5.49</v>
      </c>
      <c r="D27" s="128">
        <f>IFERROR(__xludf.DUMMYFUNCTION("""COMPUTED_VALUE"""),-0.37)</f>
        <v>-0.37</v>
      </c>
      <c r="E27" s="128">
        <f>IFERROR(__xludf.DUMMYFUNCTION("""COMPUTED_VALUE"""),-0.66)</f>
        <v>-0.66</v>
      </c>
      <c r="F27" s="128">
        <f>IFERROR(__xludf.DUMMYFUNCTION("""COMPUTED_VALUE"""),-0.66)</f>
        <v>-0.66</v>
      </c>
      <c r="G27" s="129">
        <f>IFERROR(__xludf.DUMMYFUNCTION("""COMPUTED_VALUE"""),0.0)</f>
        <v>0</v>
      </c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</row>
    <row r="28">
      <c r="A28" s="114"/>
      <c r="B28" s="133" t="str">
        <f>IFERROR(__xludf.DUMMYFUNCTION("""COMPUTED_VALUE"""),"Liquidations Adjustments")</f>
        <v>Liquidations Adjustments</v>
      </c>
      <c r="C28" s="128">
        <f>IFERROR(__xludf.DUMMYFUNCTION("""COMPUTED_VALUE"""),0.0)</f>
        <v>0</v>
      </c>
      <c r="D28" s="128">
        <f>IFERROR(__xludf.DUMMYFUNCTION("""COMPUTED_VALUE"""),0.0)</f>
        <v>0</v>
      </c>
      <c r="E28" s="128">
        <f>IFERROR(__xludf.DUMMYFUNCTION("""COMPUTED_VALUE"""),0.0)</f>
        <v>0</v>
      </c>
      <c r="F28" s="128">
        <f>IFERROR(__xludf.DUMMYFUNCTION("""COMPUTED_VALUE"""),0.0)</f>
        <v>0</v>
      </c>
      <c r="G28" s="129">
        <f>IFERROR(__xludf.DUMMYFUNCTION("""COMPUTED_VALUE"""),0.0)</f>
        <v>0</v>
      </c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</row>
    <row r="29">
      <c r="A29" s="114"/>
      <c r="B29" s="133" t="str">
        <f>IFERROR(__xludf.DUMMYFUNCTION("""COMPUTED_VALUE"""),"Service Fee")</f>
        <v>Service Fee</v>
      </c>
      <c r="C29" s="128">
        <f>IFERROR(__xludf.DUMMYFUNCTION("""COMPUTED_VALUE"""),-480.7100000000001)</f>
        <v>-480.71</v>
      </c>
      <c r="D29" s="128">
        <f>IFERROR(__xludf.DUMMYFUNCTION("""COMPUTED_VALUE"""),-39.99)</f>
        <v>-39.99</v>
      </c>
      <c r="E29" s="128">
        <f>IFERROR(__xludf.DUMMYFUNCTION("""COMPUTED_VALUE"""),-39.99)</f>
        <v>-39.99</v>
      </c>
      <c r="F29" s="128">
        <f>IFERROR(__xludf.DUMMYFUNCTION("""COMPUTED_VALUE"""),-39.99)</f>
        <v>-39.99</v>
      </c>
      <c r="G29" s="129">
        <f>IFERROR(__xludf.DUMMYFUNCTION("""COMPUTED_VALUE"""),0.0)</f>
        <v>0</v>
      </c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</row>
    <row r="30">
      <c r="A30" s="114"/>
      <c r="B30" s="133" t="str">
        <f>IFERROR(__xludf.DUMMYFUNCTION("""COMPUTED_VALUE"""),"SAFE-T reimbursement")</f>
        <v>SAFE-T reimbursement</v>
      </c>
      <c r="C30" s="128">
        <f>IFERROR(__xludf.DUMMYFUNCTION("""COMPUTED_VALUE"""),34.74)</f>
        <v>34.74</v>
      </c>
      <c r="D30" s="128">
        <f>IFERROR(__xludf.DUMMYFUNCTION("""COMPUTED_VALUE"""),0.0)</f>
        <v>0</v>
      </c>
      <c r="E30" s="128">
        <f>IFERROR(__xludf.DUMMYFUNCTION("""COMPUTED_VALUE"""),0.0)</f>
        <v>0</v>
      </c>
      <c r="F30" s="128">
        <f>IFERROR(__xludf.DUMMYFUNCTION("""COMPUTED_VALUE"""),0.0)</f>
        <v>0</v>
      </c>
      <c r="G30" s="129">
        <f>IFERROR(__xludf.DUMMYFUNCTION("""COMPUTED_VALUE"""),0.0)</f>
        <v>0</v>
      </c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</row>
    <row r="31">
      <c r="A31" s="114"/>
      <c r="B31" s="133" t="str">
        <f>IFERROR(__xludf.DUMMYFUNCTION("""COMPUTED_VALUE"""),"Adjustment")</f>
        <v>Adjustment</v>
      </c>
      <c r="C31" s="128">
        <f>IFERROR(__xludf.DUMMYFUNCTION("""COMPUTED_VALUE"""),0.0)</f>
        <v>0</v>
      </c>
      <c r="D31" s="128">
        <f>IFERROR(__xludf.DUMMYFUNCTION("""COMPUTED_VALUE"""),0.0)</f>
        <v>0</v>
      </c>
      <c r="E31" s="128">
        <f>IFERROR(__xludf.DUMMYFUNCTION("""COMPUTED_VALUE"""),0.0)</f>
        <v>0</v>
      </c>
      <c r="F31" s="128">
        <f>IFERROR(__xludf.DUMMYFUNCTION("""COMPUTED_VALUE"""),0.0)</f>
        <v>0</v>
      </c>
      <c r="G31" s="129">
        <f>IFERROR(__xludf.DUMMYFUNCTION("""COMPUTED_VALUE"""),0.0)</f>
        <v>0</v>
      </c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</row>
    <row r="32">
      <c r="A32" s="114"/>
      <c r="B32" s="134" t="str">
        <f>IFERROR(__xludf.DUMMYFUNCTION("""COMPUTED_VALUE"""),"A-to-z Guarantee Claim")</f>
        <v>A-to-z Guarantee Claim</v>
      </c>
      <c r="C32" s="131">
        <f>IFERROR(__xludf.DUMMYFUNCTION("""COMPUTED_VALUE"""),0.0)</f>
        <v>0</v>
      </c>
      <c r="D32" s="131">
        <f>IFERROR(__xludf.DUMMYFUNCTION("""COMPUTED_VALUE"""),0.0)</f>
        <v>0</v>
      </c>
      <c r="E32" s="131">
        <f>IFERROR(__xludf.DUMMYFUNCTION("""COMPUTED_VALUE"""),0.0)</f>
        <v>0</v>
      </c>
      <c r="F32" s="131">
        <f>IFERROR(__xludf.DUMMYFUNCTION("""COMPUTED_VALUE"""),0.0)</f>
        <v>0</v>
      </c>
      <c r="G32" s="132">
        <f>IFERROR(__xludf.DUMMYFUNCTION("""COMPUTED_VALUE"""),0.0)</f>
        <v>0</v>
      </c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</row>
    <row r="33">
      <c r="A33" s="114"/>
      <c r="B33" s="117"/>
      <c r="C33" s="116"/>
      <c r="D33" s="116"/>
      <c r="E33" s="116"/>
      <c r="F33" s="116"/>
      <c r="G33" s="116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</row>
    <row r="34">
      <c r="A34" s="114"/>
      <c r="B34" s="123" t="str">
        <f>IFERROR(__xludf.DUMMYFUNCTION("""COMPUTED_VALUE"""),"Purchase Reconciliations")</f>
        <v>Purchase Reconciliations</v>
      </c>
      <c r="C34" s="139"/>
      <c r="D34" s="139"/>
      <c r="E34" s="139"/>
      <c r="F34" s="139"/>
      <c r="G34" s="140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</row>
    <row r="35">
      <c r="A35" s="114"/>
      <c r="B35" s="126" t="str">
        <f>IFERROR(__xludf.DUMMYFUNCTION("""COMPUTED_VALUE"""),"Keystone")</f>
        <v>Keystone</v>
      </c>
      <c r="C35" s="85">
        <f>IFERROR(__xludf.DUMMYFUNCTION("""COMPUTED_VALUE"""),11360.250000000004)</f>
        <v>11360.25</v>
      </c>
      <c r="D35" s="85">
        <f>IFERROR(__xludf.DUMMYFUNCTION("""COMPUTED_VALUE"""),0.0)</f>
        <v>0</v>
      </c>
      <c r="E35" s="85">
        <f>IFERROR(__xludf.DUMMYFUNCTION("""COMPUTED_VALUE"""),0.0)</f>
        <v>0</v>
      </c>
      <c r="F35" s="85">
        <f>IFERROR(__xludf.DUMMYFUNCTION("""COMPUTED_VALUE"""),0.0)</f>
        <v>0</v>
      </c>
      <c r="G35" s="86">
        <f>IFERROR(__xludf.DUMMYFUNCTION("""COMPUTED_VALUE"""),0.0)</f>
        <v>0</v>
      </c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</row>
    <row r="36">
      <c r="A36" s="114"/>
      <c r="B36" s="141" t="str">
        <f>IFERROR(__xludf.DUMMYFUNCTION("""COMPUTED_VALUE"""),"eBay")</f>
        <v>eBay</v>
      </c>
      <c r="C36" s="142">
        <f>IFERROR(__xludf.DUMMYFUNCTION("""COMPUTED_VALUE"""),653.44)</f>
        <v>653.44</v>
      </c>
      <c r="D36" s="142">
        <f>IFERROR(__xludf.DUMMYFUNCTION("""COMPUTED_VALUE"""),0.0)</f>
        <v>0</v>
      </c>
      <c r="E36" s="142">
        <f>IFERROR(__xludf.DUMMYFUNCTION("""COMPUTED_VALUE"""),0.0)</f>
        <v>0</v>
      </c>
      <c r="F36" s="142">
        <f>IFERROR(__xludf.DUMMYFUNCTION("""COMPUTED_VALUE"""),0.0)</f>
        <v>0</v>
      </c>
      <c r="G36" s="143">
        <f>IFERROR(__xludf.DUMMYFUNCTION("""COMPUTED_VALUE"""),0.0)</f>
        <v>0</v>
      </c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</row>
    <row r="37">
      <c r="A37" s="114"/>
      <c r="B37" s="117"/>
      <c r="C37" s="116"/>
      <c r="D37" s="116"/>
      <c r="E37" s="116"/>
      <c r="F37" s="116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117"/>
    </row>
    <row r="38">
      <c r="A38" s="114"/>
      <c r="B38" s="118" t="str">
        <f>IFERROR(__xludf.DUMMYFUNCTION("""COMPUTED_VALUE"""),"Sales")</f>
        <v>Sales</v>
      </c>
      <c r="C38" s="4" t="str">
        <f>IFERROR(__xludf.DUMMYFUNCTION("""COMPUTED_VALUE"""),"Year to Date")</f>
        <v>Year to Date</v>
      </c>
      <c r="D38" s="4" t="str">
        <f>IFERROR(__xludf.DUMMYFUNCTION("""COMPUTED_VALUE"""),"Last Month")</f>
        <v>Last Month</v>
      </c>
      <c r="E38" s="4" t="str">
        <f>IFERROR(__xludf.DUMMYFUNCTION("""COMPUTED_VALUE"""),"Month to Date")</f>
        <v>Month to Date</v>
      </c>
      <c r="F38" s="5" t="str">
        <f>IFERROR(__xludf.DUMMYFUNCTION("""COMPUTED_VALUE"""),"This Week")</f>
        <v>This Week</v>
      </c>
      <c r="G38" s="6" t="str">
        <f>IFERROR(__xludf.DUMMYFUNCTION("""COMPUTED_VALUE"""),"Last Week")</f>
        <v>Last Week</v>
      </c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</row>
    <row r="39">
      <c r="A39" s="114"/>
      <c r="B39" s="119"/>
      <c r="C39" s="120">
        <f>IFERROR(__xludf.DUMMYFUNCTION("""COMPUTED_VALUE"""),2025.0)</f>
        <v>2025</v>
      </c>
      <c r="D39" s="121" t="str">
        <f>IFERROR(__xludf.DUMMYFUNCTION("""COMPUTED_VALUE"""),"November")</f>
        <v>November</v>
      </c>
      <c r="E39" s="121" t="str">
        <f>IFERROR(__xludf.DUMMYFUNCTION("""COMPUTED_VALUE"""),"December")</f>
        <v>December</v>
      </c>
      <c r="F39" s="122">
        <f>IFERROR(__xludf.DUMMYFUNCTION("""COMPUTED_VALUE"""),45999.0)</f>
        <v>45999</v>
      </c>
      <c r="G39" s="144">
        <f>IFERROR(__xludf.DUMMYFUNCTION("""COMPUTED_VALUE"""),45992.0)</f>
        <v>45992</v>
      </c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A39" s="117"/>
      <c r="AB39" s="117"/>
    </row>
    <row r="40">
      <c r="A40" s="114"/>
      <c r="B40" s="138" t="str">
        <f>IFERROR(__xludf.DUMMYFUNCTION("""COMPUTED_VALUE"""),"All Vendors")</f>
        <v>All Vendors</v>
      </c>
      <c r="C40" s="139">
        <f>IFERROR(__xludf.DUMMYFUNCTION("""COMPUTED_VALUE"""),21943.89)</f>
        <v>21943.89</v>
      </c>
      <c r="D40" s="139">
        <f>IFERROR(__xludf.DUMMYFUNCTION("""COMPUTED_VALUE"""),1061.29)</f>
        <v>1061.29</v>
      </c>
      <c r="E40" s="139">
        <f>IFERROR(__xludf.DUMMYFUNCTION("""COMPUTED_VALUE"""),835.1)</f>
        <v>835.1</v>
      </c>
      <c r="F40" s="139">
        <f>IFERROR(__xludf.DUMMYFUNCTION("""COMPUTED_VALUE"""),313.77000000000004)</f>
        <v>313.77</v>
      </c>
      <c r="G40" s="145">
        <f>IFERROR(__xludf.DUMMYFUNCTION("""COMPUTED_VALUE"""),678.8199999999999)</f>
        <v>678.82</v>
      </c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</row>
    <row r="41">
      <c r="A41" s="114"/>
      <c r="B41" s="133" t="str">
        <f>IFERROR(__xludf.DUMMYFUNCTION("""COMPUTED_VALUE"""),"Keystone")</f>
        <v>Keystone</v>
      </c>
      <c r="C41" s="128">
        <f>IFERROR(__xludf.DUMMYFUNCTION("""COMPUTED_VALUE"""),20744.779999999995)</f>
        <v>20744.78</v>
      </c>
      <c r="D41" s="128">
        <f>IFERROR(__xludf.DUMMYFUNCTION("""COMPUTED_VALUE"""),1061.29)</f>
        <v>1061.29</v>
      </c>
      <c r="E41" s="128">
        <f>IFERROR(__xludf.DUMMYFUNCTION("""COMPUTED_VALUE"""),760.48)</f>
        <v>760.48</v>
      </c>
      <c r="F41" s="128">
        <f>IFERROR(__xludf.DUMMYFUNCTION("""COMPUTED_VALUE"""),239.15000000000003)</f>
        <v>239.15</v>
      </c>
      <c r="G41" s="129">
        <f>IFERROR(__xludf.DUMMYFUNCTION("""COMPUTED_VALUE"""),678.8199999999999)</f>
        <v>678.82</v>
      </c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7"/>
      <c r="AB41" s="117"/>
    </row>
    <row r="42">
      <c r="A42" s="114"/>
      <c r="B42" s="133" t="str">
        <f>IFERROR(__xludf.DUMMYFUNCTION("""COMPUTED_VALUE"""),"eBay")</f>
        <v>eBay</v>
      </c>
      <c r="C42" s="128">
        <f>IFERROR(__xludf.DUMMYFUNCTION("""COMPUTED_VALUE"""),1027.3500000000006)</f>
        <v>1027.35</v>
      </c>
      <c r="D42" s="128">
        <f>IFERROR(__xludf.DUMMYFUNCTION("""COMPUTED_VALUE"""),0.0)</f>
        <v>0</v>
      </c>
      <c r="E42" s="128">
        <f>IFERROR(__xludf.DUMMYFUNCTION("""COMPUTED_VALUE"""),74.62)</f>
        <v>74.62</v>
      </c>
      <c r="F42" s="128">
        <f>IFERROR(__xludf.DUMMYFUNCTION("""COMPUTED_VALUE"""),74.62)</f>
        <v>74.62</v>
      </c>
      <c r="G42" s="129">
        <f>IFERROR(__xludf.DUMMYFUNCTION("""COMPUTED_VALUE"""),0.0)</f>
        <v>0</v>
      </c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17"/>
    </row>
    <row r="43">
      <c r="A43" s="114"/>
      <c r="B43" s="133" t="str">
        <f>IFERROR(__xludf.DUMMYFUNCTION("""COMPUTED_VALUE"""),"TAAS")</f>
        <v>TAAS</v>
      </c>
      <c r="C43" s="128">
        <f>IFERROR(__xludf.DUMMYFUNCTION("""COMPUTED_VALUE"""),167.02)</f>
        <v>167.02</v>
      </c>
      <c r="D43" s="128">
        <f>IFERROR(__xludf.DUMMYFUNCTION("""COMPUTED_VALUE"""),0.0)</f>
        <v>0</v>
      </c>
      <c r="E43" s="128">
        <f>IFERROR(__xludf.DUMMYFUNCTION("""COMPUTED_VALUE"""),0.0)</f>
        <v>0</v>
      </c>
      <c r="F43" s="128">
        <f>IFERROR(__xludf.DUMMYFUNCTION("""COMPUTED_VALUE"""),0.0)</f>
        <v>0</v>
      </c>
      <c r="G43" s="129">
        <f>IFERROR(__xludf.DUMMYFUNCTION("""COMPUTED_VALUE"""),0.0)</f>
        <v>0</v>
      </c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117"/>
      <c r="AB43" s="117"/>
    </row>
    <row r="44">
      <c r="A44" s="114"/>
      <c r="B44" s="133" t="str">
        <f>IFERROR(__xludf.DUMMYFUNCTION("""COMPUTED_VALUE"""),"RR-Wally's")</f>
        <v>RR-Wally's</v>
      </c>
      <c r="C44" s="128">
        <f>IFERROR(__xludf.DUMMYFUNCTION("""COMPUTED_VALUE"""),0.0)</f>
        <v>0</v>
      </c>
      <c r="D44" s="128">
        <f>IFERROR(__xludf.DUMMYFUNCTION("""COMPUTED_VALUE"""),0.0)</f>
        <v>0</v>
      </c>
      <c r="E44" s="128">
        <f>IFERROR(__xludf.DUMMYFUNCTION("""COMPUTED_VALUE"""),0.0)</f>
        <v>0</v>
      </c>
      <c r="F44" s="128">
        <f>IFERROR(__xludf.DUMMYFUNCTION("""COMPUTED_VALUE"""),0.0)</f>
        <v>0</v>
      </c>
      <c r="G44" s="129">
        <f>IFERROR(__xludf.DUMMYFUNCTION("""COMPUTED_VALUE"""),0.0)</f>
        <v>0</v>
      </c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</row>
    <row r="45">
      <c r="A45" s="114"/>
      <c r="B45" s="133" t="str">
        <f>IFERROR(__xludf.DUMMYFUNCTION("""COMPUTED_VALUE"""),"RR-FBA")</f>
        <v>RR-FBA</v>
      </c>
      <c r="C45" s="128">
        <f>IFERROR(__xludf.DUMMYFUNCTION("""COMPUTED_VALUE"""),4.74)</f>
        <v>4.74</v>
      </c>
      <c r="D45" s="128">
        <f>IFERROR(__xludf.DUMMYFUNCTION("""COMPUTED_VALUE"""),0.0)</f>
        <v>0</v>
      </c>
      <c r="E45" s="128">
        <f>IFERROR(__xludf.DUMMYFUNCTION("""COMPUTED_VALUE"""),0.0)</f>
        <v>0</v>
      </c>
      <c r="F45" s="128">
        <f>IFERROR(__xludf.DUMMYFUNCTION("""COMPUTED_VALUE"""),0.0)</f>
        <v>0</v>
      </c>
      <c r="G45" s="129">
        <f>IFERROR(__xludf.DUMMYFUNCTION("""COMPUTED_VALUE"""),0.0)</f>
        <v>0</v>
      </c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117"/>
    </row>
    <row r="46">
      <c r="A46" s="114"/>
      <c r="B46" s="133" t="str">
        <f>IFERROR(__xludf.DUMMYFUNCTION("""COMPUTED_VALUE"""),"Returns-TAAS")</f>
        <v>Returns-TAAS</v>
      </c>
      <c r="C46" s="128">
        <f>IFERROR(__xludf.DUMMYFUNCTION("""COMPUTED_VALUE"""),0.0)</f>
        <v>0</v>
      </c>
      <c r="D46" s="128">
        <f>IFERROR(__xludf.DUMMYFUNCTION("""COMPUTED_VALUE"""),0.0)</f>
        <v>0</v>
      </c>
      <c r="E46" s="128">
        <f>IFERROR(__xludf.DUMMYFUNCTION("""COMPUTED_VALUE"""),0.0)</f>
        <v>0</v>
      </c>
      <c r="F46" s="128">
        <f>IFERROR(__xludf.DUMMYFUNCTION("""COMPUTED_VALUE"""),0.0)</f>
        <v>0</v>
      </c>
      <c r="G46" s="129">
        <f>IFERROR(__xludf.DUMMYFUNCTION("""COMPUTED_VALUE"""),0.0)</f>
        <v>0</v>
      </c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/>
      <c r="AB46" s="117"/>
    </row>
    <row r="47">
      <c r="A47" s="114"/>
      <c r="B47" s="134" t="str">
        <f>IFERROR(__xludf.DUMMYFUNCTION("""COMPUTED_VALUE"""),"Returns - Rico")</f>
        <v>Returns - Rico</v>
      </c>
      <c r="C47" s="131">
        <f>IFERROR(__xludf.DUMMYFUNCTION("""COMPUTED_VALUE"""),0.0)</f>
        <v>0</v>
      </c>
      <c r="D47" s="131">
        <f>IFERROR(__xludf.DUMMYFUNCTION("""COMPUTED_VALUE"""),0.0)</f>
        <v>0</v>
      </c>
      <c r="E47" s="131">
        <f>IFERROR(__xludf.DUMMYFUNCTION("""COMPUTED_VALUE"""),0.0)</f>
        <v>0</v>
      </c>
      <c r="F47" s="131">
        <f>IFERROR(__xludf.DUMMYFUNCTION("""COMPUTED_VALUE"""),0.0)</f>
        <v>0</v>
      </c>
      <c r="G47" s="132">
        <f>IFERROR(__xludf.DUMMYFUNCTION("""COMPUTED_VALUE"""),0.0)</f>
        <v>0</v>
      </c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117"/>
      <c r="AB47" s="117"/>
    </row>
    <row r="48">
      <c r="A48" s="114"/>
      <c r="B48" s="117"/>
      <c r="C48" s="116"/>
      <c r="D48" s="116"/>
      <c r="E48" s="116"/>
      <c r="F48" s="116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  <c r="AA48" s="117"/>
      <c r="AB48" s="117"/>
    </row>
    <row r="49">
      <c r="A49" s="114"/>
      <c r="B49" s="117"/>
      <c r="C49" s="116"/>
      <c r="D49" s="116"/>
      <c r="E49" s="116"/>
      <c r="F49" s="116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  <c r="AA49" s="117"/>
      <c r="AB49" s="117"/>
    </row>
    <row r="50">
      <c r="A50" s="114"/>
      <c r="B50" s="117"/>
      <c r="C50" s="116"/>
      <c r="D50" s="116"/>
      <c r="E50" s="116"/>
      <c r="F50" s="116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  <c r="AA50" s="117"/>
      <c r="AB50" s="117"/>
    </row>
    <row r="51">
      <c r="A51" s="114"/>
      <c r="B51" s="117"/>
      <c r="C51" s="116"/>
      <c r="D51" s="116"/>
      <c r="E51" s="116"/>
      <c r="F51" s="116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  <c r="AA51" s="117"/>
      <c r="AB51" s="117"/>
    </row>
    <row r="52">
      <c r="A52" s="114"/>
      <c r="B52" s="117"/>
      <c r="C52" s="116"/>
      <c r="D52" s="116"/>
      <c r="E52" s="116"/>
      <c r="F52" s="116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  <c r="AA52" s="117"/>
      <c r="AB52" s="117"/>
    </row>
    <row r="53">
      <c r="A53" s="114"/>
      <c r="B53" s="117"/>
      <c r="C53" s="116"/>
      <c r="D53" s="116"/>
      <c r="E53" s="116"/>
      <c r="F53" s="116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  <c r="AA53" s="117"/>
      <c r="AB53" s="117"/>
    </row>
    <row r="54">
      <c r="A54" s="114"/>
      <c r="B54" s="117"/>
      <c r="C54" s="116"/>
      <c r="D54" s="116"/>
      <c r="E54" s="116"/>
      <c r="F54" s="116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/>
      <c r="AB54" s="117"/>
    </row>
    <row r="55">
      <c r="A55" s="114"/>
      <c r="B55" s="117"/>
      <c r="C55" s="116"/>
      <c r="D55" s="116"/>
      <c r="E55" s="116"/>
      <c r="F55" s="116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  <c r="AA55" s="117"/>
      <c r="AB55" s="117"/>
    </row>
    <row r="56">
      <c r="A56" s="114"/>
      <c r="B56" s="117"/>
      <c r="C56" s="116"/>
      <c r="D56" s="116"/>
      <c r="E56" s="116"/>
      <c r="F56" s="116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  <c r="AA56" s="117"/>
      <c r="AB56" s="117"/>
    </row>
    <row r="57">
      <c r="A57" s="114"/>
      <c r="B57" s="117"/>
      <c r="C57" s="116"/>
      <c r="D57" s="116"/>
      <c r="E57" s="116"/>
      <c r="F57" s="116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  <c r="AA57" s="117"/>
      <c r="AB57" s="117"/>
    </row>
    <row r="58">
      <c r="A58" s="114"/>
      <c r="B58" s="117"/>
      <c r="C58" s="116"/>
      <c r="D58" s="116"/>
      <c r="E58" s="116"/>
      <c r="F58" s="116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  <c r="AA58" s="117"/>
      <c r="AB58" s="117"/>
    </row>
    <row r="59">
      <c r="A59" s="114"/>
      <c r="B59" s="117"/>
      <c r="C59" s="116"/>
      <c r="D59" s="116"/>
      <c r="E59" s="116"/>
      <c r="F59" s="116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  <c r="AA59" s="117"/>
      <c r="AB59" s="117"/>
    </row>
    <row r="60">
      <c r="A60" s="114"/>
      <c r="B60" s="117"/>
      <c r="C60" s="116"/>
      <c r="D60" s="116"/>
      <c r="E60" s="116"/>
      <c r="F60" s="116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117"/>
      <c r="AB60" s="117"/>
    </row>
    <row r="61">
      <c r="A61" s="114"/>
      <c r="B61" s="117"/>
      <c r="C61" s="116"/>
      <c r="D61" s="116"/>
      <c r="E61" s="116"/>
      <c r="F61" s="116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</row>
    <row r="62">
      <c r="A62" s="114"/>
      <c r="B62" s="117"/>
      <c r="C62" s="116"/>
      <c r="D62" s="116"/>
      <c r="E62" s="116"/>
      <c r="F62" s="116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</row>
    <row r="63">
      <c r="A63" s="114"/>
      <c r="B63" s="117"/>
      <c r="C63" s="116"/>
      <c r="D63" s="116"/>
      <c r="E63" s="116"/>
      <c r="F63" s="116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</row>
    <row r="64">
      <c r="A64" s="114"/>
      <c r="B64" s="117"/>
      <c r="C64" s="116"/>
      <c r="D64" s="116"/>
      <c r="E64" s="116"/>
      <c r="F64" s="116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</row>
    <row r="65">
      <c r="A65" s="114"/>
      <c r="B65" s="117"/>
      <c r="C65" s="116"/>
      <c r="D65" s="116"/>
      <c r="E65" s="116"/>
      <c r="F65" s="116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  <c r="AA65" s="117"/>
      <c r="AB65" s="117"/>
    </row>
    <row r="66">
      <c r="A66" s="114"/>
      <c r="B66" s="117"/>
      <c r="C66" s="116"/>
      <c r="D66" s="116"/>
      <c r="E66" s="116"/>
      <c r="F66" s="116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  <c r="AA66" s="117"/>
      <c r="AB66" s="117"/>
    </row>
    <row r="67">
      <c r="A67" s="114"/>
      <c r="B67" s="117"/>
      <c r="C67" s="116"/>
      <c r="D67" s="116"/>
      <c r="E67" s="116"/>
      <c r="F67" s="116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</row>
    <row r="68">
      <c r="A68" s="114"/>
      <c r="B68" s="117"/>
      <c r="C68" s="116"/>
      <c r="D68" s="116"/>
      <c r="E68" s="116"/>
      <c r="F68" s="116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  <c r="AA68" s="117"/>
      <c r="AB68" s="117"/>
    </row>
    <row r="69">
      <c r="A69" s="114"/>
      <c r="B69" s="117"/>
      <c r="C69" s="116"/>
      <c r="D69" s="116"/>
      <c r="E69" s="116"/>
      <c r="F69" s="116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  <c r="AA69" s="117"/>
      <c r="AB69" s="117"/>
    </row>
    <row r="70">
      <c r="A70" s="114"/>
      <c r="B70" s="117"/>
      <c r="C70" s="116"/>
      <c r="D70" s="116"/>
      <c r="E70" s="116"/>
      <c r="F70" s="116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</row>
    <row r="71">
      <c r="A71" s="114"/>
      <c r="B71" s="117"/>
      <c r="C71" s="116"/>
      <c r="D71" s="116"/>
      <c r="E71" s="116"/>
      <c r="F71" s="116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7"/>
      <c r="AB71" s="117"/>
    </row>
    <row r="72">
      <c r="A72" s="114"/>
      <c r="B72" s="117"/>
      <c r="C72" s="116"/>
      <c r="D72" s="116"/>
      <c r="E72" s="116"/>
      <c r="F72" s="116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  <c r="AB72" s="117"/>
    </row>
    <row r="73">
      <c r="A73" s="114"/>
      <c r="B73" s="117"/>
      <c r="C73" s="116"/>
      <c r="D73" s="116"/>
      <c r="E73" s="116"/>
      <c r="F73" s="116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  <c r="AA73" s="117"/>
      <c r="AB73" s="117"/>
    </row>
    <row r="74">
      <c r="A74" s="114"/>
      <c r="B74" s="117"/>
      <c r="C74" s="116"/>
      <c r="D74" s="116"/>
      <c r="E74" s="116"/>
      <c r="F74" s="116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  <c r="AB74" s="117"/>
    </row>
    <row r="75">
      <c r="A75" s="114"/>
      <c r="B75" s="117"/>
      <c r="C75" s="116"/>
      <c r="D75" s="116"/>
      <c r="E75" s="116"/>
      <c r="F75" s="116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  <c r="AA75" s="117"/>
      <c r="AB75" s="117"/>
    </row>
    <row r="76">
      <c r="A76" s="114"/>
      <c r="B76" s="117"/>
      <c r="C76" s="116"/>
      <c r="D76" s="116"/>
      <c r="E76" s="116"/>
      <c r="F76" s="116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</row>
    <row r="77">
      <c r="A77" s="114"/>
      <c r="B77" s="117"/>
      <c r="C77" s="116"/>
      <c r="D77" s="116"/>
      <c r="E77" s="116"/>
      <c r="F77" s="116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  <c r="AA77" s="117"/>
      <c r="AB77" s="117"/>
    </row>
    <row r="78">
      <c r="A78" s="114"/>
      <c r="B78" s="117"/>
      <c r="C78" s="116"/>
      <c r="D78" s="116"/>
      <c r="E78" s="116"/>
      <c r="F78" s="116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</row>
    <row r="79">
      <c r="A79" s="114"/>
      <c r="B79" s="117"/>
      <c r="C79" s="116"/>
      <c r="D79" s="116"/>
      <c r="E79" s="116"/>
      <c r="F79" s="116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  <c r="AA79" s="117"/>
      <c r="AB79" s="117"/>
    </row>
    <row r="80">
      <c r="A80" s="114"/>
      <c r="B80" s="117"/>
      <c r="C80" s="116"/>
      <c r="D80" s="116"/>
      <c r="E80" s="116"/>
      <c r="F80" s="116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</row>
    <row r="81">
      <c r="A81" s="114"/>
      <c r="B81" s="117"/>
      <c r="C81" s="116"/>
      <c r="D81" s="116"/>
      <c r="E81" s="116"/>
      <c r="F81" s="116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  <c r="AB81" s="117"/>
    </row>
    <row r="82">
      <c r="A82" s="114"/>
      <c r="B82" s="117"/>
      <c r="C82" s="116"/>
      <c r="D82" s="116"/>
      <c r="E82" s="116"/>
      <c r="F82" s="116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</row>
    <row r="83">
      <c r="A83" s="114"/>
      <c r="B83" s="117"/>
      <c r="C83" s="116"/>
      <c r="D83" s="116"/>
      <c r="E83" s="116"/>
      <c r="F83" s="116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  <c r="AA83" s="117"/>
      <c r="AB83" s="117"/>
    </row>
    <row r="84">
      <c r="A84" s="114"/>
      <c r="B84" s="117"/>
      <c r="C84" s="116"/>
      <c r="D84" s="116"/>
      <c r="E84" s="116"/>
      <c r="F84" s="116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</row>
    <row r="85">
      <c r="A85" s="114"/>
      <c r="B85" s="117"/>
      <c r="C85" s="116"/>
      <c r="D85" s="116"/>
      <c r="E85" s="116"/>
      <c r="F85" s="116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  <c r="AA85" s="117"/>
      <c r="AB85" s="117"/>
    </row>
    <row r="86">
      <c r="A86" s="114"/>
      <c r="B86" s="117"/>
      <c r="C86" s="116"/>
      <c r="D86" s="116"/>
      <c r="E86" s="116"/>
      <c r="F86" s="116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</row>
    <row r="87">
      <c r="A87" s="114"/>
      <c r="B87" s="117"/>
      <c r="C87" s="116"/>
      <c r="D87" s="116"/>
      <c r="E87" s="116"/>
      <c r="F87" s="116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  <c r="AA87" s="117"/>
      <c r="AB87" s="117"/>
    </row>
    <row r="88">
      <c r="A88" s="114"/>
      <c r="B88" s="117"/>
      <c r="C88" s="116"/>
      <c r="D88" s="116"/>
      <c r="E88" s="116"/>
      <c r="F88" s="116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</row>
    <row r="89">
      <c r="A89" s="114"/>
      <c r="B89" s="117"/>
      <c r="C89" s="116"/>
      <c r="D89" s="116"/>
      <c r="E89" s="116"/>
      <c r="F89" s="116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  <c r="AB89" s="117"/>
    </row>
    <row r="90">
      <c r="A90" s="114"/>
      <c r="B90" s="117"/>
      <c r="C90" s="116"/>
      <c r="D90" s="116"/>
      <c r="E90" s="116"/>
      <c r="F90" s="116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</row>
    <row r="91">
      <c r="A91" s="114"/>
      <c r="B91" s="117"/>
      <c r="C91" s="116"/>
      <c r="D91" s="116"/>
      <c r="E91" s="116"/>
      <c r="F91" s="116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  <c r="AA91" s="117"/>
      <c r="AB91" s="117"/>
    </row>
    <row r="92">
      <c r="A92" s="114"/>
      <c r="B92" s="117"/>
      <c r="C92" s="116"/>
      <c r="D92" s="116"/>
      <c r="E92" s="116"/>
      <c r="F92" s="116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</row>
    <row r="93">
      <c r="A93" s="114"/>
      <c r="B93" s="117"/>
      <c r="C93" s="116"/>
      <c r="D93" s="116"/>
      <c r="E93" s="116"/>
      <c r="F93" s="116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117"/>
      <c r="AB93" s="117"/>
    </row>
    <row r="94">
      <c r="A94" s="114"/>
      <c r="B94" s="117"/>
      <c r="C94" s="116"/>
      <c r="D94" s="116"/>
      <c r="E94" s="116"/>
      <c r="F94" s="116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</row>
    <row r="95">
      <c r="A95" s="114"/>
      <c r="B95" s="117"/>
      <c r="C95" s="116"/>
      <c r="D95" s="116"/>
      <c r="E95" s="116"/>
      <c r="F95" s="116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  <c r="AA95" s="117"/>
      <c r="AB95" s="117"/>
    </row>
    <row r="96">
      <c r="A96" s="114"/>
      <c r="B96" s="117"/>
      <c r="C96" s="116"/>
      <c r="D96" s="116"/>
      <c r="E96" s="116"/>
      <c r="F96" s="116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</row>
    <row r="97">
      <c r="A97" s="114"/>
      <c r="B97" s="117"/>
      <c r="C97" s="116"/>
      <c r="D97" s="116"/>
      <c r="E97" s="116"/>
      <c r="F97" s="116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  <c r="AA97" s="117"/>
      <c r="AB97" s="117"/>
    </row>
    <row r="98">
      <c r="A98" s="114"/>
      <c r="B98" s="117"/>
      <c r="C98" s="116"/>
      <c r="D98" s="116"/>
      <c r="E98" s="116"/>
      <c r="F98" s="116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117"/>
      <c r="AB98" s="117"/>
    </row>
    <row r="99">
      <c r="A99" s="114"/>
      <c r="B99" s="117"/>
      <c r="C99" s="116"/>
      <c r="D99" s="116"/>
      <c r="E99" s="116"/>
      <c r="F99" s="116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  <c r="AA99" s="117"/>
      <c r="AB99" s="117"/>
    </row>
    <row r="100">
      <c r="A100" s="114"/>
      <c r="B100" s="117"/>
      <c r="C100" s="116"/>
      <c r="D100" s="116"/>
      <c r="E100" s="116"/>
      <c r="F100" s="116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  <c r="AB100" s="117"/>
    </row>
    <row r="101">
      <c r="A101" s="114"/>
      <c r="B101" s="117"/>
      <c r="C101" s="116"/>
      <c r="D101" s="116"/>
      <c r="E101" s="116"/>
      <c r="F101" s="116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</row>
    <row r="102">
      <c r="A102" s="114"/>
      <c r="B102" s="117"/>
      <c r="C102" s="116"/>
      <c r="D102" s="116"/>
      <c r="E102" s="116"/>
      <c r="F102" s="116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117"/>
      <c r="AB102" s="117"/>
    </row>
    <row r="103">
      <c r="A103" s="114"/>
      <c r="B103" s="117"/>
      <c r="C103" s="116"/>
      <c r="D103" s="116"/>
      <c r="E103" s="116"/>
      <c r="F103" s="116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  <c r="AA103" s="117"/>
      <c r="AB103" s="117"/>
    </row>
    <row r="104">
      <c r="A104" s="114"/>
      <c r="B104" s="117"/>
      <c r="C104" s="116"/>
      <c r="D104" s="116"/>
      <c r="E104" s="116"/>
      <c r="F104" s="116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  <c r="AA104" s="117"/>
      <c r="AB104" s="117"/>
    </row>
    <row r="105">
      <c r="A105" s="114"/>
      <c r="B105" s="117"/>
      <c r="C105" s="116"/>
      <c r="D105" s="116"/>
      <c r="E105" s="116"/>
      <c r="F105" s="116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  <c r="AA105" s="117"/>
      <c r="AB105" s="117"/>
    </row>
    <row r="106">
      <c r="A106" s="114"/>
      <c r="B106" s="117"/>
      <c r="C106" s="116"/>
      <c r="D106" s="116"/>
      <c r="E106" s="116"/>
      <c r="F106" s="116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  <c r="AA106" s="117"/>
      <c r="AB106" s="117"/>
    </row>
    <row r="107">
      <c r="A107" s="114"/>
      <c r="B107" s="117"/>
      <c r="C107" s="116"/>
      <c r="D107" s="116"/>
      <c r="E107" s="116"/>
      <c r="F107" s="116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  <c r="AA107" s="117"/>
      <c r="AB107" s="117"/>
    </row>
    <row r="108">
      <c r="A108" s="114"/>
      <c r="B108" s="117"/>
      <c r="C108" s="116"/>
      <c r="D108" s="116"/>
      <c r="E108" s="116"/>
      <c r="F108" s="116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  <c r="AA108" s="117"/>
      <c r="AB108" s="117"/>
    </row>
    <row r="109">
      <c r="A109" s="114"/>
      <c r="B109" s="117"/>
      <c r="C109" s="116"/>
      <c r="D109" s="116"/>
      <c r="E109" s="116"/>
      <c r="F109" s="116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  <c r="AA109" s="117"/>
      <c r="AB109" s="117"/>
    </row>
    <row r="110">
      <c r="A110" s="114"/>
      <c r="B110" s="117"/>
      <c r="C110" s="116"/>
      <c r="D110" s="116"/>
      <c r="E110" s="116"/>
      <c r="F110" s="116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  <c r="AA110" s="117"/>
      <c r="AB110" s="117"/>
    </row>
    <row r="111">
      <c r="A111" s="114"/>
      <c r="B111" s="117"/>
      <c r="C111" s="116"/>
      <c r="D111" s="116"/>
      <c r="E111" s="116"/>
      <c r="F111" s="116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  <c r="AA111" s="117"/>
      <c r="AB111" s="117"/>
    </row>
    <row r="112">
      <c r="A112" s="114"/>
      <c r="B112" s="117"/>
      <c r="C112" s="116"/>
      <c r="D112" s="116"/>
      <c r="E112" s="116"/>
      <c r="F112" s="116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  <c r="AA112" s="117"/>
      <c r="AB112" s="117"/>
    </row>
    <row r="113">
      <c r="A113" s="114"/>
      <c r="B113" s="117"/>
      <c r="C113" s="116"/>
      <c r="D113" s="116"/>
      <c r="E113" s="116"/>
      <c r="F113" s="116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  <c r="AB113" s="117"/>
    </row>
    <row r="114">
      <c r="A114" s="114"/>
      <c r="B114" s="117"/>
      <c r="C114" s="116"/>
      <c r="D114" s="116"/>
      <c r="E114" s="116"/>
      <c r="F114" s="116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  <c r="AA114" s="117"/>
      <c r="AB114" s="117"/>
    </row>
    <row r="115">
      <c r="A115" s="114"/>
      <c r="B115" s="117"/>
      <c r="C115" s="116"/>
      <c r="D115" s="116"/>
      <c r="E115" s="116"/>
      <c r="F115" s="116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</row>
    <row r="116">
      <c r="A116" s="114"/>
      <c r="B116" s="117"/>
      <c r="C116" s="116"/>
      <c r="D116" s="116"/>
      <c r="E116" s="116"/>
      <c r="F116" s="116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  <c r="AA116" s="117"/>
      <c r="AB116" s="117"/>
    </row>
    <row r="117">
      <c r="A117" s="114"/>
      <c r="B117" s="117"/>
      <c r="C117" s="116"/>
      <c r="D117" s="116"/>
      <c r="E117" s="116"/>
      <c r="F117" s="116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  <c r="AA117" s="117"/>
      <c r="AB117" s="117"/>
    </row>
    <row r="118">
      <c r="A118" s="114"/>
      <c r="B118" s="117"/>
      <c r="C118" s="116"/>
      <c r="D118" s="116"/>
      <c r="E118" s="116"/>
      <c r="F118" s="116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  <c r="AA118" s="117"/>
      <c r="AB118" s="117"/>
    </row>
    <row r="119">
      <c r="A119" s="114"/>
      <c r="B119" s="117"/>
      <c r="C119" s="116"/>
      <c r="D119" s="116"/>
      <c r="E119" s="116"/>
      <c r="F119" s="116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  <c r="AA119" s="117"/>
      <c r="AB119" s="117"/>
    </row>
    <row r="120">
      <c r="A120" s="114"/>
      <c r="B120" s="117"/>
      <c r="C120" s="116"/>
      <c r="D120" s="116"/>
      <c r="E120" s="116"/>
      <c r="F120" s="116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  <c r="AA120" s="117"/>
      <c r="AB120" s="117"/>
    </row>
    <row r="121">
      <c r="A121" s="114"/>
      <c r="B121" s="117"/>
      <c r="C121" s="116"/>
      <c r="D121" s="116"/>
      <c r="E121" s="116"/>
      <c r="F121" s="116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  <c r="AA121" s="117"/>
      <c r="AB121" s="117"/>
    </row>
    <row r="122">
      <c r="A122" s="114"/>
      <c r="B122" s="117"/>
      <c r="C122" s="116"/>
      <c r="D122" s="116"/>
      <c r="E122" s="116"/>
      <c r="F122" s="116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</row>
    <row r="123">
      <c r="A123" s="114"/>
      <c r="B123" s="117"/>
      <c r="C123" s="116"/>
      <c r="D123" s="116"/>
      <c r="E123" s="116"/>
      <c r="F123" s="116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  <c r="AA123" s="117"/>
      <c r="AB123" s="117"/>
    </row>
    <row r="124">
      <c r="A124" s="114"/>
      <c r="B124" s="117"/>
      <c r="C124" s="116"/>
      <c r="D124" s="116"/>
      <c r="E124" s="116"/>
      <c r="F124" s="116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  <c r="AA124" s="117"/>
      <c r="AB124" s="117"/>
    </row>
    <row r="125">
      <c r="A125" s="114"/>
      <c r="B125" s="117"/>
      <c r="C125" s="116"/>
      <c r="D125" s="116"/>
      <c r="E125" s="116"/>
      <c r="F125" s="116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  <c r="AA125" s="117"/>
      <c r="AB125" s="117"/>
    </row>
    <row r="126">
      <c r="A126" s="114"/>
      <c r="B126" s="117"/>
      <c r="C126" s="116"/>
      <c r="D126" s="116"/>
      <c r="E126" s="116"/>
      <c r="F126" s="116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  <c r="AB126" s="117"/>
    </row>
    <row r="127">
      <c r="A127" s="114"/>
      <c r="B127" s="117"/>
      <c r="C127" s="116"/>
      <c r="D127" s="116"/>
      <c r="E127" s="116"/>
      <c r="F127" s="116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</row>
    <row r="128">
      <c r="A128" s="114"/>
      <c r="B128" s="117"/>
      <c r="C128" s="116"/>
      <c r="D128" s="116"/>
      <c r="E128" s="116"/>
      <c r="F128" s="116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</row>
    <row r="129">
      <c r="A129" s="114"/>
      <c r="B129" s="117"/>
      <c r="C129" s="116"/>
      <c r="D129" s="116"/>
      <c r="E129" s="116"/>
      <c r="F129" s="116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</row>
    <row r="130">
      <c r="A130" s="114"/>
      <c r="B130" s="117"/>
      <c r="C130" s="116"/>
      <c r="D130" s="116"/>
      <c r="E130" s="116"/>
      <c r="F130" s="116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</row>
    <row r="131">
      <c r="A131" s="114"/>
      <c r="B131" s="117"/>
      <c r="C131" s="116"/>
      <c r="D131" s="116"/>
      <c r="E131" s="116"/>
      <c r="F131" s="116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</row>
    <row r="132">
      <c r="A132" s="114"/>
      <c r="B132" s="117"/>
      <c r="C132" s="116"/>
      <c r="D132" s="116"/>
      <c r="E132" s="116"/>
      <c r="F132" s="116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</row>
    <row r="133">
      <c r="A133" s="114"/>
      <c r="B133" s="117"/>
      <c r="C133" s="116"/>
      <c r="D133" s="116"/>
      <c r="E133" s="116"/>
      <c r="F133" s="116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</row>
    <row r="134">
      <c r="A134" s="114"/>
      <c r="B134" s="117"/>
      <c r="C134" s="116"/>
      <c r="D134" s="116"/>
      <c r="E134" s="116"/>
      <c r="F134" s="116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</row>
    <row r="135">
      <c r="A135" s="114"/>
      <c r="B135" s="117"/>
      <c r="C135" s="116"/>
      <c r="D135" s="116"/>
      <c r="E135" s="116"/>
      <c r="F135" s="116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</row>
    <row r="136">
      <c r="A136" s="114"/>
      <c r="B136" s="117"/>
      <c r="C136" s="116"/>
      <c r="D136" s="116"/>
      <c r="E136" s="116"/>
      <c r="F136" s="116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</row>
    <row r="137">
      <c r="A137" s="114"/>
      <c r="B137" s="117"/>
      <c r="C137" s="116"/>
      <c r="D137" s="116"/>
      <c r="E137" s="116"/>
      <c r="F137" s="116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</row>
    <row r="138">
      <c r="A138" s="114"/>
      <c r="B138" s="117"/>
      <c r="C138" s="116"/>
      <c r="D138" s="116"/>
      <c r="E138" s="116"/>
      <c r="F138" s="116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</row>
    <row r="139">
      <c r="A139" s="114"/>
      <c r="B139" s="117"/>
      <c r="C139" s="116"/>
      <c r="D139" s="116"/>
      <c r="E139" s="116"/>
      <c r="F139" s="116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</row>
    <row r="140">
      <c r="A140" s="114"/>
      <c r="B140" s="117"/>
      <c r="C140" s="116"/>
      <c r="D140" s="116"/>
      <c r="E140" s="116"/>
      <c r="F140" s="116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</row>
    <row r="141">
      <c r="A141" s="114"/>
      <c r="B141" s="117"/>
      <c r="C141" s="116"/>
      <c r="D141" s="116"/>
      <c r="E141" s="116"/>
      <c r="F141" s="116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</row>
    <row r="142">
      <c r="A142" s="114"/>
      <c r="B142" s="117"/>
      <c r="C142" s="116"/>
      <c r="D142" s="116"/>
      <c r="E142" s="116"/>
      <c r="F142" s="116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</row>
    <row r="143">
      <c r="A143" s="114"/>
      <c r="B143" s="117"/>
      <c r="C143" s="116"/>
      <c r="D143" s="116"/>
      <c r="E143" s="116"/>
      <c r="F143" s="116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</row>
    <row r="144">
      <c r="A144" s="114"/>
      <c r="B144" s="117"/>
      <c r="C144" s="116"/>
      <c r="D144" s="116"/>
      <c r="E144" s="116"/>
      <c r="F144" s="116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</row>
    <row r="145">
      <c r="A145" s="114"/>
      <c r="B145" s="117"/>
      <c r="C145" s="116"/>
      <c r="D145" s="116"/>
      <c r="E145" s="116"/>
      <c r="F145" s="116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</row>
    <row r="146">
      <c r="A146" s="114"/>
      <c r="B146" s="117"/>
      <c r="C146" s="116"/>
      <c r="D146" s="116"/>
      <c r="E146" s="116"/>
      <c r="F146" s="116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</row>
    <row r="147">
      <c r="A147" s="114"/>
      <c r="B147" s="117"/>
      <c r="C147" s="116"/>
      <c r="D147" s="116"/>
      <c r="E147" s="116"/>
      <c r="F147" s="116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</row>
    <row r="148">
      <c r="A148" s="114"/>
      <c r="B148" s="117"/>
      <c r="C148" s="116"/>
      <c r="D148" s="116"/>
      <c r="E148" s="116"/>
      <c r="F148" s="116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</row>
    <row r="149">
      <c r="A149" s="114"/>
      <c r="B149" s="117"/>
      <c r="C149" s="116"/>
      <c r="D149" s="116"/>
      <c r="E149" s="116"/>
      <c r="F149" s="116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</row>
    <row r="150">
      <c r="A150" s="114"/>
      <c r="B150" s="117"/>
      <c r="C150" s="116"/>
      <c r="D150" s="116"/>
      <c r="E150" s="116"/>
      <c r="F150" s="116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</row>
    <row r="151">
      <c r="A151" s="114"/>
      <c r="B151" s="117"/>
      <c r="C151" s="116"/>
      <c r="D151" s="116"/>
      <c r="E151" s="116"/>
      <c r="F151" s="116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</row>
    <row r="152">
      <c r="A152" s="114"/>
      <c r="B152" s="117"/>
      <c r="C152" s="116"/>
      <c r="D152" s="116"/>
      <c r="E152" s="116"/>
      <c r="F152" s="116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</row>
    <row r="153">
      <c r="A153" s="114"/>
      <c r="B153" s="117"/>
      <c r="C153" s="116"/>
      <c r="D153" s="116"/>
      <c r="E153" s="116"/>
      <c r="F153" s="116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</row>
    <row r="154">
      <c r="A154" s="114"/>
      <c r="B154" s="117"/>
      <c r="C154" s="116"/>
      <c r="D154" s="116"/>
      <c r="E154" s="116"/>
      <c r="F154" s="116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</row>
    <row r="155">
      <c r="A155" s="114"/>
      <c r="B155" s="117"/>
      <c r="C155" s="116"/>
      <c r="D155" s="116"/>
      <c r="E155" s="116"/>
      <c r="F155" s="116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</row>
    <row r="156">
      <c r="A156" s="114"/>
      <c r="B156" s="117"/>
      <c r="C156" s="116"/>
      <c r="D156" s="116"/>
      <c r="E156" s="116"/>
      <c r="F156" s="116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</row>
    <row r="157">
      <c r="A157" s="114"/>
      <c r="B157" s="117"/>
      <c r="C157" s="116"/>
      <c r="D157" s="116"/>
      <c r="E157" s="116"/>
      <c r="F157" s="116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</row>
    <row r="158">
      <c r="A158" s="114"/>
      <c r="B158" s="117"/>
      <c r="C158" s="116"/>
      <c r="D158" s="116"/>
      <c r="E158" s="116"/>
      <c r="F158" s="116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</row>
    <row r="159">
      <c r="A159" s="114"/>
      <c r="B159" s="117"/>
      <c r="C159" s="116"/>
      <c r="D159" s="116"/>
      <c r="E159" s="116"/>
      <c r="F159" s="116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</row>
    <row r="160">
      <c r="A160" s="114"/>
      <c r="B160" s="117"/>
      <c r="C160" s="116"/>
      <c r="D160" s="116"/>
      <c r="E160" s="116"/>
      <c r="F160" s="116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</row>
    <row r="161">
      <c r="A161" s="114"/>
      <c r="B161" s="117"/>
      <c r="C161" s="116"/>
      <c r="D161" s="116"/>
      <c r="E161" s="116"/>
      <c r="F161" s="116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</row>
    <row r="162">
      <c r="A162" s="114"/>
      <c r="B162" s="117"/>
      <c r="C162" s="116"/>
      <c r="D162" s="116"/>
      <c r="E162" s="116"/>
      <c r="F162" s="116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</row>
    <row r="163">
      <c r="A163" s="114"/>
      <c r="B163" s="117"/>
      <c r="C163" s="116"/>
      <c r="D163" s="116"/>
      <c r="E163" s="116"/>
      <c r="F163" s="116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</row>
    <row r="164">
      <c r="A164" s="114"/>
      <c r="B164" s="117"/>
      <c r="C164" s="116"/>
      <c r="D164" s="116"/>
      <c r="E164" s="116"/>
      <c r="F164" s="116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</row>
    <row r="165">
      <c r="A165" s="114"/>
      <c r="B165" s="117"/>
      <c r="C165" s="116"/>
      <c r="D165" s="116"/>
      <c r="E165" s="116"/>
      <c r="F165" s="116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</row>
    <row r="166">
      <c r="A166" s="114"/>
      <c r="B166" s="117"/>
      <c r="C166" s="116"/>
      <c r="D166" s="116"/>
      <c r="E166" s="116"/>
      <c r="F166" s="116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</row>
    <row r="167">
      <c r="A167" s="114"/>
      <c r="B167" s="117"/>
      <c r="C167" s="116"/>
      <c r="D167" s="116"/>
      <c r="E167" s="116"/>
      <c r="F167" s="116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</row>
    <row r="168">
      <c r="A168" s="114"/>
      <c r="B168" s="117"/>
      <c r="C168" s="116"/>
      <c r="D168" s="116"/>
      <c r="E168" s="116"/>
      <c r="F168" s="116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</row>
    <row r="169">
      <c r="A169" s="114"/>
      <c r="B169" s="117"/>
      <c r="C169" s="116"/>
      <c r="D169" s="116"/>
      <c r="E169" s="116"/>
      <c r="F169" s="116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</row>
    <row r="170">
      <c r="A170" s="114"/>
      <c r="B170" s="117"/>
      <c r="C170" s="116"/>
      <c r="D170" s="116"/>
      <c r="E170" s="116"/>
      <c r="F170" s="116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</row>
    <row r="171">
      <c r="A171" s="114"/>
      <c r="B171" s="117"/>
      <c r="C171" s="116"/>
      <c r="D171" s="116"/>
      <c r="E171" s="116"/>
      <c r="F171" s="116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</row>
    <row r="172">
      <c r="A172" s="114"/>
      <c r="B172" s="117"/>
      <c r="C172" s="116"/>
      <c r="D172" s="116"/>
      <c r="E172" s="116"/>
      <c r="F172" s="116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</row>
    <row r="173">
      <c r="A173" s="114"/>
      <c r="B173" s="117"/>
      <c r="C173" s="116"/>
      <c r="D173" s="116"/>
      <c r="E173" s="116"/>
      <c r="F173" s="116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</row>
    <row r="174">
      <c r="A174" s="114"/>
      <c r="B174" s="117"/>
      <c r="C174" s="116"/>
      <c r="D174" s="116"/>
      <c r="E174" s="116"/>
      <c r="F174" s="116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</row>
    <row r="175">
      <c r="A175" s="114"/>
      <c r="B175" s="117"/>
      <c r="C175" s="116"/>
      <c r="D175" s="116"/>
      <c r="E175" s="116"/>
      <c r="F175" s="116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</row>
    <row r="176">
      <c r="A176" s="114"/>
      <c r="B176" s="117"/>
      <c r="C176" s="116"/>
      <c r="D176" s="116"/>
      <c r="E176" s="116"/>
      <c r="F176" s="116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</row>
    <row r="177">
      <c r="A177" s="114"/>
      <c r="B177" s="117"/>
      <c r="C177" s="116"/>
      <c r="D177" s="116"/>
      <c r="E177" s="116"/>
      <c r="F177" s="116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</row>
    <row r="178">
      <c r="A178" s="114"/>
      <c r="B178" s="117"/>
      <c r="C178" s="116"/>
      <c r="D178" s="116"/>
      <c r="E178" s="116"/>
      <c r="F178" s="116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</row>
    <row r="179">
      <c r="A179" s="114"/>
      <c r="B179" s="117"/>
      <c r="C179" s="116"/>
      <c r="D179" s="116"/>
      <c r="E179" s="116"/>
      <c r="F179" s="116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</row>
    <row r="180">
      <c r="A180" s="114"/>
      <c r="B180" s="117"/>
      <c r="C180" s="116"/>
      <c r="D180" s="116"/>
      <c r="E180" s="116"/>
      <c r="F180" s="116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</row>
    <row r="181">
      <c r="A181" s="114"/>
      <c r="B181" s="117"/>
      <c r="C181" s="116"/>
      <c r="D181" s="116"/>
      <c r="E181" s="116"/>
      <c r="F181" s="116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</row>
    <row r="182">
      <c r="A182" s="114"/>
      <c r="B182" s="117"/>
      <c r="C182" s="116"/>
      <c r="D182" s="116"/>
      <c r="E182" s="116"/>
      <c r="F182" s="116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</row>
    <row r="183">
      <c r="A183" s="114"/>
      <c r="B183" s="117"/>
      <c r="C183" s="116"/>
      <c r="D183" s="116"/>
      <c r="E183" s="116"/>
      <c r="F183" s="116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</row>
    <row r="184">
      <c r="A184" s="114"/>
      <c r="B184" s="117"/>
      <c r="C184" s="116"/>
      <c r="D184" s="116"/>
      <c r="E184" s="116"/>
      <c r="F184" s="116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</row>
    <row r="185">
      <c r="A185" s="114"/>
      <c r="B185" s="117"/>
      <c r="C185" s="116"/>
      <c r="D185" s="116"/>
      <c r="E185" s="116"/>
      <c r="F185" s="116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</row>
    <row r="186">
      <c r="A186" s="114"/>
      <c r="B186" s="117"/>
      <c r="C186" s="116"/>
      <c r="D186" s="116"/>
      <c r="E186" s="116"/>
      <c r="F186" s="116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</row>
    <row r="187">
      <c r="A187" s="114"/>
      <c r="B187" s="117"/>
      <c r="C187" s="116"/>
      <c r="D187" s="116"/>
      <c r="E187" s="116"/>
      <c r="F187" s="116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</row>
    <row r="188">
      <c r="A188" s="114"/>
      <c r="B188" s="117"/>
      <c r="C188" s="116"/>
      <c r="D188" s="116"/>
      <c r="E188" s="116"/>
      <c r="F188" s="116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</row>
    <row r="189">
      <c r="A189" s="114"/>
      <c r="B189" s="117"/>
      <c r="C189" s="116"/>
      <c r="D189" s="116"/>
      <c r="E189" s="116"/>
      <c r="F189" s="116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</row>
    <row r="190">
      <c r="A190" s="114"/>
      <c r="B190" s="117"/>
      <c r="C190" s="116"/>
      <c r="D190" s="116"/>
      <c r="E190" s="116"/>
      <c r="F190" s="116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</row>
    <row r="191">
      <c r="A191" s="114"/>
      <c r="B191" s="117"/>
      <c r="C191" s="116"/>
      <c r="D191" s="116"/>
      <c r="E191" s="116"/>
      <c r="F191" s="116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</row>
    <row r="192">
      <c r="A192" s="114"/>
      <c r="B192" s="117"/>
      <c r="C192" s="116"/>
      <c r="D192" s="116"/>
      <c r="E192" s="116"/>
      <c r="F192" s="116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</row>
    <row r="193">
      <c r="A193" s="114"/>
      <c r="B193" s="117"/>
      <c r="C193" s="116"/>
      <c r="D193" s="116"/>
      <c r="E193" s="116"/>
      <c r="F193" s="116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</row>
    <row r="194">
      <c r="A194" s="114"/>
      <c r="B194" s="117"/>
      <c r="C194" s="116"/>
      <c r="D194" s="116"/>
      <c r="E194" s="116"/>
      <c r="F194" s="116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</row>
    <row r="195">
      <c r="A195" s="114"/>
      <c r="B195" s="117"/>
      <c r="C195" s="116"/>
      <c r="D195" s="116"/>
      <c r="E195" s="116"/>
      <c r="F195" s="116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</row>
    <row r="196">
      <c r="A196" s="114"/>
      <c r="B196" s="117"/>
      <c r="C196" s="116"/>
      <c r="D196" s="116"/>
      <c r="E196" s="116"/>
      <c r="F196" s="116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</row>
    <row r="197">
      <c r="A197" s="114"/>
      <c r="B197" s="117"/>
      <c r="C197" s="116"/>
      <c r="D197" s="116"/>
      <c r="E197" s="116"/>
      <c r="F197" s="116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</row>
    <row r="198">
      <c r="A198" s="114"/>
      <c r="B198" s="117"/>
      <c r="C198" s="116"/>
      <c r="D198" s="116"/>
      <c r="E198" s="116"/>
      <c r="F198" s="116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</row>
    <row r="199">
      <c r="A199" s="114"/>
      <c r="B199" s="117"/>
      <c r="C199" s="116"/>
      <c r="D199" s="116"/>
      <c r="E199" s="116"/>
      <c r="F199" s="116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</row>
    <row r="200">
      <c r="A200" s="114"/>
      <c r="B200" s="117"/>
      <c r="C200" s="116"/>
      <c r="D200" s="116"/>
      <c r="E200" s="116"/>
      <c r="F200" s="116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</row>
    <row r="201">
      <c r="A201" s="114"/>
      <c r="B201" s="117"/>
      <c r="C201" s="116"/>
      <c r="D201" s="116"/>
      <c r="E201" s="116"/>
      <c r="F201" s="116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</row>
    <row r="202">
      <c r="A202" s="114"/>
      <c r="B202" s="117"/>
      <c r="C202" s="116"/>
      <c r="D202" s="116"/>
      <c r="E202" s="116"/>
      <c r="F202" s="116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</row>
    <row r="203">
      <c r="A203" s="114"/>
      <c r="B203" s="117"/>
      <c r="C203" s="116"/>
      <c r="D203" s="116"/>
      <c r="E203" s="116"/>
      <c r="F203" s="116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</row>
    <row r="204">
      <c r="A204" s="114"/>
      <c r="B204" s="117"/>
      <c r="C204" s="116"/>
      <c r="D204" s="116"/>
      <c r="E204" s="116"/>
      <c r="F204" s="116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</row>
    <row r="205">
      <c r="A205" s="114"/>
      <c r="B205" s="117"/>
      <c r="C205" s="116"/>
      <c r="D205" s="116"/>
      <c r="E205" s="116"/>
      <c r="F205" s="116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</row>
    <row r="206">
      <c r="A206" s="114"/>
      <c r="B206" s="117"/>
      <c r="C206" s="116"/>
      <c r="D206" s="116"/>
      <c r="E206" s="116"/>
      <c r="F206" s="116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</row>
    <row r="207">
      <c r="A207" s="114"/>
      <c r="B207" s="117"/>
      <c r="C207" s="116"/>
      <c r="D207" s="116"/>
      <c r="E207" s="116"/>
      <c r="F207" s="116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</row>
    <row r="208">
      <c r="A208" s="114"/>
      <c r="B208" s="117"/>
      <c r="C208" s="116"/>
      <c r="D208" s="116"/>
      <c r="E208" s="116"/>
      <c r="F208" s="116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</row>
    <row r="209">
      <c r="A209" s="114"/>
      <c r="B209" s="117"/>
      <c r="C209" s="116"/>
      <c r="D209" s="116"/>
      <c r="E209" s="116"/>
      <c r="F209" s="116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</row>
    <row r="210">
      <c r="A210" s="114"/>
      <c r="B210" s="117"/>
      <c r="C210" s="116"/>
      <c r="D210" s="116"/>
      <c r="E210" s="116"/>
      <c r="F210" s="116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</row>
    <row r="211">
      <c r="A211" s="114"/>
      <c r="B211" s="117"/>
      <c r="C211" s="116"/>
      <c r="D211" s="116"/>
      <c r="E211" s="116"/>
      <c r="F211" s="116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</row>
    <row r="212">
      <c r="A212" s="114"/>
      <c r="B212" s="117"/>
      <c r="C212" s="116"/>
      <c r="D212" s="116"/>
      <c r="E212" s="116"/>
      <c r="F212" s="116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</row>
    <row r="213">
      <c r="A213" s="114"/>
      <c r="B213" s="117"/>
      <c r="C213" s="116"/>
      <c r="D213" s="116"/>
      <c r="E213" s="116"/>
      <c r="F213" s="116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</row>
    <row r="214">
      <c r="A214" s="114"/>
      <c r="B214" s="117"/>
      <c r="C214" s="116"/>
      <c r="D214" s="116"/>
      <c r="E214" s="116"/>
      <c r="F214" s="116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</row>
    <row r="215">
      <c r="A215" s="114"/>
      <c r="B215" s="117"/>
      <c r="C215" s="116"/>
      <c r="D215" s="116"/>
      <c r="E215" s="116"/>
      <c r="F215" s="116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</row>
    <row r="216">
      <c r="A216" s="114"/>
      <c r="B216" s="117"/>
      <c r="C216" s="116"/>
      <c r="D216" s="116"/>
      <c r="E216" s="116"/>
      <c r="F216" s="116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</row>
    <row r="217">
      <c r="A217" s="114"/>
      <c r="B217" s="117"/>
      <c r="C217" s="116"/>
      <c r="D217" s="116"/>
      <c r="E217" s="116"/>
      <c r="F217" s="116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</row>
    <row r="218">
      <c r="A218" s="114"/>
      <c r="B218" s="117"/>
      <c r="C218" s="116"/>
      <c r="D218" s="116"/>
      <c r="E218" s="116"/>
      <c r="F218" s="116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</row>
    <row r="219">
      <c r="A219" s="114"/>
      <c r="B219" s="117"/>
      <c r="C219" s="116"/>
      <c r="D219" s="116"/>
      <c r="E219" s="116"/>
      <c r="F219" s="116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</row>
    <row r="220">
      <c r="A220" s="114"/>
      <c r="B220" s="117"/>
      <c r="C220" s="116"/>
      <c r="D220" s="116"/>
      <c r="E220" s="116"/>
      <c r="F220" s="116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</row>
    <row r="221">
      <c r="A221" s="114"/>
      <c r="B221" s="117"/>
      <c r="C221" s="116"/>
      <c r="D221" s="116"/>
      <c r="E221" s="116"/>
      <c r="F221" s="116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</row>
    <row r="222">
      <c r="A222" s="114"/>
      <c r="B222" s="117"/>
      <c r="C222" s="116"/>
      <c r="D222" s="116"/>
      <c r="E222" s="116"/>
      <c r="F222" s="116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</row>
    <row r="223">
      <c r="A223" s="114"/>
      <c r="B223" s="117"/>
      <c r="C223" s="116"/>
      <c r="D223" s="116"/>
      <c r="E223" s="116"/>
      <c r="F223" s="116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</row>
    <row r="224">
      <c r="A224" s="114"/>
      <c r="B224" s="117"/>
      <c r="C224" s="116"/>
      <c r="D224" s="116"/>
      <c r="E224" s="116"/>
      <c r="F224" s="116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</row>
    <row r="225">
      <c r="A225" s="114"/>
      <c r="B225" s="117"/>
      <c r="C225" s="116"/>
      <c r="D225" s="116"/>
      <c r="E225" s="116"/>
      <c r="F225" s="116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</row>
    <row r="226">
      <c r="A226" s="114"/>
      <c r="B226" s="117"/>
      <c r="C226" s="116"/>
      <c r="D226" s="116"/>
      <c r="E226" s="116"/>
      <c r="F226" s="116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</row>
    <row r="227">
      <c r="A227" s="114"/>
      <c r="B227" s="117"/>
      <c r="C227" s="116"/>
      <c r="D227" s="116"/>
      <c r="E227" s="116"/>
      <c r="F227" s="116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  <c r="AA227" s="117"/>
      <c r="AB227" s="117"/>
    </row>
    <row r="228">
      <c r="A228" s="114"/>
      <c r="B228" s="117"/>
      <c r="C228" s="116"/>
      <c r="D228" s="116"/>
      <c r="E228" s="116"/>
      <c r="F228" s="116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  <c r="AA228" s="117"/>
      <c r="AB228" s="117"/>
    </row>
    <row r="229">
      <c r="A229" s="114"/>
      <c r="B229" s="117"/>
      <c r="C229" s="116"/>
      <c r="D229" s="116"/>
      <c r="E229" s="116"/>
      <c r="F229" s="116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  <c r="AA229" s="117"/>
      <c r="AB229" s="117"/>
    </row>
    <row r="230">
      <c r="A230" s="114"/>
      <c r="B230" s="117"/>
      <c r="C230" s="116"/>
      <c r="D230" s="116"/>
      <c r="E230" s="116"/>
      <c r="F230" s="116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  <c r="AA230" s="117"/>
      <c r="AB230" s="117"/>
    </row>
    <row r="231">
      <c r="A231" s="114"/>
      <c r="B231" s="117"/>
      <c r="C231" s="116"/>
      <c r="D231" s="116"/>
      <c r="E231" s="116"/>
      <c r="F231" s="116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  <c r="AA231" s="117"/>
      <c r="AB231" s="117"/>
    </row>
    <row r="232">
      <c r="A232" s="114"/>
      <c r="B232" s="117"/>
      <c r="C232" s="116"/>
      <c r="D232" s="116"/>
      <c r="E232" s="116"/>
      <c r="F232" s="116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  <c r="AA232" s="117"/>
      <c r="AB232" s="117"/>
    </row>
    <row r="233">
      <c r="A233" s="114"/>
      <c r="B233" s="117"/>
      <c r="C233" s="116"/>
      <c r="D233" s="116"/>
      <c r="E233" s="116"/>
      <c r="F233" s="116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  <c r="AA233" s="117"/>
      <c r="AB233" s="117"/>
    </row>
    <row r="234">
      <c r="A234" s="114"/>
      <c r="B234" s="117"/>
      <c r="C234" s="116"/>
      <c r="D234" s="116"/>
      <c r="E234" s="116"/>
      <c r="F234" s="116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  <c r="AA234" s="117"/>
      <c r="AB234" s="117"/>
    </row>
    <row r="235">
      <c r="A235" s="114"/>
      <c r="B235" s="117"/>
      <c r="C235" s="116"/>
      <c r="D235" s="116"/>
      <c r="E235" s="116"/>
      <c r="F235" s="116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  <c r="AA235" s="117"/>
      <c r="AB235" s="117"/>
    </row>
    <row r="236">
      <c r="A236" s="114"/>
      <c r="B236" s="117"/>
      <c r="C236" s="116"/>
      <c r="D236" s="116"/>
      <c r="E236" s="116"/>
      <c r="F236" s="116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  <c r="AA236" s="117"/>
      <c r="AB236" s="117"/>
    </row>
    <row r="237">
      <c r="A237" s="114"/>
      <c r="B237" s="117"/>
      <c r="C237" s="116"/>
      <c r="D237" s="116"/>
      <c r="E237" s="116"/>
      <c r="F237" s="116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  <c r="AA237" s="117"/>
      <c r="AB237" s="117"/>
    </row>
    <row r="238">
      <c r="A238" s="114"/>
      <c r="B238" s="117"/>
      <c r="C238" s="116"/>
      <c r="D238" s="116"/>
      <c r="E238" s="116"/>
      <c r="F238" s="116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  <c r="AA238" s="117"/>
      <c r="AB238" s="117"/>
    </row>
    <row r="239">
      <c r="A239" s="114"/>
      <c r="B239" s="117"/>
      <c r="C239" s="116"/>
      <c r="D239" s="116"/>
      <c r="E239" s="116"/>
      <c r="F239" s="116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  <c r="AA239" s="117"/>
      <c r="AB239" s="117"/>
    </row>
    <row r="240">
      <c r="A240" s="114"/>
      <c r="B240" s="117"/>
      <c r="C240" s="116"/>
      <c r="D240" s="116"/>
      <c r="E240" s="116"/>
      <c r="F240" s="116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  <c r="AA240" s="117"/>
      <c r="AB240" s="117"/>
    </row>
    <row r="241">
      <c r="A241" s="114"/>
      <c r="B241" s="117"/>
      <c r="C241" s="116"/>
      <c r="D241" s="116"/>
      <c r="E241" s="116"/>
      <c r="F241" s="116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  <c r="AA241" s="117"/>
      <c r="AB241" s="117"/>
    </row>
    <row r="242">
      <c r="A242" s="114"/>
      <c r="B242" s="117"/>
      <c r="C242" s="116"/>
      <c r="D242" s="116"/>
      <c r="E242" s="116"/>
      <c r="F242" s="116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  <c r="AA242" s="117"/>
      <c r="AB242" s="117"/>
    </row>
    <row r="243">
      <c r="A243" s="114"/>
      <c r="B243" s="117"/>
      <c r="C243" s="116"/>
      <c r="D243" s="116"/>
      <c r="E243" s="116"/>
      <c r="F243" s="116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  <c r="AA243" s="117"/>
      <c r="AB243" s="117"/>
    </row>
    <row r="244">
      <c r="A244" s="114"/>
      <c r="B244" s="117"/>
      <c r="C244" s="116"/>
      <c r="D244" s="116"/>
      <c r="E244" s="116"/>
      <c r="F244" s="116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  <c r="AA244" s="117"/>
      <c r="AB244" s="117"/>
    </row>
    <row r="245">
      <c r="A245" s="114"/>
      <c r="B245" s="117"/>
      <c r="C245" s="116"/>
      <c r="D245" s="116"/>
      <c r="E245" s="116"/>
      <c r="F245" s="116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  <c r="AA245" s="117"/>
      <c r="AB245" s="117"/>
    </row>
    <row r="246">
      <c r="A246" s="114"/>
      <c r="B246" s="117"/>
      <c r="C246" s="116"/>
      <c r="D246" s="116"/>
      <c r="E246" s="116"/>
      <c r="F246" s="116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  <c r="AA246" s="117"/>
      <c r="AB246" s="117"/>
    </row>
    <row r="247">
      <c r="A247" s="114"/>
      <c r="B247" s="117"/>
      <c r="C247" s="116"/>
      <c r="D247" s="116"/>
      <c r="E247" s="116"/>
      <c r="F247" s="116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  <c r="AA247" s="117"/>
      <c r="AB247" s="117"/>
    </row>
    <row r="248">
      <c r="A248" s="114"/>
      <c r="B248" s="117"/>
      <c r="C248" s="116"/>
      <c r="D248" s="116"/>
      <c r="E248" s="116"/>
      <c r="F248" s="116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  <c r="AA248" s="117"/>
      <c r="AB248" s="117"/>
    </row>
    <row r="249">
      <c r="A249" s="114"/>
      <c r="B249" s="117"/>
      <c r="C249" s="116"/>
      <c r="D249" s="116"/>
      <c r="E249" s="116"/>
      <c r="F249" s="116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  <c r="AA249" s="117"/>
      <c r="AB249" s="117"/>
    </row>
    <row r="250">
      <c r="A250" s="114"/>
      <c r="B250" s="117"/>
      <c r="C250" s="116"/>
      <c r="D250" s="116"/>
      <c r="E250" s="116"/>
      <c r="F250" s="116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117"/>
      <c r="AB250" s="117"/>
    </row>
    <row r="251">
      <c r="A251" s="114"/>
      <c r="B251" s="117"/>
      <c r="C251" s="116"/>
      <c r="D251" s="116"/>
      <c r="E251" s="116"/>
      <c r="F251" s="116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  <c r="AA251" s="117"/>
      <c r="AB251" s="117"/>
    </row>
    <row r="252">
      <c r="A252" s="114"/>
      <c r="B252" s="117"/>
      <c r="C252" s="116"/>
      <c r="D252" s="116"/>
      <c r="E252" s="116"/>
      <c r="F252" s="116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  <c r="AA252" s="117"/>
      <c r="AB252" s="117"/>
    </row>
    <row r="253">
      <c r="A253" s="114"/>
      <c r="B253" s="117"/>
      <c r="C253" s="116"/>
      <c r="D253" s="116"/>
      <c r="E253" s="116"/>
      <c r="F253" s="116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  <c r="AA253" s="117"/>
      <c r="AB253" s="117"/>
    </row>
    <row r="254">
      <c r="A254" s="114"/>
      <c r="B254" s="117"/>
      <c r="C254" s="116"/>
      <c r="D254" s="116"/>
      <c r="E254" s="116"/>
      <c r="F254" s="116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  <c r="AA254" s="117"/>
      <c r="AB254" s="117"/>
    </row>
    <row r="255">
      <c r="A255" s="114"/>
      <c r="B255" s="117"/>
      <c r="C255" s="116"/>
      <c r="D255" s="116"/>
      <c r="E255" s="116"/>
      <c r="F255" s="116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  <c r="AA255" s="117"/>
      <c r="AB255" s="117"/>
    </row>
    <row r="256">
      <c r="A256" s="114"/>
      <c r="B256" s="117"/>
      <c r="C256" s="116"/>
      <c r="D256" s="116"/>
      <c r="E256" s="116"/>
      <c r="F256" s="116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  <c r="AA256" s="117"/>
      <c r="AB256" s="117"/>
    </row>
    <row r="257">
      <c r="A257" s="114"/>
      <c r="B257" s="117"/>
      <c r="C257" s="116"/>
      <c r="D257" s="116"/>
      <c r="E257" s="116"/>
      <c r="F257" s="116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  <c r="AA257" s="117"/>
      <c r="AB257" s="117"/>
    </row>
    <row r="258">
      <c r="A258" s="114"/>
      <c r="B258" s="117"/>
      <c r="C258" s="116"/>
      <c r="D258" s="116"/>
      <c r="E258" s="116"/>
      <c r="F258" s="116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  <c r="AA258" s="117"/>
      <c r="AB258" s="117"/>
    </row>
    <row r="259">
      <c r="A259" s="114"/>
      <c r="B259" s="117"/>
      <c r="C259" s="116"/>
      <c r="D259" s="116"/>
      <c r="E259" s="116"/>
      <c r="F259" s="116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  <c r="AA259" s="117"/>
      <c r="AB259" s="117"/>
    </row>
    <row r="260">
      <c r="A260" s="114"/>
      <c r="B260" s="117"/>
      <c r="C260" s="116"/>
      <c r="D260" s="116"/>
      <c r="E260" s="116"/>
      <c r="F260" s="116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  <c r="AA260" s="117"/>
      <c r="AB260" s="117"/>
    </row>
    <row r="261">
      <c r="A261" s="114"/>
      <c r="B261" s="117"/>
      <c r="C261" s="116"/>
      <c r="D261" s="116"/>
      <c r="E261" s="116"/>
      <c r="F261" s="116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  <c r="AA261" s="117"/>
      <c r="AB261" s="117"/>
    </row>
    <row r="262">
      <c r="A262" s="114"/>
      <c r="B262" s="117"/>
      <c r="C262" s="116"/>
      <c r="D262" s="116"/>
      <c r="E262" s="116"/>
      <c r="F262" s="116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  <c r="AA262" s="117"/>
      <c r="AB262" s="117"/>
    </row>
    <row r="263">
      <c r="A263" s="114"/>
      <c r="B263" s="117"/>
      <c r="C263" s="116"/>
      <c r="D263" s="116"/>
      <c r="E263" s="116"/>
      <c r="F263" s="116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  <c r="AA263" s="117"/>
      <c r="AB263" s="117"/>
    </row>
    <row r="264">
      <c r="A264" s="114"/>
      <c r="B264" s="117"/>
      <c r="C264" s="116"/>
      <c r="D264" s="116"/>
      <c r="E264" s="116"/>
      <c r="F264" s="116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  <c r="AA264" s="117"/>
      <c r="AB264" s="117"/>
    </row>
    <row r="265">
      <c r="A265" s="114"/>
      <c r="B265" s="117"/>
      <c r="C265" s="116"/>
      <c r="D265" s="116"/>
      <c r="E265" s="116"/>
      <c r="F265" s="116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  <c r="AA265" s="117"/>
      <c r="AB265" s="117"/>
    </row>
    <row r="266">
      <c r="A266" s="114"/>
      <c r="B266" s="117"/>
      <c r="C266" s="116"/>
      <c r="D266" s="116"/>
      <c r="E266" s="116"/>
      <c r="F266" s="116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  <c r="AA266" s="117"/>
      <c r="AB266" s="117"/>
    </row>
    <row r="267">
      <c r="A267" s="114"/>
      <c r="B267" s="117"/>
      <c r="C267" s="116"/>
      <c r="D267" s="116"/>
      <c r="E267" s="116"/>
      <c r="F267" s="116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  <c r="AA267" s="117"/>
      <c r="AB267" s="117"/>
    </row>
    <row r="268">
      <c r="A268" s="114"/>
      <c r="B268" s="117"/>
      <c r="C268" s="116"/>
      <c r="D268" s="116"/>
      <c r="E268" s="116"/>
      <c r="F268" s="116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  <c r="AA268" s="117"/>
      <c r="AB268" s="117"/>
    </row>
    <row r="269">
      <c r="A269" s="114"/>
      <c r="B269" s="117"/>
      <c r="C269" s="116"/>
      <c r="D269" s="116"/>
      <c r="E269" s="116"/>
      <c r="F269" s="116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  <c r="AA269" s="117"/>
      <c r="AB269" s="117"/>
    </row>
    <row r="270">
      <c r="A270" s="114"/>
      <c r="B270" s="117"/>
      <c r="C270" s="116"/>
      <c r="D270" s="116"/>
      <c r="E270" s="116"/>
      <c r="F270" s="116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  <c r="AA270" s="117"/>
      <c r="AB270" s="117"/>
    </row>
    <row r="271">
      <c r="A271" s="114"/>
      <c r="B271" s="117"/>
      <c r="C271" s="116"/>
      <c r="D271" s="116"/>
      <c r="E271" s="116"/>
      <c r="F271" s="116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  <c r="AA271" s="117"/>
      <c r="AB271" s="117"/>
    </row>
    <row r="272">
      <c r="A272" s="114"/>
      <c r="B272" s="117"/>
      <c r="C272" s="116"/>
      <c r="D272" s="116"/>
      <c r="E272" s="116"/>
      <c r="F272" s="116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  <c r="AA272" s="117"/>
      <c r="AB272" s="117"/>
    </row>
    <row r="273">
      <c r="A273" s="114"/>
      <c r="B273" s="117"/>
      <c r="C273" s="116"/>
      <c r="D273" s="116"/>
      <c r="E273" s="116"/>
      <c r="F273" s="116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  <c r="AA273" s="117"/>
      <c r="AB273" s="117"/>
    </row>
    <row r="274">
      <c r="A274" s="114"/>
      <c r="B274" s="117"/>
      <c r="C274" s="116"/>
      <c r="D274" s="116"/>
      <c r="E274" s="116"/>
      <c r="F274" s="116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  <c r="AA274" s="117"/>
      <c r="AB274" s="117"/>
    </row>
    <row r="275">
      <c r="A275" s="114"/>
      <c r="B275" s="117"/>
      <c r="C275" s="116"/>
      <c r="D275" s="116"/>
      <c r="E275" s="116"/>
      <c r="F275" s="116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  <c r="AA275" s="117"/>
      <c r="AB275" s="117"/>
    </row>
    <row r="276">
      <c r="A276" s="114"/>
      <c r="B276" s="117"/>
      <c r="C276" s="116"/>
      <c r="D276" s="116"/>
      <c r="E276" s="116"/>
      <c r="F276" s="116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  <c r="AA276" s="117"/>
      <c r="AB276" s="117"/>
    </row>
    <row r="277">
      <c r="A277" s="114"/>
      <c r="B277" s="117"/>
      <c r="C277" s="116"/>
      <c r="D277" s="116"/>
      <c r="E277" s="116"/>
      <c r="F277" s="116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  <c r="AA277" s="117"/>
      <c r="AB277" s="117"/>
    </row>
    <row r="278">
      <c r="A278" s="114"/>
      <c r="B278" s="117"/>
      <c r="C278" s="116"/>
      <c r="D278" s="116"/>
      <c r="E278" s="116"/>
      <c r="F278" s="116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  <c r="AA278" s="117"/>
      <c r="AB278" s="117"/>
    </row>
    <row r="279">
      <c r="A279" s="114"/>
      <c r="B279" s="117"/>
      <c r="C279" s="116"/>
      <c r="D279" s="116"/>
      <c r="E279" s="116"/>
      <c r="F279" s="116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  <c r="AA279" s="117"/>
      <c r="AB279" s="117"/>
    </row>
    <row r="280">
      <c r="A280" s="114"/>
      <c r="B280" s="117"/>
      <c r="C280" s="116"/>
      <c r="D280" s="116"/>
      <c r="E280" s="116"/>
      <c r="F280" s="116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  <c r="AA280" s="117"/>
      <c r="AB280" s="117"/>
    </row>
    <row r="281">
      <c r="A281" s="114"/>
      <c r="B281" s="117"/>
      <c r="C281" s="116"/>
      <c r="D281" s="116"/>
      <c r="E281" s="116"/>
      <c r="F281" s="116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  <c r="AA281" s="117"/>
      <c r="AB281" s="117"/>
    </row>
    <row r="282">
      <c r="A282" s="114"/>
      <c r="B282" s="117"/>
      <c r="C282" s="116"/>
      <c r="D282" s="116"/>
      <c r="E282" s="116"/>
      <c r="F282" s="116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  <c r="AA282" s="117"/>
      <c r="AB282" s="117"/>
    </row>
    <row r="283">
      <c r="A283" s="114"/>
      <c r="B283" s="117"/>
      <c r="C283" s="116"/>
      <c r="D283" s="116"/>
      <c r="E283" s="116"/>
      <c r="F283" s="116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  <c r="AA283" s="117"/>
      <c r="AB283" s="117"/>
    </row>
    <row r="284">
      <c r="A284" s="114"/>
      <c r="B284" s="117"/>
      <c r="C284" s="116"/>
      <c r="D284" s="116"/>
      <c r="E284" s="116"/>
      <c r="F284" s="116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  <c r="AA284" s="117"/>
      <c r="AB284" s="117"/>
    </row>
    <row r="285">
      <c r="A285" s="114"/>
      <c r="B285" s="117"/>
      <c r="C285" s="116"/>
      <c r="D285" s="116"/>
      <c r="E285" s="116"/>
      <c r="F285" s="116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  <c r="AA285" s="117"/>
      <c r="AB285" s="117"/>
    </row>
    <row r="286">
      <c r="A286" s="114"/>
      <c r="B286" s="117"/>
      <c r="C286" s="116"/>
      <c r="D286" s="116"/>
      <c r="E286" s="116"/>
      <c r="F286" s="116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  <c r="AA286" s="117"/>
      <c r="AB286" s="117"/>
    </row>
    <row r="287">
      <c r="A287" s="114"/>
      <c r="B287" s="117"/>
      <c r="C287" s="116"/>
      <c r="D287" s="116"/>
      <c r="E287" s="116"/>
      <c r="F287" s="116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  <c r="AA287" s="117"/>
      <c r="AB287" s="117"/>
    </row>
    <row r="288">
      <c r="A288" s="114"/>
      <c r="B288" s="117"/>
      <c r="C288" s="116"/>
      <c r="D288" s="116"/>
      <c r="E288" s="116"/>
      <c r="F288" s="116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117"/>
      <c r="AB288" s="117"/>
    </row>
    <row r="289">
      <c r="A289" s="114"/>
      <c r="B289" s="117"/>
      <c r="C289" s="116"/>
      <c r="D289" s="116"/>
      <c r="E289" s="116"/>
      <c r="F289" s="116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  <c r="AA289" s="117"/>
      <c r="AB289" s="117"/>
    </row>
    <row r="290">
      <c r="A290" s="114"/>
      <c r="B290" s="117"/>
      <c r="C290" s="116"/>
      <c r="D290" s="116"/>
      <c r="E290" s="116"/>
      <c r="F290" s="116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  <c r="AA290" s="117"/>
      <c r="AB290" s="117"/>
    </row>
    <row r="291">
      <c r="A291" s="114"/>
      <c r="B291" s="117"/>
      <c r="C291" s="116"/>
      <c r="D291" s="116"/>
      <c r="E291" s="116"/>
      <c r="F291" s="116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  <c r="AA291" s="117"/>
      <c r="AB291" s="117"/>
    </row>
    <row r="292">
      <c r="A292" s="114"/>
      <c r="B292" s="117"/>
      <c r="C292" s="116"/>
      <c r="D292" s="116"/>
      <c r="E292" s="116"/>
      <c r="F292" s="116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  <c r="AA292" s="117"/>
      <c r="AB292" s="117"/>
    </row>
    <row r="293">
      <c r="A293" s="114"/>
      <c r="B293" s="117"/>
      <c r="C293" s="116"/>
      <c r="D293" s="116"/>
      <c r="E293" s="116"/>
      <c r="F293" s="116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  <c r="AA293" s="117"/>
      <c r="AB293" s="117"/>
    </row>
    <row r="294">
      <c r="A294" s="114"/>
      <c r="B294" s="117"/>
      <c r="C294" s="116"/>
      <c r="D294" s="116"/>
      <c r="E294" s="116"/>
      <c r="F294" s="116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  <c r="AA294" s="117"/>
      <c r="AB294" s="117"/>
    </row>
    <row r="295">
      <c r="A295" s="114"/>
      <c r="B295" s="117"/>
      <c r="C295" s="116"/>
      <c r="D295" s="116"/>
      <c r="E295" s="116"/>
      <c r="F295" s="116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  <c r="AA295" s="117"/>
      <c r="AB295" s="117"/>
    </row>
    <row r="296">
      <c r="A296" s="114"/>
      <c r="B296" s="117"/>
      <c r="C296" s="116"/>
      <c r="D296" s="116"/>
      <c r="E296" s="116"/>
      <c r="F296" s="116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  <c r="AA296" s="117"/>
      <c r="AB296" s="117"/>
    </row>
    <row r="297">
      <c r="A297" s="114"/>
      <c r="B297" s="117"/>
      <c r="C297" s="116"/>
      <c r="D297" s="116"/>
      <c r="E297" s="116"/>
      <c r="F297" s="116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  <c r="AA297" s="117"/>
      <c r="AB297" s="117"/>
    </row>
    <row r="298">
      <c r="A298" s="114"/>
      <c r="B298" s="117"/>
      <c r="C298" s="116"/>
      <c r="D298" s="116"/>
      <c r="E298" s="116"/>
      <c r="F298" s="116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  <c r="AA298" s="117"/>
      <c r="AB298" s="117"/>
    </row>
    <row r="299">
      <c r="A299" s="114"/>
      <c r="B299" s="117"/>
      <c r="C299" s="116"/>
      <c r="D299" s="116"/>
      <c r="E299" s="116"/>
      <c r="F299" s="116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  <c r="AA299" s="117"/>
      <c r="AB299" s="117"/>
    </row>
    <row r="300">
      <c r="A300" s="114"/>
      <c r="B300" s="117"/>
      <c r="C300" s="116"/>
      <c r="D300" s="116"/>
      <c r="E300" s="116"/>
      <c r="F300" s="116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  <c r="AA300" s="117"/>
      <c r="AB300" s="117"/>
    </row>
    <row r="301">
      <c r="A301" s="114"/>
      <c r="B301" s="117"/>
      <c r="C301" s="116"/>
      <c r="D301" s="116"/>
      <c r="E301" s="116"/>
      <c r="F301" s="116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  <c r="AA301" s="117"/>
      <c r="AB301" s="117"/>
    </row>
    <row r="302">
      <c r="A302" s="114"/>
      <c r="B302" s="117"/>
      <c r="C302" s="116"/>
      <c r="D302" s="116"/>
      <c r="E302" s="116"/>
      <c r="F302" s="116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  <c r="AA302" s="117"/>
      <c r="AB302" s="117"/>
    </row>
    <row r="303">
      <c r="A303" s="114"/>
      <c r="B303" s="117"/>
      <c r="C303" s="116"/>
      <c r="D303" s="116"/>
      <c r="E303" s="116"/>
      <c r="F303" s="116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  <c r="AA303" s="117"/>
      <c r="AB303" s="117"/>
    </row>
    <row r="304">
      <c r="A304" s="114"/>
      <c r="B304" s="117"/>
      <c r="C304" s="116"/>
      <c r="D304" s="116"/>
      <c r="E304" s="116"/>
      <c r="F304" s="116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  <c r="AA304" s="117"/>
      <c r="AB304" s="117"/>
    </row>
    <row r="305">
      <c r="A305" s="114"/>
      <c r="B305" s="117"/>
      <c r="C305" s="116"/>
      <c r="D305" s="116"/>
      <c r="E305" s="116"/>
      <c r="F305" s="116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  <c r="AA305" s="117"/>
      <c r="AB305" s="117"/>
    </row>
    <row r="306">
      <c r="A306" s="114"/>
      <c r="B306" s="117"/>
      <c r="C306" s="116"/>
      <c r="D306" s="116"/>
      <c r="E306" s="116"/>
      <c r="F306" s="116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  <c r="AA306" s="117"/>
      <c r="AB306" s="117"/>
    </row>
    <row r="307">
      <c r="A307" s="114"/>
      <c r="B307" s="117"/>
      <c r="C307" s="116"/>
      <c r="D307" s="116"/>
      <c r="E307" s="116"/>
      <c r="F307" s="116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  <c r="AA307" s="117"/>
      <c r="AB307" s="117"/>
    </row>
    <row r="308">
      <c r="A308" s="114"/>
      <c r="B308" s="117"/>
      <c r="C308" s="116"/>
      <c r="D308" s="116"/>
      <c r="E308" s="116"/>
      <c r="F308" s="116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  <c r="AA308" s="117"/>
      <c r="AB308" s="117"/>
    </row>
    <row r="309">
      <c r="A309" s="114"/>
      <c r="B309" s="117"/>
      <c r="C309" s="116"/>
      <c r="D309" s="116"/>
      <c r="E309" s="116"/>
      <c r="F309" s="116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  <c r="AA309" s="117"/>
      <c r="AB309" s="117"/>
    </row>
    <row r="310">
      <c r="A310" s="114"/>
      <c r="B310" s="117"/>
      <c r="C310" s="116"/>
      <c r="D310" s="116"/>
      <c r="E310" s="116"/>
      <c r="F310" s="116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  <c r="AA310" s="117"/>
      <c r="AB310" s="117"/>
    </row>
    <row r="311">
      <c r="A311" s="114"/>
      <c r="B311" s="117"/>
      <c r="C311" s="116"/>
      <c r="D311" s="116"/>
      <c r="E311" s="116"/>
      <c r="F311" s="116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  <c r="AA311" s="117"/>
      <c r="AB311" s="117"/>
    </row>
    <row r="312">
      <c r="A312" s="114"/>
      <c r="B312" s="117"/>
      <c r="C312" s="116"/>
      <c r="D312" s="116"/>
      <c r="E312" s="116"/>
      <c r="F312" s="116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  <c r="AA312" s="117"/>
      <c r="AB312" s="117"/>
    </row>
    <row r="313">
      <c r="A313" s="114"/>
      <c r="B313" s="117"/>
      <c r="C313" s="116"/>
      <c r="D313" s="116"/>
      <c r="E313" s="116"/>
      <c r="F313" s="116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  <c r="AA313" s="117"/>
      <c r="AB313" s="117"/>
    </row>
    <row r="314">
      <c r="A314" s="114"/>
      <c r="B314" s="117"/>
      <c r="C314" s="116"/>
      <c r="D314" s="116"/>
      <c r="E314" s="116"/>
      <c r="F314" s="116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  <c r="AA314" s="117"/>
      <c r="AB314" s="117"/>
    </row>
    <row r="315">
      <c r="A315" s="114"/>
      <c r="B315" s="117"/>
      <c r="C315" s="116"/>
      <c r="D315" s="116"/>
      <c r="E315" s="116"/>
      <c r="F315" s="116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  <c r="AA315" s="117"/>
      <c r="AB315" s="117"/>
    </row>
    <row r="316">
      <c r="A316" s="114"/>
      <c r="B316" s="117"/>
      <c r="C316" s="116"/>
      <c r="D316" s="116"/>
      <c r="E316" s="116"/>
      <c r="F316" s="116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  <c r="AA316" s="117"/>
      <c r="AB316" s="117"/>
    </row>
    <row r="317">
      <c r="A317" s="114"/>
      <c r="B317" s="117"/>
      <c r="C317" s="116"/>
      <c r="D317" s="116"/>
      <c r="E317" s="116"/>
      <c r="F317" s="116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  <c r="AA317" s="117"/>
      <c r="AB317" s="117"/>
    </row>
    <row r="318">
      <c r="A318" s="114"/>
      <c r="B318" s="117"/>
      <c r="C318" s="116"/>
      <c r="D318" s="116"/>
      <c r="E318" s="116"/>
      <c r="F318" s="116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  <c r="AA318" s="117"/>
      <c r="AB318" s="117"/>
    </row>
    <row r="319">
      <c r="A319" s="114"/>
      <c r="B319" s="117"/>
      <c r="C319" s="116"/>
      <c r="D319" s="116"/>
      <c r="E319" s="116"/>
      <c r="F319" s="116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  <c r="AA319" s="117"/>
      <c r="AB319" s="117"/>
    </row>
    <row r="320">
      <c r="A320" s="114"/>
      <c r="B320" s="117"/>
      <c r="C320" s="116"/>
      <c r="D320" s="116"/>
      <c r="E320" s="116"/>
      <c r="F320" s="116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  <c r="AA320" s="117"/>
      <c r="AB320" s="117"/>
    </row>
    <row r="321">
      <c r="A321" s="114"/>
      <c r="B321" s="117"/>
      <c r="C321" s="116"/>
      <c r="D321" s="116"/>
      <c r="E321" s="116"/>
      <c r="F321" s="116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  <c r="AA321" s="117"/>
      <c r="AB321" s="117"/>
    </row>
    <row r="322">
      <c r="A322" s="114"/>
      <c r="B322" s="117"/>
      <c r="C322" s="116"/>
      <c r="D322" s="116"/>
      <c r="E322" s="116"/>
      <c r="F322" s="116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  <c r="AA322" s="117"/>
      <c r="AB322" s="117"/>
    </row>
    <row r="323">
      <c r="A323" s="114"/>
      <c r="B323" s="117"/>
      <c r="C323" s="116"/>
      <c r="D323" s="116"/>
      <c r="E323" s="116"/>
      <c r="F323" s="116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  <c r="AA323" s="117"/>
      <c r="AB323" s="117"/>
    </row>
    <row r="324">
      <c r="A324" s="114"/>
      <c r="B324" s="117"/>
      <c r="C324" s="116"/>
      <c r="D324" s="116"/>
      <c r="E324" s="116"/>
      <c r="F324" s="116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  <c r="AA324" s="117"/>
      <c r="AB324" s="117"/>
    </row>
    <row r="325">
      <c r="A325" s="114"/>
      <c r="B325" s="117"/>
      <c r="C325" s="116"/>
      <c r="D325" s="116"/>
      <c r="E325" s="116"/>
      <c r="F325" s="116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  <c r="AA325" s="117"/>
      <c r="AB325" s="117"/>
    </row>
    <row r="326">
      <c r="A326" s="114"/>
      <c r="B326" s="117"/>
      <c r="C326" s="116"/>
      <c r="D326" s="116"/>
      <c r="E326" s="116"/>
      <c r="F326" s="116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117"/>
      <c r="AB326" s="117"/>
    </row>
    <row r="327">
      <c r="A327" s="114"/>
      <c r="B327" s="117"/>
      <c r="C327" s="116"/>
      <c r="D327" s="116"/>
      <c r="E327" s="116"/>
      <c r="F327" s="116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  <c r="AA327" s="117"/>
      <c r="AB327" s="117"/>
    </row>
    <row r="328">
      <c r="A328" s="114"/>
      <c r="B328" s="117"/>
      <c r="C328" s="116"/>
      <c r="D328" s="116"/>
      <c r="E328" s="116"/>
      <c r="F328" s="116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  <c r="AA328" s="117"/>
      <c r="AB328" s="117"/>
    </row>
    <row r="329">
      <c r="A329" s="114"/>
      <c r="B329" s="117"/>
      <c r="C329" s="116"/>
      <c r="D329" s="116"/>
      <c r="E329" s="116"/>
      <c r="F329" s="116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  <c r="AA329" s="117"/>
      <c r="AB329" s="117"/>
    </row>
    <row r="330">
      <c r="A330" s="114"/>
      <c r="B330" s="117"/>
      <c r="C330" s="116"/>
      <c r="D330" s="116"/>
      <c r="E330" s="116"/>
      <c r="F330" s="116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  <c r="AA330" s="117"/>
      <c r="AB330" s="117"/>
    </row>
    <row r="331">
      <c r="A331" s="114"/>
      <c r="B331" s="117"/>
      <c r="C331" s="116"/>
      <c r="D331" s="116"/>
      <c r="E331" s="116"/>
      <c r="F331" s="116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  <c r="AA331" s="117"/>
      <c r="AB331" s="117"/>
    </row>
    <row r="332">
      <c r="A332" s="114"/>
      <c r="B332" s="117"/>
      <c r="C332" s="116"/>
      <c r="D332" s="116"/>
      <c r="E332" s="116"/>
      <c r="F332" s="116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  <c r="AA332" s="117"/>
      <c r="AB332" s="117"/>
    </row>
    <row r="333">
      <c r="A333" s="114"/>
      <c r="B333" s="117"/>
      <c r="C333" s="116"/>
      <c r="D333" s="116"/>
      <c r="E333" s="116"/>
      <c r="F333" s="116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  <c r="AA333" s="117"/>
      <c r="AB333" s="117"/>
    </row>
    <row r="334">
      <c r="A334" s="114"/>
      <c r="B334" s="117"/>
      <c r="C334" s="116"/>
      <c r="D334" s="116"/>
      <c r="E334" s="116"/>
      <c r="F334" s="116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  <c r="AA334" s="117"/>
      <c r="AB334" s="117"/>
    </row>
    <row r="335">
      <c r="A335" s="114"/>
      <c r="B335" s="117"/>
      <c r="C335" s="116"/>
      <c r="D335" s="116"/>
      <c r="E335" s="116"/>
      <c r="F335" s="116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  <c r="AA335" s="117"/>
      <c r="AB335" s="117"/>
    </row>
    <row r="336">
      <c r="A336" s="114"/>
      <c r="B336" s="117"/>
      <c r="C336" s="116"/>
      <c r="D336" s="116"/>
      <c r="E336" s="116"/>
      <c r="F336" s="116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  <c r="AA336" s="117"/>
      <c r="AB336" s="117"/>
    </row>
    <row r="337">
      <c r="A337" s="114"/>
      <c r="B337" s="117"/>
      <c r="C337" s="116"/>
      <c r="D337" s="116"/>
      <c r="E337" s="116"/>
      <c r="F337" s="116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  <c r="AA337" s="117"/>
      <c r="AB337" s="117"/>
    </row>
    <row r="338">
      <c r="A338" s="114"/>
      <c r="B338" s="117"/>
      <c r="C338" s="116"/>
      <c r="D338" s="116"/>
      <c r="E338" s="116"/>
      <c r="F338" s="116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  <c r="AA338" s="117"/>
      <c r="AB338" s="117"/>
    </row>
    <row r="339">
      <c r="A339" s="114"/>
      <c r="B339" s="117"/>
      <c r="C339" s="116"/>
      <c r="D339" s="116"/>
      <c r="E339" s="116"/>
      <c r="F339" s="116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  <c r="AA339" s="117"/>
      <c r="AB339" s="117"/>
    </row>
    <row r="340">
      <c r="A340" s="114"/>
      <c r="B340" s="117"/>
      <c r="C340" s="116"/>
      <c r="D340" s="116"/>
      <c r="E340" s="116"/>
      <c r="F340" s="116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  <c r="AA340" s="117"/>
      <c r="AB340" s="117"/>
    </row>
    <row r="341">
      <c r="A341" s="114"/>
      <c r="B341" s="117"/>
      <c r="C341" s="116"/>
      <c r="D341" s="116"/>
      <c r="E341" s="116"/>
      <c r="F341" s="116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  <c r="AA341" s="117"/>
      <c r="AB341" s="117"/>
    </row>
    <row r="342">
      <c r="A342" s="114"/>
      <c r="B342" s="117"/>
      <c r="C342" s="116"/>
      <c r="D342" s="116"/>
      <c r="E342" s="116"/>
      <c r="F342" s="116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  <c r="AA342" s="117"/>
      <c r="AB342" s="117"/>
    </row>
    <row r="343">
      <c r="A343" s="114"/>
      <c r="B343" s="117"/>
      <c r="C343" s="116"/>
      <c r="D343" s="116"/>
      <c r="E343" s="116"/>
      <c r="F343" s="116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  <c r="AA343" s="117"/>
      <c r="AB343" s="117"/>
    </row>
    <row r="344">
      <c r="A344" s="114"/>
      <c r="B344" s="117"/>
      <c r="C344" s="116"/>
      <c r="D344" s="116"/>
      <c r="E344" s="116"/>
      <c r="F344" s="116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  <c r="AA344" s="117"/>
      <c r="AB344" s="117"/>
    </row>
    <row r="345">
      <c r="A345" s="114"/>
      <c r="B345" s="117"/>
      <c r="C345" s="116"/>
      <c r="D345" s="116"/>
      <c r="E345" s="116"/>
      <c r="F345" s="116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  <c r="AA345" s="117"/>
      <c r="AB345" s="117"/>
    </row>
    <row r="346">
      <c r="A346" s="114"/>
      <c r="B346" s="117"/>
      <c r="C346" s="116"/>
      <c r="D346" s="116"/>
      <c r="E346" s="116"/>
      <c r="F346" s="116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  <c r="AA346" s="117"/>
      <c r="AB346" s="117"/>
    </row>
    <row r="347">
      <c r="A347" s="114"/>
      <c r="B347" s="117"/>
      <c r="C347" s="116"/>
      <c r="D347" s="116"/>
      <c r="E347" s="116"/>
      <c r="F347" s="116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  <c r="AA347" s="117"/>
      <c r="AB347" s="117"/>
    </row>
    <row r="348">
      <c r="A348" s="114"/>
      <c r="B348" s="117"/>
      <c r="C348" s="116"/>
      <c r="D348" s="116"/>
      <c r="E348" s="116"/>
      <c r="F348" s="116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  <c r="AA348" s="117"/>
      <c r="AB348" s="117"/>
    </row>
    <row r="349">
      <c r="A349" s="114"/>
      <c r="B349" s="117"/>
      <c r="C349" s="116"/>
      <c r="D349" s="116"/>
      <c r="E349" s="116"/>
      <c r="F349" s="116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  <c r="AA349" s="117"/>
      <c r="AB349" s="117"/>
    </row>
    <row r="350">
      <c r="A350" s="114"/>
      <c r="B350" s="117"/>
      <c r="C350" s="116"/>
      <c r="D350" s="116"/>
      <c r="E350" s="116"/>
      <c r="F350" s="116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  <c r="AA350" s="117"/>
      <c r="AB350" s="117"/>
    </row>
    <row r="351">
      <c r="A351" s="114"/>
      <c r="B351" s="117"/>
      <c r="C351" s="116"/>
      <c r="D351" s="116"/>
      <c r="E351" s="116"/>
      <c r="F351" s="116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  <c r="AA351" s="117"/>
      <c r="AB351" s="117"/>
    </row>
    <row r="352">
      <c r="A352" s="114"/>
      <c r="B352" s="117"/>
      <c r="C352" s="116"/>
      <c r="D352" s="116"/>
      <c r="E352" s="116"/>
      <c r="F352" s="116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  <c r="AA352" s="117"/>
      <c r="AB352" s="117"/>
    </row>
    <row r="353">
      <c r="A353" s="114"/>
      <c r="B353" s="117"/>
      <c r="C353" s="116"/>
      <c r="D353" s="116"/>
      <c r="E353" s="116"/>
      <c r="F353" s="116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  <c r="AA353" s="117"/>
      <c r="AB353" s="117"/>
    </row>
    <row r="354">
      <c r="A354" s="114"/>
      <c r="B354" s="117"/>
      <c r="C354" s="116"/>
      <c r="D354" s="116"/>
      <c r="E354" s="116"/>
      <c r="F354" s="116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  <c r="AA354" s="117"/>
      <c r="AB354" s="117"/>
    </row>
    <row r="355">
      <c r="A355" s="114"/>
      <c r="B355" s="117"/>
      <c r="C355" s="116"/>
      <c r="D355" s="116"/>
      <c r="E355" s="116"/>
      <c r="F355" s="116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  <c r="AA355" s="117"/>
      <c r="AB355" s="117"/>
    </row>
    <row r="356">
      <c r="A356" s="114"/>
      <c r="B356" s="117"/>
      <c r="C356" s="116"/>
      <c r="D356" s="116"/>
      <c r="E356" s="116"/>
      <c r="F356" s="116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  <c r="AA356" s="117"/>
      <c r="AB356" s="117"/>
    </row>
    <row r="357">
      <c r="A357" s="114"/>
      <c r="B357" s="117"/>
      <c r="C357" s="116"/>
      <c r="D357" s="116"/>
      <c r="E357" s="116"/>
      <c r="F357" s="116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  <c r="AA357" s="117"/>
      <c r="AB357" s="117"/>
    </row>
    <row r="358">
      <c r="A358" s="114"/>
      <c r="B358" s="117"/>
      <c r="C358" s="116"/>
      <c r="D358" s="116"/>
      <c r="E358" s="116"/>
      <c r="F358" s="116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  <c r="AA358" s="117"/>
      <c r="AB358" s="117"/>
    </row>
    <row r="359">
      <c r="A359" s="114"/>
      <c r="B359" s="117"/>
      <c r="C359" s="116"/>
      <c r="D359" s="116"/>
      <c r="E359" s="116"/>
      <c r="F359" s="116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  <c r="AA359" s="117"/>
      <c r="AB359" s="117"/>
    </row>
    <row r="360">
      <c r="A360" s="114"/>
      <c r="B360" s="117"/>
      <c r="C360" s="116"/>
      <c r="D360" s="116"/>
      <c r="E360" s="116"/>
      <c r="F360" s="116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  <c r="AA360" s="117"/>
      <c r="AB360" s="117"/>
    </row>
    <row r="361">
      <c r="A361" s="114"/>
      <c r="B361" s="117"/>
      <c r="C361" s="116"/>
      <c r="D361" s="116"/>
      <c r="E361" s="116"/>
      <c r="F361" s="116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  <c r="AA361" s="117"/>
      <c r="AB361" s="117"/>
    </row>
    <row r="362">
      <c r="A362" s="114"/>
      <c r="B362" s="117"/>
      <c r="C362" s="116"/>
      <c r="D362" s="116"/>
      <c r="E362" s="116"/>
      <c r="F362" s="116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  <c r="AA362" s="117"/>
      <c r="AB362" s="117"/>
    </row>
    <row r="363">
      <c r="A363" s="114"/>
      <c r="B363" s="117"/>
      <c r="C363" s="116"/>
      <c r="D363" s="116"/>
      <c r="E363" s="116"/>
      <c r="F363" s="116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  <c r="AA363" s="117"/>
      <c r="AB363" s="117"/>
    </row>
    <row r="364">
      <c r="A364" s="114"/>
      <c r="B364" s="117"/>
      <c r="C364" s="116"/>
      <c r="D364" s="116"/>
      <c r="E364" s="116"/>
      <c r="F364" s="116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117"/>
      <c r="AB364" s="117"/>
    </row>
    <row r="365">
      <c r="A365" s="114"/>
      <c r="B365" s="117"/>
      <c r="C365" s="116"/>
      <c r="D365" s="116"/>
      <c r="E365" s="116"/>
      <c r="F365" s="116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  <c r="AA365" s="117"/>
      <c r="AB365" s="117"/>
    </row>
    <row r="366">
      <c r="A366" s="114"/>
      <c r="B366" s="117"/>
      <c r="C366" s="116"/>
      <c r="D366" s="116"/>
      <c r="E366" s="116"/>
      <c r="F366" s="116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  <c r="AA366" s="117"/>
      <c r="AB366" s="117"/>
    </row>
    <row r="367">
      <c r="A367" s="114"/>
      <c r="B367" s="117"/>
      <c r="C367" s="116"/>
      <c r="D367" s="116"/>
      <c r="E367" s="116"/>
      <c r="F367" s="116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  <c r="AA367" s="117"/>
      <c r="AB367" s="117"/>
    </row>
    <row r="368">
      <c r="A368" s="114"/>
      <c r="B368" s="117"/>
      <c r="C368" s="116"/>
      <c r="D368" s="116"/>
      <c r="E368" s="116"/>
      <c r="F368" s="116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  <c r="AA368" s="117"/>
      <c r="AB368" s="117"/>
    </row>
    <row r="369">
      <c r="A369" s="114"/>
      <c r="B369" s="117"/>
      <c r="C369" s="116"/>
      <c r="D369" s="116"/>
      <c r="E369" s="116"/>
      <c r="F369" s="116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  <c r="AA369" s="117"/>
      <c r="AB369" s="117"/>
    </row>
    <row r="370">
      <c r="A370" s="114"/>
      <c r="B370" s="117"/>
      <c r="C370" s="116"/>
      <c r="D370" s="116"/>
      <c r="E370" s="116"/>
      <c r="F370" s="116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  <c r="AA370" s="117"/>
      <c r="AB370" s="117"/>
    </row>
    <row r="371">
      <c r="A371" s="114"/>
      <c r="B371" s="117"/>
      <c r="C371" s="116"/>
      <c r="D371" s="116"/>
      <c r="E371" s="116"/>
      <c r="F371" s="116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  <c r="AA371" s="117"/>
      <c r="AB371" s="117"/>
    </row>
    <row r="372">
      <c r="A372" s="114"/>
      <c r="B372" s="117"/>
      <c r="C372" s="116"/>
      <c r="D372" s="116"/>
      <c r="E372" s="116"/>
      <c r="F372" s="116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  <c r="AA372" s="117"/>
      <c r="AB372" s="117"/>
    </row>
    <row r="373">
      <c r="A373" s="114"/>
      <c r="B373" s="117"/>
      <c r="C373" s="116"/>
      <c r="D373" s="116"/>
      <c r="E373" s="116"/>
      <c r="F373" s="116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  <c r="AA373" s="117"/>
      <c r="AB373" s="117"/>
    </row>
    <row r="374">
      <c r="A374" s="114"/>
      <c r="B374" s="117"/>
      <c r="C374" s="116"/>
      <c r="D374" s="116"/>
      <c r="E374" s="116"/>
      <c r="F374" s="116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  <c r="AA374" s="117"/>
      <c r="AB374" s="117"/>
    </row>
    <row r="375">
      <c r="A375" s="114"/>
      <c r="B375" s="117"/>
      <c r="C375" s="116"/>
      <c r="D375" s="116"/>
      <c r="E375" s="116"/>
      <c r="F375" s="116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117"/>
      <c r="AB375" s="117"/>
    </row>
    <row r="376">
      <c r="A376" s="114"/>
      <c r="B376" s="117"/>
      <c r="C376" s="116"/>
      <c r="D376" s="116"/>
      <c r="E376" s="116"/>
      <c r="F376" s="116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  <c r="AA376" s="117"/>
      <c r="AB376" s="117"/>
    </row>
    <row r="377">
      <c r="A377" s="114"/>
      <c r="B377" s="117"/>
      <c r="C377" s="116"/>
      <c r="D377" s="116"/>
      <c r="E377" s="116"/>
      <c r="F377" s="116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  <c r="AB377" s="117"/>
    </row>
    <row r="378">
      <c r="A378" s="114"/>
      <c r="B378" s="117"/>
      <c r="C378" s="116"/>
      <c r="D378" s="116"/>
      <c r="E378" s="116"/>
      <c r="F378" s="116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  <c r="AB378" s="117"/>
    </row>
    <row r="379">
      <c r="A379" s="114"/>
      <c r="B379" s="117"/>
      <c r="C379" s="116"/>
      <c r="D379" s="116"/>
      <c r="E379" s="116"/>
      <c r="F379" s="116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  <c r="AB379" s="117"/>
    </row>
    <row r="380">
      <c r="A380" s="114"/>
      <c r="B380" s="117"/>
      <c r="C380" s="116"/>
      <c r="D380" s="116"/>
      <c r="E380" s="116"/>
      <c r="F380" s="116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  <c r="AB380" s="117"/>
    </row>
    <row r="381">
      <c r="A381" s="114"/>
      <c r="B381" s="117"/>
      <c r="C381" s="116"/>
      <c r="D381" s="116"/>
      <c r="E381" s="116"/>
      <c r="F381" s="116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  <c r="AB381" s="117"/>
    </row>
    <row r="382">
      <c r="A382" s="114"/>
      <c r="B382" s="117"/>
      <c r="C382" s="116"/>
      <c r="D382" s="116"/>
      <c r="E382" s="116"/>
      <c r="F382" s="116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  <c r="AB382" s="117"/>
    </row>
    <row r="383">
      <c r="A383" s="114"/>
      <c r="B383" s="117"/>
      <c r="C383" s="116"/>
      <c r="D383" s="116"/>
      <c r="E383" s="116"/>
      <c r="F383" s="116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  <c r="AB383" s="117"/>
    </row>
    <row r="384">
      <c r="A384" s="114"/>
      <c r="B384" s="117"/>
      <c r="C384" s="116"/>
      <c r="D384" s="116"/>
      <c r="E384" s="116"/>
      <c r="F384" s="116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  <c r="AB384" s="117"/>
    </row>
    <row r="385">
      <c r="A385" s="114"/>
      <c r="B385" s="117"/>
      <c r="C385" s="116"/>
      <c r="D385" s="116"/>
      <c r="E385" s="116"/>
      <c r="F385" s="116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  <c r="AB385" s="117"/>
    </row>
    <row r="386">
      <c r="A386" s="114"/>
      <c r="B386" s="117"/>
      <c r="C386" s="116"/>
      <c r="D386" s="116"/>
      <c r="E386" s="116"/>
      <c r="F386" s="116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  <c r="AB386" s="117"/>
    </row>
    <row r="387">
      <c r="A387" s="114"/>
      <c r="B387" s="117"/>
      <c r="C387" s="116"/>
      <c r="D387" s="116"/>
      <c r="E387" s="116"/>
      <c r="F387" s="116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  <c r="AB387" s="117"/>
    </row>
    <row r="388">
      <c r="A388" s="114"/>
      <c r="B388" s="117"/>
      <c r="C388" s="116"/>
      <c r="D388" s="116"/>
      <c r="E388" s="116"/>
      <c r="F388" s="116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  <c r="AB388" s="117"/>
    </row>
    <row r="389">
      <c r="A389" s="114"/>
      <c r="B389" s="117"/>
      <c r="C389" s="116"/>
      <c r="D389" s="116"/>
      <c r="E389" s="116"/>
      <c r="F389" s="116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  <c r="AB389" s="117"/>
    </row>
    <row r="390">
      <c r="A390" s="114"/>
      <c r="B390" s="117"/>
      <c r="C390" s="116"/>
      <c r="D390" s="116"/>
      <c r="E390" s="116"/>
      <c r="F390" s="116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  <c r="AB390" s="117"/>
    </row>
    <row r="391">
      <c r="A391" s="114"/>
      <c r="B391" s="117"/>
      <c r="C391" s="116"/>
      <c r="D391" s="116"/>
      <c r="E391" s="116"/>
      <c r="F391" s="116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  <c r="AB391" s="117"/>
    </row>
    <row r="392">
      <c r="A392" s="114"/>
      <c r="B392" s="117"/>
      <c r="C392" s="116"/>
      <c r="D392" s="116"/>
      <c r="E392" s="116"/>
      <c r="F392" s="116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  <c r="AB392" s="117"/>
    </row>
    <row r="393">
      <c r="A393" s="114"/>
      <c r="B393" s="117"/>
      <c r="C393" s="116"/>
      <c r="D393" s="116"/>
      <c r="E393" s="116"/>
      <c r="F393" s="116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  <c r="AB393" s="117"/>
    </row>
    <row r="394">
      <c r="A394" s="114"/>
      <c r="B394" s="117"/>
      <c r="C394" s="116"/>
      <c r="D394" s="116"/>
      <c r="E394" s="116"/>
      <c r="F394" s="116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  <c r="AB394" s="117"/>
    </row>
    <row r="395">
      <c r="A395" s="114"/>
      <c r="B395" s="117"/>
      <c r="C395" s="116"/>
      <c r="D395" s="116"/>
      <c r="E395" s="116"/>
      <c r="F395" s="116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  <c r="AB395" s="117"/>
    </row>
    <row r="396">
      <c r="A396" s="114"/>
      <c r="B396" s="117"/>
      <c r="C396" s="116"/>
      <c r="D396" s="116"/>
      <c r="E396" s="116"/>
      <c r="F396" s="116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  <c r="AB396" s="117"/>
    </row>
    <row r="397">
      <c r="A397" s="114"/>
      <c r="B397" s="117"/>
      <c r="C397" s="116"/>
      <c r="D397" s="116"/>
      <c r="E397" s="116"/>
      <c r="F397" s="116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  <c r="AB397" s="117"/>
    </row>
    <row r="398">
      <c r="A398" s="114"/>
      <c r="B398" s="117"/>
      <c r="C398" s="116"/>
      <c r="D398" s="116"/>
      <c r="E398" s="116"/>
      <c r="F398" s="116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  <c r="AB398" s="117"/>
    </row>
    <row r="399">
      <c r="A399" s="114"/>
      <c r="B399" s="117"/>
      <c r="C399" s="116"/>
      <c r="D399" s="116"/>
      <c r="E399" s="116"/>
      <c r="F399" s="116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  <c r="AB399" s="117"/>
    </row>
    <row r="400">
      <c r="A400" s="114"/>
      <c r="B400" s="117"/>
      <c r="C400" s="116"/>
      <c r="D400" s="116"/>
      <c r="E400" s="116"/>
      <c r="F400" s="116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  <c r="AB400" s="117"/>
    </row>
    <row r="401">
      <c r="A401" s="114"/>
      <c r="B401" s="117"/>
      <c r="C401" s="116"/>
      <c r="D401" s="116"/>
      <c r="E401" s="116"/>
      <c r="F401" s="116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  <c r="AB401" s="117"/>
    </row>
    <row r="402">
      <c r="A402" s="114"/>
      <c r="B402" s="117"/>
      <c r="C402" s="116"/>
      <c r="D402" s="116"/>
      <c r="E402" s="116"/>
      <c r="F402" s="116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  <c r="AB402" s="117"/>
    </row>
    <row r="403">
      <c r="A403" s="114"/>
      <c r="B403" s="117"/>
      <c r="C403" s="116"/>
      <c r="D403" s="116"/>
      <c r="E403" s="116"/>
      <c r="F403" s="116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  <c r="AB403" s="117"/>
    </row>
    <row r="404">
      <c r="A404" s="114"/>
      <c r="B404" s="117"/>
      <c r="C404" s="116"/>
      <c r="D404" s="116"/>
      <c r="E404" s="116"/>
      <c r="F404" s="116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  <c r="AB404" s="117"/>
    </row>
    <row r="405">
      <c r="A405" s="114"/>
      <c r="B405" s="117"/>
      <c r="C405" s="116"/>
      <c r="D405" s="116"/>
      <c r="E405" s="116"/>
      <c r="F405" s="116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  <c r="AB405" s="117"/>
    </row>
    <row r="406">
      <c r="A406" s="114"/>
      <c r="B406" s="117"/>
      <c r="C406" s="116"/>
      <c r="D406" s="116"/>
      <c r="E406" s="116"/>
      <c r="F406" s="116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  <c r="AB406" s="117"/>
    </row>
    <row r="407">
      <c r="A407" s="114"/>
      <c r="B407" s="117"/>
      <c r="C407" s="116"/>
      <c r="D407" s="116"/>
      <c r="E407" s="116"/>
      <c r="F407" s="116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  <c r="AB407" s="117"/>
    </row>
    <row r="408">
      <c r="A408" s="114"/>
      <c r="B408" s="117"/>
      <c r="C408" s="116"/>
      <c r="D408" s="116"/>
      <c r="E408" s="116"/>
      <c r="F408" s="116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  <c r="AB408" s="117"/>
    </row>
    <row r="409">
      <c r="A409" s="114"/>
      <c r="B409" s="117"/>
      <c r="C409" s="116"/>
      <c r="D409" s="116"/>
      <c r="E409" s="116"/>
      <c r="F409" s="116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  <c r="AB409" s="117"/>
    </row>
    <row r="410">
      <c r="A410" s="114"/>
      <c r="B410" s="117"/>
      <c r="C410" s="116"/>
      <c r="D410" s="116"/>
      <c r="E410" s="116"/>
      <c r="F410" s="116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  <c r="AB410" s="117"/>
    </row>
    <row r="411">
      <c r="A411" s="114"/>
      <c r="B411" s="117"/>
      <c r="C411" s="116"/>
      <c r="D411" s="116"/>
      <c r="E411" s="116"/>
      <c r="F411" s="116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  <c r="AB411" s="117"/>
    </row>
    <row r="412">
      <c r="A412" s="114"/>
      <c r="B412" s="117"/>
      <c r="C412" s="116"/>
      <c r="D412" s="116"/>
      <c r="E412" s="116"/>
      <c r="F412" s="116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  <c r="AB412" s="117"/>
    </row>
    <row r="413">
      <c r="A413" s="114"/>
      <c r="B413" s="117"/>
      <c r="C413" s="116"/>
      <c r="D413" s="116"/>
      <c r="E413" s="116"/>
      <c r="F413" s="116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  <c r="AB413" s="117"/>
    </row>
    <row r="414">
      <c r="A414" s="114"/>
      <c r="B414" s="117"/>
      <c r="C414" s="116"/>
      <c r="D414" s="116"/>
      <c r="E414" s="116"/>
      <c r="F414" s="116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  <c r="AB414" s="117"/>
    </row>
    <row r="415">
      <c r="A415" s="114"/>
      <c r="B415" s="117"/>
      <c r="C415" s="116"/>
      <c r="D415" s="116"/>
      <c r="E415" s="116"/>
      <c r="F415" s="116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  <c r="AB415" s="117"/>
    </row>
    <row r="416">
      <c r="A416" s="114"/>
      <c r="B416" s="117"/>
      <c r="C416" s="116"/>
      <c r="D416" s="116"/>
      <c r="E416" s="116"/>
      <c r="F416" s="116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  <c r="AB416" s="117"/>
    </row>
    <row r="417">
      <c r="A417" s="114"/>
      <c r="B417" s="117"/>
      <c r="C417" s="116"/>
      <c r="D417" s="116"/>
      <c r="E417" s="116"/>
      <c r="F417" s="116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  <c r="AB417" s="117"/>
    </row>
    <row r="418">
      <c r="A418" s="114"/>
      <c r="B418" s="117"/>
      <c r="C418" s="116"/>
      <c r="D418" s="116"/>
      <c r="E418" s="116"/>
      <c r="F418" s="116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  <c r="AB418" s="117"/>
    </row>
    <row r="419">
      <c r="A419" s="114"/>
      <c r="B419" s="117"/>
      <c r="C419" s="116"/>
      <c r="D419" s="116"/>
      <c r="E419" s="116"/>
      <c r="F419" s="116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  <c r="AB419" s="117"/>
    </row>
    <row r="420">
      <c r="A420" s="114"/>
      <c r="B420" s="117"/>
      <c r="C420" s="116"/>
      <c r="D420" s="116"/>
      <c r="E420" s="116"/>
      <c r="F420" s="116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  <c r="AB420" s="117"/>
    </row>
    <row r="421">
      <c r="A421" s="114"/>
      <c r="B421" s="117"/>
      <c r="C421" s="116"/>
      <c r="D421" s="116"/>
      <c r="E421" s="116"/>
      <c r="F421" s="116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  <c r="AB421" s="117"/>
    </row>
    <row r="422">
      <c r="A422" s="114"/>
      <c r="B422" s="117"/>
      <c r="C422" s="116"/>
      <c r="D422" s="116"/>
      <c r="E422" s="116"/>
      <c r="F422" s="116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  <c r="AB422" s="117"/>
    </row>
    <row r="423">
      <c r="A423" s="114"/>
      <c r="B423" s="117"/>
      <c r="C423" s="116"/>
      <c r="D423" s="116"/>
      <c r="E423" s="116"/>
      <c r="F423" s="116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  <c r="AB423" s="117"/>
    </row>
    <row r="424">
      <c r="A424" s="114"/>
      <c r="B424" s="117"/>
      <c r="C424" s="116"/>
      <c r="D424" s="116"/>
      <c r="E424" s="116"/>
      <c r="F424" s="116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  <c r="AB424" s="117"/>
    </row>
    <row r="425">
      <c r="A425" s="114"/>
      <c r="B425" s="117"/>
      <c r="C425" s="116"/>
      <c r="D425" s="116"/>
      <c r="E425" s="116"/>
      <c r="F425" s="116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  <c r="AB425" s="117"/>
    </row>
    <row r="426">
      <c r="A426" s="114"/>
      <c r="B426" s="117"/>
      <c r="C426" s="116"/>
      <c r="D426" s="116"/>
      <c r="E426" s="116"/>
      <c r="F426" s="116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  <c r="AB426" s="117"/>
    </row>
    <row r="427">
      <c r="A427" s="114"/>
      <c r="B427" s="117"/>
      <c r="C427" s="116"/>
      <c r="D427" s="116"/>
      <c r="E427" s="116"/>
      <c r="F427" s="116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  <c r="AB427" s="117"/>
    </row>
    <row r="428">
      <c r="A428" s="114"/>
      <c r="B428" s="117"/>
      <c r="C428" s="116"/>
      <c r="D428" s="116"/>
      <c r="E428" s="116"/>
      <c r="F428" s="116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  <c r="AB428" s="117"/>
    </row>
    <row r="429">
      <c r="A429" s="114"/>
      <c r="B429" s="117"/>
      <c r="C429" s="116"/>
      <c r="D429" s="116"/>
      <c r="E429" s="116"/>
      <c r="F429" s="116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  <c r="AB429" s="117"/>
    </row>
    <row r="430">
      <c r="A430" s="114"/>
      <c r="B430" s="117"/>
      <c r="C430" s="116"/>
      <c r="D430" s="116"/>
      <c r="E430" s="116"/>
      <c r="F430" s="116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  <c r="AB430" s="117"/>
    </row>
    <row r="431">
      <c r="A431" s="114"/>
      <c r="B431" s="117"/>
      <c r="C431" s="116"/>
      <c r="D431" s="116"/>
      <c r="E431" s="116"/>
      <c r="F431" s="116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  <c r="AB431" s="117"/>
    </row>
    <row r="432">
      <c r="A432" s="114"/>
      <c r="B432" s="117"/>
      <c r="C432" s="116"/>
      <c r="D432" s="116"/>
      <c r="E432" s="116"/>
      <c r="F432" s="116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  <c r="AB432" s="117"/>
    </row>
    <row r="433">
      <c r="A433" s="114"/>
      <c r="B433" s="117"/>
      <c r="C433" s="116"/>
      <c r="D433" s="116"/>
      <c r="E433" s="116"/>
      <c r="F433" s="116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  <c r="AB433" s="117"/>
    </row>
    <row r="434">
      <c r="A434" s="114"/>
      <c r="B434" s="117"/>
      <c r="C434" s="116"/>
      <c r="D434" s="116"/>
      <c r="E434" s="116"/>
      <c r="F434" s="116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  <c r="AB434" s="117"/>
    </row>
    <row r="435">
      <c r="A435" s="114"/>
      <c r="B435" s="117"/>
      <c r="C435" s="116"/>
      <c r="D435" s="116"/>
      <c r="E435" s="116"/>
      <c r="F435" s="116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  <c r="AB435" s="117"/>
    </row>
    <row r="436">
      <c r="A436" s="114"/>
      <c r="B436" s="117"/>
      <c r="C436" s="116"/>
      <c r="D436" s="116"/>
      <c r="E436" s="116"/>
      <c r="F436" s="116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  <c r="AB436" s="117"/>
    </row>
    <row r="437">
      <c r="A437" s="114"/>
      <c r="B437" s="117"/>
      <c r="C437" s="116"/>
      <c r="D437" s="116"/>
      <c r="E437" s="116"/>
      <c r="F437" s="116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  <c r="AB437" s="117"/>
    </row>
    <row r="438">
      <c r="A438" s="114"/>
      <c r="B438" s="117"/>
      <c r="C438" s="116"/>
      <c r="D438" s="116"/>
      <c r="E438" s="116"/>
      <c r="F438" s="116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  <c r="AB438" s="117"/>
    </row>
    <row r="439">
      <c r="A439" s="114"/>
      <c r="B439" s="117"/>
      <c r="C439" s="116"/>
      <c r="D439" s="116"/>
      <c r="E439" s="116"/>
      <c r="F439" s="116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  <c r="AB439" s="117"/>
    </row>
    <row r="440">
      <c r="A440" s="114"/>
      <c r="B440" s="117"/>
      <c r="C440" s="116"/>
      <c r="D440" s="116"/>
      <c r="E440" s="116"/>
      <c r="F440" s="116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  <c r="AB440" s="117"/>
    </row>
    <row r="441">
      <c r="A441" s="114"/>
      <c r="B441" s="117"/>
      <c r="C441" s="116"/>
      <c r="D441" s="116"/>
      <c r="E441" s="116"/>
      <c r="F441" s="116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  <c r="AB441" s="117"/>
    </row>
    <row r="442">
      <c r="A442" s="114"/>
      <c r="B442" s="117"/>
      <c r="C442" s="116"/>
      <c r="D442" s="116"/>
      <c r="E442" s="116"/>
      <c r="F442" s="116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  <c r="AB442" s="117"/>
    </row>
    <row r="443">
      <c r="A443" s="114"/>
      <c r="B443" s="117"/>
      <c r="C443" s="116"/>
      <c r="D443" s="116"/>
      <c r="E443" s="116"/>
      <c r="F443" s="116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  <c r="AB443" s="117"/>
    </row>
    <row r="444">
      <c r="A444" s="114"/>
      <c r="B444" s="117"/>
      <c r="C444" s="116"/>
      <c r="D444" s="116"/>
      <c r="E444" s="116"/>
      <c r="F444" s="116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  <c r="AB444" s="117"/>
    </row>
    <row r="445">
      <c r="A445" s="114"/>
      <c r="B445" s="117"/>
      <c r="C445" s="116"/>
      <c r="D445" s="116"/>
      <c r="E445" s="116"/>
      <c r="F445" s="116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  <c r="AB445" s="117"/>
    </row>
    <row r="446">
      <c r="A446" s="114"/>
      <c r="B446" s="117"/>
      <c r="C446" s="116"/>
      <c r="D446" s="116"/>
      <c r="E446" s="116"/>
      <c r="F446" s="116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  <c r="AB446" s="117"/>
    </row>
    <row r="447">
      <c r="A447" s="114"/>
      <c r="B447" s="117"/>
      <c r="C447" s="116"/>
      <c r="D447" s="116"/>
      <c r="E447" s="116"/>
      <c r="F447" s="116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  <c r="AB447" s="117"/>
    </row>
    <row r="448">
      <c r="A448" s="114"/>
      <c r="B448" s="117"/>
      <c r="C448" s="116"/>
      <c r="D448" s="116"/>
      <c r="E448" s="116"/>
      <c r="F448" s="116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  <c r="AB448" s="117"/>
    </row>
    <row r="449">
      <c r="A449" s="114"/>
      <c r="B449" s="117"/>
      <c r="C449" s="116"/>
      <c r="D449" s="116"/>
      <c r="E449" s="116"/>
      <c r="F449" s="116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  <c r="AB449" s="117"/>
    </row>
    <row r="450">
      <c r="A450" s="114"/>
      <c r="B450" s="117"/>
      <c r="C450" s="116"/>
      <c r="D450" s="116"/>
      <c r="E450" s="116"/>
      <c r="F450" s="116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  <c r="AB450" s="117"/>
    </row>
    <row r="451">
      <c r="A451" s="114"/>
      <c r="B451" s="117"/>
      <c r="C451" s="116"/>
      <c r="D451" s="116"/>
      <c r="E451" s="116"/>
      <c r="F451" s="116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  <c r="AB451" s="117"/>
    </row>
    <row r="452">
      <c r="A452" s="114"/>
      <c r="B452" s="117"/>
      <c r="C452" s="116"/>
      <c r="D452" s="116"/>
      <c r="E452" s="116"/>
      <c r="F452" s="116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  <c r="AB452" s="117"/>
    </row>
    <row r="453">
      <c r="A453" s="114"/>
      <c r="B453" s="117"/>
      <c r="C453" s="116"/>
      <c r="D453" s="116"/>
      <c r="E453" s="116"/>
      <c r="F453" s="116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  <c r="AB453" s="117"/>
    </row>
    <row r="454">
      <c r="A454" s="114"/>
      <c r="B454" s="117"/>
      <c r="C454" s="116"/>
      <c r="D454" s="116"/>
      <c r="E454" s="116"/>
      <c r="F454" s="116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  <c r="AB454" s="117"/>
    </row>
    <row r="455">
      <c r="A455" s="114"/>
      <c r="B455" s="117"/>
      <c r="C455" s="116"/>
      <c r="D455" s="116"/>
      <c r="E455" s="116"/>
      <c r="F455" s="116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  <c r="AB455" s="117"/>
    </row>
    <row r="456">
      <c r="A456" s="114"/>
      <c r="B456" s="117"/>
      <c r="C456" s="116"/>
      <c r="D456" s="116"/>
      <c r="E456" s="116"/>
      <c r="F456" s="116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  <c r="AB456" s="117"/>
    </row>
    <row r="457">
      <c r="A457" s="114"/>
      <c r="B457" s="117"/>
      <c r="C457" s="116"/>
      <c r="D457" s="116"/>
      <c r="E457" s="116"/>
      <c r="F457" s="116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  <c r="AB457" s="117"/>
    </row>
    <row r="458">
      <c r="A458" s="114"/>
      <c r="B458" s="117"/>
      <c r="C458" s="116"/>
      <c r="D458" s="116"/>
      <c r="E458" s="116"/>
      <c r="F458" s="116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  <c r="AB458" s="117"/>
    </row>
    <row r="459">
      <c r="A459" s="114"/>
      <c r="B459" s="117"/>
      <c r="C459" s="116"/>
      <c r="D459" s="116"/>
      <c r="E459" s="116"/>
      <c r="F459" s="116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  <c r="AB459" s="117"/>
    </row>
    <row r="460">
      <c r="A460" s="114"/>
      <c r="B460" s="117"/>
      <c r="C460" s="116"/>
      <c r="D460" s="116"/>
      <c r="E460" s="116"/>
      <c r="F460" s="116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  <c r="AB460" s="117"/>
    </row>
    <row r="461">
      <c r="A461" s="114"/>
      <c r="B461" s="117"/>
      <c r="C461" s="116"/>
      <c r="D461" s="116"/>
      <c r="E461" s="116"/>
      <c r="F461" s="116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  <c r="AB461" s="117"/>
    </row>
    <row r="462">
      <c r="A462" s="114"/>
      <c r="B462" s="117"/>
      <c r="C462" s="116"/>
      <c r="D462" s="116"/>
      <c r="E462" s="116"/>
      <c r="F462" s="116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  <c r="AB462" s="117"/>
    </row>
    <row r="463">
      <c r="A463" s="114"/>
      <c r="B463" s="117"/>
      <c r="C463" s="116"/>
      <c r="D463" s="116"/>
      <c r="E463" s="116"/>
      <c r="F463" s="116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  <c r="AB463" s="117"/>
    </row>
    <row r="464">
      <c r="A464" s="114"/>
      <c r="B464" s="117"/>
      <c r="C464" s="116"/>
      <c r="D464" s="116"/>
      <c r="E464" s="116"/>
      <c r="F464" s="116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  <c r="AB464" s="117"/>
    </row>
    <row r="465">
      <c r="A465" s="114"/>
      <c r="B465" s="117"/>
      <c r="C465" s="116"/>
      <c r="D465" s="116"/>
      <c r="E465" s="116"/>
      <c r="F465" s="116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  <c r="AB465" s="117"/>
    </row>
    <row r="466">
      <c r="A466" s="114"/>
      <c r="B466" s="117"/>
      <c r="C466" s="116"/>
      <c r="D466" s="116"/>
      <c r="E466" s="116"/>
      <c r="F466" s="116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  <c r="AB466" s="117"/>
    </row>
    <row r="467">
      <c r="A467" s="114"/>
      <c r="B467" s="117"/>
      <c r="C467" s="116"/>
      <c r="D467" s="116"/>
      <c r="E467" s="116"/>
      <c r="F467" s="116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  <c r="AB467" s="117"/>
    </row>
    <row r="468">
      <c r="A468" s="114"/>
      <c r="B468" s="117"/>
      <c r="C468" s="116"/>
      <c r="D468" s="116"/>
      <c r="E468" s="116"/>
      <c r="F468" s="116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  <c r="AB468" s="117"/>
    </row>
    <row r="469">
      <c r="A469" s="114"/>
      <c r="B469" s="117"/>
      <c r="C469" s="116"/>
      <c r="D469" s="116"/>
      <c r="E469" s="116"/>
      <c r="F469" s="116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  <c r="AB469" s="117"/>
    </row>
    <row r="470">
      <c r="A470" s="114"/>
      <c r="B470" s="117"/>
      <c r="C470" s="116"/>
      <c r="D470" s="116"/>
      <c r="E470" s="116"/>
      <c r="F470" s="116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  <c r="AB470" s="117"/>
    </row>
    <row r="471">
      <c r="A471" s="114"/>
      <c r="B471" s="117"/>
      <c r="C471" s="116"/>
      <c r="D471" s="116"/>
      <c r="E471" s="116"/>
      <c r="F471" s="116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  <c r="AB471" s="117"/>
    </row>
    <row r="472">
      <c r="A472" s="114"/>
      <c r="B472" s="117"/>
      <c r="C472" s="116"/>
      <c r="D472" s="116"/>
      <c r="E472" s="116"/>
      <c r="F472" s="116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  <c r="AB472" s="117"/>
    </row>
    <row r="473">
      <c r="A473" s="114"/>
      <c r="B473" s="117"/>
      <c r="C473" s="116"/>
      <c r="D473" s="116"/>
      <c r="E473" s="116"/>
      <c r="F473" s="116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  <c r="AB473" s="117"/>
    </row>
    <row r="474">
      <c r="A474" s="114"/>
      <c r="B474" s="117"/>
      <c r="C474" s="116"/>
      <c r="D474" s="116"/>
      <c r="E474" s="116"/>
      <c r="F474" s="116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  <c r="AB474" s="117"/>
    </row>
    <row r="475">
      <c r="A475" s="114"/>
      <c r="B475" s="117"/>
      <c r="C475" s="116"/>
      <c r="D475" s="116"/>
      <c r="E475" s="116"/>
      <c r="F475" s="116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  <c r="AB475" s="117"/>
    </row>
    <row r="476">
      <c r="A476" s="114"/>
      <c r="B476" s="117"/>
      <c r="C476" s="116"/>
      <c r="D476" s="116"/>
      <c r="E476" s="116"/>
      <c r="F476" s="116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  <c r="AB476" s="117"/>
    </row>
    <row r="477">
      <c r="A477" s="114"/>
      <c r="B477" s="117"/>
      <c r="C477" s="116"/>
      <c r="D477" s="116"/>
      <c r="E477" s="116"/>
      <c r="F477" s="116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  <c r="AB477" s="117"/>
    </row>
    <row r="478">
      <c r="A478" s="114"/>
      <c r="B478" s="117"/>
      <c r="C478" s="116"/>
      <c r="D478" s="116"/>
      <c r="E478" s="116"/>
      <c r="F478" s="116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  <c r="AB478" s="117"/>
    </row>
    <row r="479">
      <c r="A479" s="114"/>
      <c r="B479" s="117"/>
      <c r="C479" s="116"/>
      <c r="D479" s="116"/>
      <c r="E479" s="116"/>
      <c r="F479" s="116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  <c r="AB479" s="117"/>
    </row>
    <row r="480">
      <c r="A480" s="114"/>
      <c r="B480" s="117"/>
      <c r="C480" s="116"/>
      <c r="D480" s="116"/>
      <c r="E480" s="116"/>
      <c r="F480" s="116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  <c r="AB480" s="117"/>
    </row>
    <row r="481">
      <c r="A481" s="114"/>
      <c r="B481" s="117"/>
      <c r="C481" s="116"/>
      <c r="D481" s="116"/>
      <c r="E481" s="116"/>
      <c r="F481" s="116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  <c r="AB481" s="117"/>
    </row>
    <row r="482">
      <c r="A482" s="114"/>
      <c r="B482" s="117"/>
      <c r="C482" s="116"/>
      <c r="D482" s="116"/>
      <c r="E482" s="116"/>
      <c r="F482" s="116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  <c r="AB482" s="117"/>
    </row>
    <row r="483">
      <c r="A483" s="114"/>
      <c r="B483" s="117"/>
      <c r="C483" s="116"/>
      <c r="D483" s="116"/>
      <c r="E483" s="116"/>
      <c r="F483" s="116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  <c r="AB483" s="117"/>
    </row>
    <row r="484">
      <c r="A484" s="114"/>
      <c r="B484" s="117"/>
      <c r="C484" s="116"/>
      <c r="D484" s="116"/>
      <c r="E484" s="116"/>
      <c r="F484" s="116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  <c r="AB484" s="117"/>
    </row>
    <row r="485">
      <c r="A485" s="114"/>
      <c r="B485" s="117"/>
      <c r="C485" s="116"/>
      <c r="D485" s="116"/>
      <c r="E485" s="116"/>
      <c r="F485" s="116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  <c r="AB485" s="117"/>
    </row>
    <row r="486">
      <c r="A486" s="114"/>
      <c r="B486" s="117"/>
      <c r="C486" s="116"/>
      <c r="D486" s="116"/>
      <c r="E486" s="116"/>
      <c r="F486" s="116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  <c r="AB486" s="117"/>
    </row>
    <row r="487">
      <c r="A487" s="114"/>
      <c r="B487" s="117"/>
      <c r="C487" s="116"/>
      <c r="D487" s="116"/>
      <c r="E487" s="116"/>
      <c r="F487" s="116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  <c r="AB487" s="117"/>
    </row>
    <row r="488">
      <c r="A488" s="114"/>
      <c r="B488" s="117"/>
      <c r="C488" s="116"/>
      <c r="D488" s="116"/>
      <c r="E488" s="116"/>
      <c r="F488" s="116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  <c r="AB488" s="117"/>
    </row>
    <row r="489">
      <c r="A489" s="114"/>
      <c r="B489" s="117"/>
      <c r="C489" s="116"/>
      <c r="D489" s="116"/>
      <c r="E489" s="116"/>
      <c r="F489" s="116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  <c r="AB489" s="117"/>
    </row>
    <row r="490">
      <c r="A490" s="114"/>
      <c r="B490" s="117"/>
      <c r="C490" s="116"/>
      <c r="D490" s="116"/>
      <c r="E490" s="116"/>
      <c r="F490" s="116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  <c r="AB490" s="117"/>
    </row>
    <row r="491">
      <c r="A491" s="114"/>
      <c r="B491" s="117"/>
      <c r="C491" s="116"/>
      <c r="D491" s="116"/>
      <c r="E491" s="116"/>
      <c r="F491" s="116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  <c r="AB491" s="117"/>
    </row>
    <row r="492">
      <c r="A492" s="114"/>
      <c r="B492" s="117"/>
      <c r="C492" s="116"/>
      <c r="D492" s="116"/>
      <c r="E492" s="116"/>
      <c r="F492" s="116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  <c r="AB492" s="117"/>
    </row>
    <row r="493">
      <c r="A493" s="114"/>
      <c r="B493" s="117"/>
      <c r="C493" s="116"/>
      <c r="D493" s="116"/>
      <c r="E493" s="116"/>
      <c r="F493" s="116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  <c r="AB493" s="117"/>
    </row>
    <row r="494">
      <c r="A494" s="114"/>
      <c r="B494" s="117"/>
      <c r="C494" s="116"/>
      <c r="D494" s="116"/>
      <c r="E494" s="116"/>
      <c r="F494" s="116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  <c r="AB494" s="117"/>
    </row>
    <row r="495">
      <c r="A495" s="114"/>
      <c r="B495" s="117"/>
      <c r="C495" s="116"/>
      <c r="D495" s="116"/>
      <c r="E495" s="116"/>
      <c r="F495" s="116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  <c r="AB495" s="117"/>
    </row>
    <row r="496">
      <c r="A496" s="114"/>
      <c r="B496" s="117"/>
      <c r="C496" s="116"/>
      <c r="D496" s="116"/>
      <c r="E496" s="116"/>
      <c r="F496" s="116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  <c r="AB496" s="117"/>
    </row>
    <row r="497">
      <c r="A497" s="114"/>
      <c r="B497" s="117"/>
      <c r="C497" s="116"/>
      <c r="D497" s="116"/>
      <c r="E497" s="116"/>
      <c r="F497" s="116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  <c r="AB497" s="117"/>
    </row>
    <row r="498">
      <c r="A498" s="114"/>
      <c r="B498" s="117"/>
      <c r="C498" s="116"/>
      <c r="D498" s="116"/>
      <c r="E498" s="116"/>
      <c r="F498" s="116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  <c r="AB498" s="117"/>
    </row>
    <row r="499">
      <c r="A499" s="114"/>
      <c r="B499" s="117"/>
      <c r="C499" s="116"/>
      <c r="D499" s="116"/>
      <c r="E499" s="116"/>
      <c r="F499" s="116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  <c r="AB499" s="117"/>
    </row>
    <row r="500">
      <c r="A500" s="114"/>
      <c r="B500" s="117"/>
      <c r="C500" s="116"/>
      <c r="D500" s="116"/>
      <c r="E500" s="116"/>
      <c r="F500" s="116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  <c r="AB500" s="117"/>
    </row>
    <row r="501">
      <c r="A501" s="114"/>
      <c r="B501" s="117"/>
      <c r="C501" s="116"/>
      <c r="D501" s="116"/>
      <c r="E501" s="116"/>
      <c r="F501" s="116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  <c r="AB501" s="117"/>
    </row>
    <row r="502">
      <c r="A502" s="114"/>
      <c r="B502" s="117"/>
      <c r="C502" s="116"/>
      <c r="D502" s="116"/>
      <c r="E502" s="116"/>
      <c r="F502" s="116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  <c r="AB502" s="117"/>
    </row>
    <row r="503">
      <c r="A503" s="114"/>
      <c r="B503" s="117"/>
      <c r="C503" s="116"/>
      <c r="D503" s="116"/>
      <c r="E503" s="116"/>
      <c r="F503" s="116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  <c r="AB503" s="117"/>
    </row>
    <row r="504">
      <c r="A504" s="114"/>
      <c r="B504" s="117"/>
      <c r="C504" s="116"/>
      <c r="D504" s="116"/>
      <c r="E504" s="116"/>
      <c r="F504" s="116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  <c r="AB504" s="117"/>
    </row>
    <row r="505">
      <c r="A505" s="114"/>
      <c r="B505" s="117"/>
      <c r="C505" s="116"/>
      <c r="D505" s="116"/>
      <c r="E505" s="116"/>
      <c r="F505" s="116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  <c r="AB505" s="117"/>
    </row>
    <row r="506">
      <c r="A506" s="114"/>
      <c r="B506" s="117"/>
      <c r="C506" s="116"/>
      <c r="D506" s="116"/>
      <c r="E506" s="116"/>
      <c r="F506" s="116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  <c r="AB506" s="117"/>
    </row>
    <row r="507">
      <c r="A507" s="114"/>
      <c r="B507" s="117"/>
      <c r="C507" s="116"/>
      <c r="D507" s="116"/>
      <c r="E507" s="116"/>
      <c r="F507" s="116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  <c r="AB507" s="117"/>
    </row>
    <row r="508">
      <c r="A508" s="114"/>
      <c r="B508" s="117"/>
      <c r="C508" s="116"/>
      <c r="D508" s="116"/>
      <c r="E508" s="116"/>
      <c r="F508" s="116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  <c r="AB508" s="117"/>
    </row>
    <row r="509">
      <c r="A509" s="114"/>
      <c r="B509" s="117"/>
      <c r="C509" s="116"/>
      <c r="D509" s="116"/>
      <c r="E509" s="116"/>
      <c r="F509" s="116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  <c r="AB509" s="117"/>
    </row>
    <row r="510">
      <c r="A510" s="114"/>
      <c r="B510" s="117"/>
      <c r="C510" s="116"/>
      <c r="D510" s="116"/>
      <c r="E510" s="116"/>
      <c r="F510" s="116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  <c r="AB510" s="117"/>
    </row>
    <row r="511">
      <c r="A511" s="114"/>
      <c r="B511" s="117"/>
      <c r="C511" s="116"/>
      <c r="D511" s="116"/>
      <c r="E511" s="116"/>
      <c r="F511" s="116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  <c r="AB511" s="117"/>
    </row>
    <row r="512">
      <c r="A512" s="114"/>
      <c r="B512" s="117"/>
      <c r="C512" s="116"/>
      <c r="D512" s="116"/>
      <c r="E512" s="116"/>
      <c r="F512" s="116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  <c r="AB512" s="117"/>
    </row>
    <row r="513">
      <c r="A513" s="114"/>
      <c r="B513" s="117"/>
      <c r="C513" s="116"/>
      <c r="D513" s="116"/>
      <c r="E513" s="116"/>
      <c r="F513" s="116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  <c r="AB513" s="117"/>
    </row>
    <row r="514">
      <c r="A514" s="114"/>
      <c r="B514" s="117"/>
      <c r="C514" s="116"/>
      <c r="D514" s="116"/>
      <c r="E514" s="116"/>
      <c r="F514" s="116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  <c r="AB514" s="117"/>
    </row>
    <row r="515">
      <c r="A515" s="114"/>
      <c r="B515" s="117"/>
      <c r="C515" s="116"/>
      <c r="D515" s="116"/>
      <c r="E515" s="116"/>
      <c r="F515" s="116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  <c r="AB515" s="117"/>
    </row>
    <row r="516">
      <c r="A516" s="114"/>
      <c r="B516" s="117"/>
      <c r="C516" s="116"/>
      <c r="D516" s="116"/>
      <c r="E516" s="116"/>
      <c r="F516" s="116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  <c r="AB516" s="117"/>
    </row>
    <row r="517">
      <c r="A517" s="114"/>
      <c r="B517" s="117"/>
      <c r="C517" s="116"/>
      <c r="D517" s="116"/>
      <c r="E517" s="116"/>
      <c r="F517" s="116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  <c r="AB517" s="117"/>
    </row>
    <row r="518">
      <c r="A518" s="114"/>
      <c r="B518" s="117"/>
      <c r="C518" s="116"/>
      <c r="D518" s="116"/>
      <c r="E518" s="116"/>
      <c r="F518" s="116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  <c r="AB518" s="117"/>
    </row>
    <row r="519">
      <c r="A519" s="114"/>
      <c r="B519" s="117"/>
      <c r="C519" s="116"/>
      <c r="D519" s="116"/>
      <c r="E519" s="116"/>
      <c r="F519" s="116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  <c r="AB519" s="117"/>
    </row>
    <row r="520">
      <c r="A520" s="114"/>
      <c r="B520" s="117"/>
      <c r="C520" s="116"/>
      <c r="D520" s="116"/>
      <c r="E520" s="116"/>
      <c r="F520" s="116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  <c r="AB520" s="117"/>
    </row>
    <row r="521">
      <c r="A521" s="114"/>
      <c r="B521" s="117"/>
      <c r="C521" s="116"/>
      <c r="D521" s="116"/>
      <c r="E521" s="116"/>
      <c r="F521" s="116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  <c r="AB521" s="117"/>
    </row>
    <row r="522">
      <c r="A522" s="114"/>
      <c r="B522" s="117"/>
      <c r="C522" s="116"/>
      <c r="D522" s="116"/>
      <c r="E522" s="116"/>
      <c r="F522" s="116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  <c r="AB522" s="117"/>
    </row>
    <row r="523">
      <c r="A523" s="114"/>
      <c r="B523" s="117"/>
      <c r="C523" s="116"/>
      <c r="D523" s="116"/>
      <c r="E523" s="116"/>
      <c r="F523" s="116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  <c r="AB523" s="117"/>
    </row>
    <row r="524">
      <c r="A524" s="114"/>
      <c r="B524" s="117"/>
      <c r="C524" s="116"/>
      <c r="D524" s="116"/>
      <c r="E524" s="116"/>
      <c r="F524" s="116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  <c r="AB524" s="117"/>
    </row>
    <row r="525">
      <c r="A525" s="114"/>
      <c r="B525" s="117"/>
      <c r="C525" s="116"/>
      <c r="D525" s="116"/>
      <c r="E525" s="116"/>
      <c r="F525" s="116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  <c r="AB525" s="117"/>
    </row>
    <row r="526">
      <c r="A526" s="114"/>
      <c r="B526" s="117"/>
      <c r="C526" s="116"/>
      <c r="D526" s="116"/>
      <c r="E526" s="116"/>
      <c r="F526" s="116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  <c r="AB526" s="117"/>
    </row>
    <row r="527">
      <c r="A527" s="114"/>
      <c r="B527" s="117"/>
      <c r="C527" s="116"/>
      <c r="D527" s="116"/>
      <c r="E527" s="116"/>
      <c r="F527" s="116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  <c r="AB527" s="117"/>
    </row>
    <row r="528">
      <c r="A528" s="114"/>
      <c r="B528" s="117"/>
      <c r="C528" s="116"/>
      <c r="D528" s="116"/>
      <c r="E528" s="116"/>
      <c r="F528" s="116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  <c r="AB528" s="117"/>
    </row>
    <row r="529">
      <c r="A529" s="114"/>
      <c r="B529" s="117"/>
      <c r="C529" s="116"/>
      <c r="D529" s="116"/>
      <c r="E529" s="116"/>
      <c r="F529" s="116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  <c r="AB529" s="117"/>
    </row>
    <row r="530">
      <c r="A530" s="114"/>
      <c r="B530" s="117"/>
      <c r="C530" s="116"/>
      <c r="D530" s="116"/>
      <c r="E530" s="116"/>
      <c r="F530" s="116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  <c r="AB530" s="117"/>
    </row>
    <row r="531">
      <c r="A531" s="114"/>
      <c r="B531" s="117"/>
      <c r="C531" s="116"/>
      <c r="D531" s="116"/>
      <c r="E531" s="116"/>
      <c r="F531" s="116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  <c r="AB531" s="117"/>
    </row>
    <row r="532">
      <c r="A532" s="114"/>
      <c r="B532" s="117"/>
      <c r="C532" s="116"/>
      <c r="D532" s="116"/>
      <c r="E532" s="116"/>
      <c r="F532" s="116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  <c r="AB532" s="117"/>
    </row>
    <row r="533">
      <c r="A533" s="114"/>
      <c r="B533" s="117"/>
      <c r="C533" s="116"/>
      <c r="D533" s="116"/>
      <c r="E533" s="116"/>
      <c r="F533" s="116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  <c r="AB533" s="117"/>
    </row>
    <row r="534">
      <c r="A534" s="114"/>
      <c r="B534" s="117"/>
      <c r="C534" s="116"/>
      <c r="D534" s="116"/>
      <c r="E534" s="116"/>
      <c r="F534" s="116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  <c r="AB534" s="117"/>
    </row>
    <row r="535">
      <c r="A535" s="114"/>
      <c r="B535" s="117"/>
      <c r="C535" s="116"/>
      <c r="D535" s="116"/>
      <c r="E535" s="116"/>
      <c r="F535" s="116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  <c r="AB535" s="117"/>
    </row>
    <row r="536">
      <c r="A536" s="114"/>
      <c r="B536" s="117"/>
      <c r="C536" s="116"/>
      <c r="D536" s="116"/>
      <c r="E536" s="116"/>
      <c r="F536" s="116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  <c r="AB536" s="117"/>
    </row>
    <row r="537">
      <c r="A537" s="114"/>
      <c r="B537" s="117"/>
      <c r="C537" s="116"/>
      <c r="D537" s="116"/>
      <c r="E537" s="116"/>
      <c r="F537" s="116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  <c r="AB537" s="117"/>
    </row>
    <row r="538">
      <c r="A538" s="114"/>
      <c r="B538" s="117"/>
      <c r="C538" s="116"/>
      <c r="D538" s="116"/>
      <c r="E538" s="116"/>
      <c r="F538" s="116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  <c r="AB538" s="117"/>
    </row>
    <row r="539">
      <c r="A539" s="114"/>
      <c r="B539" s="117"/>
      <c r="C539" s="116"/>
      <c r="D539" s="116"/>
      <c r="E539" s="116"/>
      <c r="F539" s="116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  <c r="AB539" s="117"/>
    </row>
    <row r="540">
      <c r="A540" s="114"/>
      <c r="B540" s="117"/>
      <c r="C540" s="116"/>
      <c r="D540" s="116"/>
      <c r="E540" s="116"/>
      <c r="F540" s="116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  <c r="AB540" s="117"/>
    </row>
    <row r="541">
      <c r="A541" s="114"/>
      <c r="B541" s="117"/>
      <c r="C541" s="116"/>
      <c r="D541" s="116"/>
      <c r="E541" s="116"/>
      <c r="F541" s="116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  <c r="AB541" s="117"/>
    </row>
    <row r="542">
      <c r="A542" s="114"/>
      <c r="B542" s="117"/>
      <c r="C542" s="116"/>
      <c r="D542" s="116"/>
      <c r="E542" s="116"/>
      <c r="F542" s="116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  <c r="AB542" s="117"/>
    </row>
    <row r="543">
      <c r="A543" s="114"/>
      <c r="B543" s="117"/>
      <c r="C543" s="116"/>
      <c r="D543" s="116"/>
      <c r="E543" s="116"/>
      <c r="F543" s="116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  <c r="AB543" s="117"/>
    </row>
    <row r="544">
      <c r="A544" s="114"/>
      <c r="B544" s="117"/>
      <c r="C544" s="116"/>
      <c r="D544" s="116"/>
      <c r="E544" s="116"/>
      <c r="F544" s="116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  <c r="AB544" s="117"/>
    </row>
    <row r="545">
      <c r="A545" s="114"/>
      <c r="B545" s="117"/>
      <c r="C545" s="116"/>
      <c r="D545" s="116"/>
      <c r="E545" s="116"/>
      <c r="F545" s="116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  <c r="AB545" s="117"/>
    </row>
    <row r="546">
      <c r="A546" s="114"/>
      <c r="B546" s="117"/>
      <c r="C546" s="116"/>
      <c r="D546" s="116"/>
      <c r="E546" s="116"/>
      <c r="F546" s="116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  <c r="AB546" s="117"/>
    </row>
    <row r="547">
      <c r="A547" s="114"/>
      <c r="B547" s="117"/>
      <c r="C547" s="116"/>
      <c r="D547" s="116"/>
      <c r="E547" s="116"/>
      <c r="F547" s="116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  <c r="AB547" s="117"/>
    </row>
    <row r="548">
      <c r="A548" s="114"/>
      <c r="B548" s="117"/>
      <c r="C548" s="116"/>
      <c r="D548" s="116"/>
      <c r="E548" s="116"/>
      <c r="F548" s="116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  <c r="AB548" s="117"/>
    </row>
    <row r="549">
      <c r="A549" s="114"/>
      <c r="B549" s="117"/>
      <c r="C549" s="116"/>
      <c r="D549" s="116"/>
      <c r="E549" s="116"/>
      <c r="F549" s="116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  <c r="AB549" s="117"/>
    </row>
    <row r="550">
      <c r="A550" s="114"/>
      <c r="B550" s="117"/>
      <c r="C550" s="116"/>
      <c r="D550" s="116"/>
      <c r="E550" s="116"/>
      <c r="F550" s="116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  <c r="AB550" s="117"/>
    </row>
    <row r="551">
      <c r="A551" s="114"/>
      <c r="B551" s="117"/>
      <c r="C551" s="116"/>
      <c r="D551" s="116"/>
      <c r="E551" s="116"/>
      <c r="F551" s="116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  <c r="AB551" s="117"/>
    </row>
    <row r="552">
      <c r="A552" s="114"/>
      <c r="B552" s="117"/>
      <c r="C552" s="116"/>
      <c r="D552" s="116"/>
      <c r="E552" s="116"/>
      <c r="F552" s="116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  <c r="AB552" s="117"/>
    </row>
    <row r="553">
      <c r="A553" s="114"/>
      <c r="B553" s="117"/>
      <c r="C553" s="116"/>
      <c r="D553" s="116"/>
      <c r="E553" s="116"/>
      <c r="F553" s="116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  <c r="AB553" s="117"/>
    </row>
    <row r="554">
      <c r="A554" s="114"/>
      <c r="B554" s="117"/>
      <c r="C554" s="116"/>
      <c r="D554" s="116"/>
      <c r="E554" s="116"/>
      <c r="F554" s="116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  <c r="AB554" s="117"/>
    </row>
    <row r="555">
      <c r="A555" s="114"/>
      <c r="B555" s="117"/>
      <c r="C555" s="116"/>
      <c r="D555" s="116"/>
      <c r="E555" s="116"/>
      <c r="F555" s="116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  <c r="AB555" s="117"/>
    </row>
    <row r="556">
      <c r="A556" s="114"/>
      <c r="B556" s="117"/>
      <c r="C556" s="116"/>
      <c r="D556" s="116"/>
      <c r="E556" s="116"/>
      <c r="F556" s="116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  <c r="AB556" s="117"/>
    </row>
    <row r="557">
      <c r="A557" s="114"/>
      <c r="B557" s="117"/>
      <c r="C557" s="116"/>
      <c r="D557" s="116"/>
      <c r="E557" s="116"/>
      <c r="F557" s="116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  <c r="AB557" s="117"/>
    </row>
    <row r="558">
      <c r="A558" s="114"/>
      <c r="B558" s="117"/>
      <c r="C558" s="116"/>
      <c r="D558" s="116"/>
      <c r="E558" s="116"/>
      <c r="F558" s="116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  <c r="AB558" s="117"/>
    </row>
    <row r="559">
      <c r="A559" s="114"/>
      <c r="B559" s="117"/>
      <c r="C559" s="116"/>
      <c r="D559" s="116"/>
      <c r="E559" s="116"/>
      <c r="F559" s="116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  <c r="AB559" s="117"/>
    </row>
    <row r="560">
      <c r="A560" s="114"/>
      <c r="B560" s="117"/>
      <c r="C560" s="116"/>
      <c r="D560" s="116"/>
      <c r="E560" s="116"/>
      <c r="F560" s="116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  <c r="AB560" s="117"/>
    </row>
    <row r="561">
      <c r="A561" s="114"/>
      <c r="B561" s="117"/>
      <c r="C561" s="116"/>
      <c r="D561" s="116"/>
      <c r="E561" s="116"/>
      <c r="F561" s="116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  <c r="AB561" s="117"/>
    </row>
    <row r="562">
      <c r="A562" s="114"/>
      <c r="B562" s="117"/>
      <c r="C562" s="116"/>
      <c r="D562" s="116"/>
      <c r="E562" s="116"/>
      <c r="F562" s="116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  <c r="AB562" s="117"/>
    </row>
    <row r="563">
      <c r="A563" s="114"/>
      <c r="B563" s="117"/>
      <c r="C563" s="116"/>
      <c r="D563" s="116"/>
      <c r="E563" s="116"/>
      <c r="F563" s="116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  <c r="AB563" s="117"/>
    </row>
    <row r="564">
      <c r="A564" s="114"/>
      <c r="B564" s="117"/>
      <c r="C564" s="116"/>
      <c r="D564" s="116"/>
      <c r="E564" s="116"/>
      <c r="F564" s="116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  <c r="AB564" s="117"/>
    </row>
    <row r="565">
      <c r="A565" s="114"/>
      <c r="B565" s="117"/>
      <c r="C565" s="116"/>
      <c r="D565" s="116"/>
      <c r="E565" s="116"/>
      <c r="F565" s="116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  <c r="AB565" s="117"/>
    </row>
    <row r="566">
      <c r="A566" s="114"/>
      <c r="B566" s="117"/>
      <c r="C566" s="116"/>
      <c r="D566" s="116"/>
      <c r="E566" s="116"/>
      <c r="F566" s="116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  <c r="AB566" s="117"/>
    </row>
    <row r="567">
      <c r="A567" s="114"/>
      <c r="B567" s="117"/>
      <c r="C567" s="116"/>
      <c r="D567" s="116"/>
      <c r="E567" s="116"/>
      <c r="F567" s="116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  <c r="AB567" s="117"/>
    </row>
    <row r="568">
      <c r="A568" s="114"/>
      <c r="B568" s="117"/>
      <c r="C568" s="116"/>
      <c r="D568" s="116"/>
      <c r="E568" s="116"/>
      <c r="F568" s="116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  <c r="AB568" s="117"/>
    </row>
    <row r="569">
      <c r="A569" s="114"/>
      <c r="B569" s="117"/>
      <c r="C569" s="116"/>
      <c r="D569" s="116"/>
      <c r="E569" s="116"/>
      <c r="F569" s="116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  <c r="AB569" s="117"/>
    </row>
    <row r="570">
      <c r="A570" s="114"/>
      <c r="B570" s="117"/>
      <c r="C570" s="116"/>
      <c r="D570" s="116"/>
      <c r="E570" s="116"/>
      <c r="F570" s="116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  <c r="AB570" s="117"/>
    </row>
    <row r="571">
      <c r="A571" s="114"/>
      <c r="B571" s="117"/>
      <c r="C571" s="116"/>
      <c r="D571" s="116"/>
      <c r="E571" s="116"/>
      <c r="F571" s="116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  <c r="AB571" s="117"/>
    </row>
    <row r="572">
      <c r="A572" s="114"/>
      <c r="B572" s="117"/>
      <c r="C572" s="116"/>
      <c r="D572" s="116"/>
      <c r="E572" s="116"/>
      <c r="F572" s="116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  <c r="AB572" s="117"/>
    </row>
    <row r="573">
      <c r="A573" s="114"/>
      <c r="B573" s="117"/>
      <c r="C573" s="116"/>
      <c r="D573" s="116"/>
      <c r="E573" s="116"/>
      <c r="F573" s="116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  <c r="AB573" s="117"/>
    </row>
    <row r="574">
      <c r="A574" s="114"/>
      <c r="B574" s="117"/>
      <c r="C574" s="116"/>
      <c r="D574" s="116"/>
      <c r="E574" s="116"/>
      <c r="F574" s="116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  <c r="AB574" s="117"/>
    </row>
    <row r="575">
      <c r="A575" s="114"/>
      <c r="B575" s="117"/>
      <c r="C575" s="116"/>
      <c r="D575" s="116"/>
      <c r="E575" s="116"/>
      <c r="F575" s="116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  <c r="AA575" s="117"/>
      <c r="AB575" s="117"/>
    </row>
    <row r="576">
      <c r="A576" s="114"/>
      <c r="B576" s="117"/>
      <c r="C576" s="116"/>
      <c r="D576" s="116"/>
      <c r="E576" s="116"/>
      <c r="F576" s="116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  <c r="AA576" s="117"/>
      <c r="AB576" s="117"/>
    </row>
    <row r="577">
      <c r="A577" s="114"/>
      <c r="B577" s="117"/>
      <c r="C577" s="116"/>
      <c r="D577" s="116"/>
      <c r="E577" s="116"/>
      <c r="F577" s="116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  <c r="AA577" s="117"/>
      <c r="AB577" s="117"/>
    </row>
    <row r="578">
      <c r="A578" s="114"/>
      <c r="B578" s="117"/>
      <c r="C578" s="116"/>
      <c r="D578" s="116"/>
      <c r="E578" s="116"/>
      <c r="F578" s="116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  <c r="AA578" s="117"/>
      <c r="AB578" s="117"/>
    </row>
    <row r="579">
      <c r="A579" s="114"/>
      <c r="B579" s="117"/>
      <c r="C579" s="116"/>
      <c r="D579" s="116"/>
      <c r="E579" s="116"/>
      <c r="F579" s="116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  <c r="AA579" s="117"/>
      <c r="AB579" s="117"/>
    </row>
    <row r="580">
      <c r="A580" s="114"/>
      <c r="B580" s="117"/>
      <c r="C580" s="116"/>
      <c r="D580" s="116"/>
      <c r="E580" s="116"/>
      <c r="F580" s="116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  <c r="AA580" s="117"/>
      <c r="AB580" s="117"/>
    </row>
    <row r="581">
      <c r="A581" s="114"/>
      <c r="B581" s="117"/>
      <c r="C581" s="116"/>
      <c r="D581" s="116"/>
      <c r="E581" s="116"/>
      <c r="F581" s="116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  <c r="AA581" s="117"/>
      <c r="AB581" s="117"/>
    </row>
    <row r="582">
      <c r="A582" s="114"/>
      <c r="B582" s="117"/>
      <c r="C582" s="116"/>
      <c r="D582" s="116"/>
      <c r="E582" s="116"/>
      <c r="F582" s="116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  <c r="AA582" s="117"/>
      <c r="AB582" s="117"/>
    </row>
    <row r="583">
      <c r="A583" s="114"/>
      <c r="B583" s="117"/>
      <c r="C583" s="116"/>
      <c r="D583" s="116"/>
      <c r="E583" s="116"/>
      <c r="F583" s="116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  <c r="AA583" s="117"/>
      <c r="AB583" s="117"/>
    </row>
    <row r="584">
      <c r="A584" s="114"/>
      <c r="B584" s="117"/>
      <c r="C584" s="116"/>
      <c r="D584" s="116"/>
      <c r="E584" s="116"/>
      <c r="F584" s="116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  <c r="AA584" s="117"/>
      <c r="AB584" s="117"/>
    </row>
    <row r="585">
      <c r="A585" s="114"/>
      <c r="B585" s="117"/>
      <c r="C585" s="116"/>
      <c r="D585" s="116"/>
      <c r="E585" s="116"/>
      <c r="F585" s="116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  <c r="AA585" s="117"/>
      <c r="AB585" s="117"/>
    </row>
    <row r="586">
      <c r="A586" s="114"/>
      <c r="B586" s="117"/>
      <c r="C586" s="116"/>
      <c r="D586" s="116"/>
      <c r="E586" s="116"/>
      <c r="F586" s="116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  <c r="AA586" s="117"/>
      <c r="AB586" s="117"/>
    </row>
    <row r="587">
      <c r="A587" s="114"/>
      <c r="B587" s="117"/>
      <c r="C587" s="116"/>
      <c r="D587" s="116"/>
      <c r="E587" s="116"/>
      <c r="F587" s="116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  <c r="AA587" s="117"/>
      <c r="AB587" s="117"/>
    </row>
    <row r="588">
      <c r="A588" s="114"/>
      <c r="B588" s="117"/>
      <c r="C588" s="116"/>
      <c r="D588" s="116"/>
      <c r="E588" s="116"/>
      <c r="F588" s="116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  <c r="AA588" s="117"/>
      <c r="AB588" s="117"/>
    </row>
    <row r="589">
      <c r="A589" s="114"/>
      <c r="B589" s="117"/>
      <c r="C589" s="116"/>
      <c r="D589" s="116"/>
      <c r="E589" s="116"/>
      <c r="F589" s="116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  <c r="AA589" s="117"/>
      <c r="AB589" s="117"/>
    </row>
    <row r="590">
      <c r="A590" s="114"/>
      <c r="B590" s="117"/>
      <c r="C590" s="116"/>
      <c r="D590" s="116"/>
      <c r="E590" s="116"/>
      <c r="F590" s="116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  <c r="AA590" s="117"/>
      <c r="AB590" s="117"/>
    </row>
    <row r="591">
      <c r="A591" s="114"/>
      <c r="B591" s="117"/>
      <c r="C591" s="116"/>
      <c r="D591" s="116"/>
      <c r="E591" s="116"/>
      <c r="F591" s="116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  <c r="AA591" s="117"/>
      <c r="AB591" s="117"/>
    </row>
    <row r="592">
      <c r="A592" s="114"/>
      <c r="B592" s="117"/>
      <c r="C592" s="116"/>
      <c r="D592" s="116"/>
      <c r="E592" s="116"/>
      <c r="F592" s="116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117"/>
      <c r="AB592" s="117"/>
    </row>
    <row r="593">
      <c r="A593" s="114"/>
      <c r="B593" s="117"/>
      <c r="C593" s="116"/>
      <c r="D593" s="116"/>
      <c r="E593" s="116"/>
      <c r="F593" s="116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  <c r="AA593" s="117"/>
      <c r="AB593" s="117"/>
    </row>
    <row r="594">
      <c r="A594" s="114"/>
      <c r="B594" s="117"/>
      <c r="C594" s="116"/>
      <c r="D594" s="116"/>
      <c r="E594" s="116"/>
      <c r="F594" s="116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  <c r="AA594" s="117"/>
      <c r="AB594" s="117"/>
    </row>
    <row r="595">
      <c r="A595" s="114"/>
      <c r="B595" s="117"/>
      <c r="C595" s="116"/>
      <c r="D595" s="116"/>
      <c r="E595" s="116"/>
      <c r="F595" s="116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  <c r="AA595" s="117"/>
      <c r="AB595" s="117"/>
    </row>
    <row r="596">
      <c r="A596" s="114"/>
      <c r="B596" s="117"/>
      <c r="C596" s="116"/>
      <c r="D596" s="116"/>
      <c r="E596" s="116"/>
      <c r="F596" s="116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  <c r="AA596" s="117"/>
      <c r="AB596" s="117"/>
    </row>
    <row r="597">
      <c r="A597" s="114"/>
      <c r="B597" s="117"/>
      <c r="C597" s="116"/>
      <c r="D597" s="116"/>
      <c r="E597" s="116"/>
      <c r="F597" s="116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  <c r="AA597" s="117"/>
      <c r="AB597" s="117"/>
    </row>
    <row r="598">
      <c r="A598" s="114"/>
      <c r="B598" s="117"/>
      <c r="C598" s="116"/>
      <c r="D598" s="116"/>
      <c r="E598" s="116"/>
      <c r="F598" s="116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  <c r="AA598" s="117"/>
      <c r="AB598" s="117"/>
    </row>
    <row r="599">
      <c r="A599" s="114"/>
      <c r="B599" s="117"/>
      <c r="C599" s="116"/>
      <c r="D599" s="116"/>
      <c r="E599" s="116"/>
      <c r="F599" s="116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  <c r="AA599" s="117"/>
      <c r="AB599" s="117"/>
    </row>
    <row r="600">
      <c r="A600" s="114"/>
      <c r="B600" s="117"/>
      <c r="C600" s="116"/>
      <c r="D600" s="116"/>
      <c r="E600" s="116"/>
      <c r="F600" s="116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  <c r="AA600" s="117"/>
      <c r="AB600" s="117"/>
    </row>
    <row r="601">
      <c r="A601" s="114"/>
      <c r="B601" s="117"/>
      <c r="C601" s="116"/>
      <c r="D601" s="116"/>
      <c r="E601" s="116"/>
      <c r="F601" s="116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  <c r="AA601" s="117"/>
      <c r="AB601" s="117"/>
    </row>
    <row r="602">
      <c r="A602" s="114"/>
      <c r="B602" s="117"/>
      <c r="C602" s="116"/>
      <c r="D602" s="116"/>
      <c r="E602" s="116"/>
      <c r="F602" s="116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  <c r="AA602" s="117"/>
      <c r="AB602" s="117"/>
    </row>
    <row r="603">
      <c r="A603" s="114"/>
      <c r="B603" s="117"/>
      <c r="C603" s="116"/>
      <c r="D603" s="116"/>
      <c r="E603" s="116"/>
      <c r="F603" s="116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  <c r="AA603" s="117"/>
      <c r="AB603" s="117"/>
    </row>
    <row r="604">
      <c r="A604" s="114"/>
      <c r="B604" s="117"/>
      <c r="C604" s="116"/>
      <c r="D604" s="116"/>
      <c r="E604" s="116"/>
      <c r="F604" s="116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  <c r="AA604" s="117"/>
      <c r="AB604" s="117"/>
    </row>
    <row r="605">
      <c r="A605" s="114"/>
      <c r="B605" s="117"/>
      <c r="C605" s="116"/>
      <c r="D605" s="116"/>
      <c r="E605" s="116"/>
      <c r="F605" s="116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  <c r="AA605" s="117"/>
      <c r="AB605" s="117"/>
    </row>
    <row r="606">
      <c r="A606" s="114"/>
      <c r="B606" s="117"/>
      <c r="C606" s="116"/>
      <c r="D606" s="116"/>
      <c r="E606" s="116"/>
      <c r="F606" s="116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  <c r="AA606" s="117"/>
      <c r="AB606" s="117"/>
    </row>
    <row r="607">
      <c r="A607" s="114"/>
      <c r="B607" s="117"/>
      <c r="C607" s="116"/>
      <c r="D607" s="116"/>
      <c r="E607" s="116"/>
      <c r="F607" s="116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  <c r="AA607" s="117"/>
      <c r="AB607" s="117"/>
    </row>
    <row r="608">
      <c r="A608" s="114"/>
      <c r="B608" s="117"/>
      <c r="C608" s="116"/>
      <c r="D608" s="116"/>
      <c r="E608" s="116"/>
      <c r="F608" s="116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  <c r="AA608" s="117"/>
      <c r="AB608" s="117"/>
    </row>
    <row r="609">
      <c r="A609" s="114"/>
      <c r="B609" s="117"/>
      <c r="C609" s="116"/>
      <c r="D609" s="116"/>
      <c r="E609" s="116"/>
      <c r="F609" s="116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  <c r="AA609" s="117"/>
      <c r="AB609" s="117"/>
    </row>
    <row r="610">
      <c r="A610" s="114"/>
      <c r="B610" s="117"/>
      <c r="C610" s="116"/>
      <c r="D610" s="116"/>
      <c r="E610" s="116"/>
      <c r="F610" s="116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  <c r="AA610" s="117"/>
      <c r="AB610" s="117"/>
    </row>
    <row r="611">
      <c r="A611" s="114"/>
      <c r="B611" s="117"/>
      <c r="C611" s="116"/>
      <c r="D611" s="116"/>
      <c r="E611" s="116"/>
      <c r="F611" s="116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  <c r="AA611" s="117"/>
      <c r="AB611" s="117"/>
    </row>
    <row r="612">
      <c r="A612" s="114"/>
      <c r="B612" s="117"/>
      <c r="C612" s="116"/>
      <c r="D612" s="116"/>
      <c r="E612" s="116"/>
      <c r="F612" s="116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  <c r="AA612" s="117"/>
      <c r="AB612" s="117"/>
    </row>
    <row r="613">
      <c r="A613" s="114"/>
      <c r="B613" s="117"/>
      <c r="C613" s="116"/>
      <c r="D613" s="116"/>
      <c r="E613" s="116"/>
      <c r="F613" s="116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  <c r="AA613" s="117"/>
      <c r="AB613" s="117"/>
    </row>
    <row r="614">
      <c r="A614" s="114"/>
      <c r="B614" s="117"/>
      <c r="C614" s="116"/>
      <c r="D614" s="116"/>
      <c r="E614" s="116"/>
      <c r="F614" s="116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  <c r="AA614" s="117"/>
      <c r="AB614" s="117"/>
    </row>
    <row r="615">
      <c r="A615" s="114"/>
      <c r="B615" s="117"/>
      <c r="C615" s="116"/>
      <c r="D615" s="116"/>
      <c r="E615" s="116"/>
      <c r="F615" s="116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  <c r="AA615" s="117"/>
      <c r="AB615" s="117"/>
    </row>
    <row r="616">
      <c r="A616" s="114"/>
      <c r="B616" s="117"/>
      <c r="C616" s="116"/>
      <c r="D616" s="116"/>
      <c r="E616" s="116"/>
      <c r="F616" s="116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  <c r="AA616" s="117"/>
      <c r="AB616" s="117"/>
    </row>
    <row r="617">
      <c r="A617" s="114"/>
      <c r="B617" s="117"/>
      <c r="C617" s="116"/>
      <c r="D617" s="116"/>
      <c r="E617" s="116"/>
      <c r="F617" s="116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  <c r="AA617" s="117"/>
      <c r="AB617" s="117"/>
    </row>
    <row r="618">
      <c r="A618" s="114"/>
      <c r="B618" s="117"/>
      <c r="C618" s="116"/>
      <c r="D618" s="116"/>
      <c r="E618" s="116"/>
      <c r="F618" s="116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  <c r="AA618" s="117"/>
      <c r="AB618" s="117"/>
    </row>
    <row r="619">
      <c r="A619" s="114"/>
      <c r="B619" s="117"/>
      <c r="C619" s="116"/>
      <c r="D619" s="116"/>
      <c r="E619" s="116"/>
      <c r="F619" s="116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  <c r="AA619" s="117"/>
      <c r="AB619" s="117"/>
    </row>
    <row r="620">
      <c r="A620" s="114"/>
      <c r="B620" s="117"/>
      <c r="C620" s="116"/>
      <c r="D620" s="116"/>
      <c r="E620" s="116"/>
      <c r="F620" s="116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  <c r="AA620" s="117"/>
      <c r="AB620" s="117"/>
    </row>
    <row r="621">
      <c r="A621" s="114"/>
      <c r="B621" s="117"/>
      <c r="C621" s="116"/>
      <c r="D621" s="116"/>
      <c r="E621" s="116"/>
      <c r="F621" s="116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  <c r="AA621" s="117"/>
      <c r="AB621" s="117"/>
    </row>
    <row r="622">
      <c r="A622" s="114"/>
      <c r="B622" s="117"/>
      <c r="C622" s="116"/>
      <c r="D622" s="116"/>
      <c r="E622" s="116"/>
      <c r="F622" s="116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  <c r="AA622" s="117"/>
      <c r="AB622" s="117"/>
    </row>
    <row r="623">
      <c r="A623" s="114"/>
      <c r="B623" s="117"/>
      <c r="C623" s="116"/>
      <c r="D623" s="116"/>
      <c r="E623" s="116"/>
      <c r="F623" s="116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  <c r="AA623" s="117"/>
      <c r="AB623" s="117"/>
    </row>
    <row r="624">
      <c r="A624" s="114"/>
      <c r="B624" s="117"/>
      <c r="C624" s="116"/>
      <c r="D624" s="116"/>
      <c r="E624" s="116"/>
      <c r="F624" s="116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  <c r="AA624" s="117"/>
      <c r="AB624" s="117"/>
    </row>
    <row r="625">
      <c r="A625" s="114"/>
      <c r="B625" s="117"/>
      <c r="C625" s="116"/>
      <c r="D625" s="116"/>
      <c r="E625" s="116"/>
      <c r="F625" s="116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  <c r="AA625" s="117"/>
      <c r="AB625" s="117"/>
    </row>
    <row r="626">
      <c r="A626" s="114"/>
      <c r="B626" s="117"/>
      <c r="C626" s="116"/>
      <c r="D626" s="116"/>
      <c r="E626" s="116"/>
      <c r="F626" s="116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  <c r="AA626" s="117"/>
      <c r="AB626" s="117"/>
    </row>
    <row r="627">
      <c r="A627" s="114"/>
      <c r="B627" s="117"/>
      <c r="C627" s="116"/>
      <c r="D627" s="116"/>
      <c r="E627" s="116"/>
      <c r="F627" s="116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  <c r="AA627" s="117"/>
      <c r="AB627" s="117"/>
    </row>
    <row r="628">
      <c r="A628" s="114"/>
      <c r="B628" s="117"/>
      <c r="C628" s="116"/>
      <c r="D628" s="116"/>
      <c r="E628" s="116"/>
      <c r="F628" s="116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  <c r="AA628" s="117"/>
      <c r="AB628" s="117"/>
    </row>
    <row r="629">
      <c r="A629" s="114"/>
      <c r="B629" s="117"/>
      <c r="C629" s="116"/>
      <c r="D629" s="116"/>
      <c r="E629" s="116"/>
      <c r="F629" s="116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  <c r="AA629" s="117"/>
      <c r="AB629" s="117"/>
    </row>
    <row r="630">
      <c r="A630" s="114"/>
      <c r="B630" s="117"/>
      <c r="C630" s="116"/>
      <c r="D630" s="116"/>
      <c r="E630" s="116"/>
      <c r="F630" s="116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117"/>
      <c r="AB630" s="117"/>
    </row>
    <row r="631">
      <c r="A631" s="114"/>
      <c r="B631" s="117"/>
      <c r="C631" s="116"/>
      <c r="D631" s="116"/>
      <c r="E631" s="116"/>
      <c r="F631" s="116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  <c r="AA631" s="117"/>
      <c r="AB631" s="117"/>
    </row>
    <row r="632">
      <c r="A632" s="114"/>
      <c r="B632" s="117"/>
      <c r="C632" s="116"/>
      <c r="D632" s="116"/>
      <c r="E632" s="116"/>
      <c r="F632" s="116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  <c r="AA632" s="117"/>
      <c r="AB632" s="117"/>
    </row>
    <row r="633">
      <c r="A633" s="114"/>
      <c r="B633" s="117"/>
      <c r="C633" s="116"/>
      <c r="D633" s="116"/>
      <c r="E633" s="116"/>
      <c r="F633" s="116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  <c r="AA633" s="117"/>
      <c r="AB633" s="117"/>
    </row>
    <row r="634">
      <c r="A634" s="114"/>
      <c r="B634" s="117"/>
      <c r="C634" s="116"/>
      <c r="D634" s="116"/>
      <c r="E634" s="116"/>
      <c r="F634" s="116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  <c r="AA634" s="117"/>
      <c r="AB634" s="117"/>
    </row>
    <row r="635">
      <c r="A635" s="114"/>
      <c r="B635" s="117"/>
      <c r="C635" s="116"/>
      <c r="D635" s="116"/>
      <c r="E635" s="116"/>
      <c r="F635" s="116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  <c r="AA635" s="117"/>
      <c r="AB635" s="117"/>
    </row>
    <row r="636">
      <c r="A636" s="114"/>
      <c r="B636" s="117"/>
      <c r="C636" s="116"/>
      <c r="D636" s="116"/>
      <c r="E636" s="116"/>
      <c r="F636" s="116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  <c r="AA636" s="117"/>
      <c r="AB636" s="117"/>
    </row>
    <row r="637">
      <c r="A637" s="114"/>
      <c r="B637" s="117"/>
      <c r="C637" s="116"/>
      <c r="D637" s="116"/>
      <c r="E637" s="116"/>
      <c r="F637" s="116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  <c r="AA637" s="117"/>
      <c r="AB637" s="117"/>
    </row>
    <row r="638">
      <c r="A638" s="114"/>
      <c r="B638" s="117"/>
      <c r="C638" s="116"/>
      <c r="D638" s="116"/>
      <c r="E638" s="116"/>
      <c r="F638" s="116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  <c r="AA638" s="117"/>
      <c r="AB638" s="117"/>
    </row>
    <row r="639">
      <c r="A639" s="114"/>
      <c r="B639" s="117"/>
      <c r="C639" s="116"/>
      <c r="D639" s="116"/>
      <c r="E639" s="116"/>
      <c r="F639" s="116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  <c r="AA639" s="117"/>
      <c r="AB639" s="117"/>
    </row>
    <row r="640">
      <c r="A640" s="114"/>
      <c r="B640" s="117"/>
      <c r="C640" s="116"/>
      <c r="D640" s="116"/>
      <c r="E640" s="116"/>
      <c r="F640" s="116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  <c r="AA640" s="117"/>
      <c r="AB640" s="117"/>
    </row>
    <row r="641">
      <c r="A641" s="114"/>
      <c r="B641" s="117"/>
      <c r="C641" s="116"/>
      <c r="D641" s="116"/>
      <c r="E641" s="116"/>
      <c r="F641" s="116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  <c r="AA641" s="117"/>
      <c r="AB641" s="117"/>
    </row>
    <row r="642">
      <c r="A642" s="114"/>
      <c r="B642" s="117"/>
      <c r="C642" s="116"/>
      <c r="D642" s="116"/>
      <c r="E642" s="116"/>
      <c r="F642" s="116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  <c r="AA642" s="117"/>
      <c r="AB642" s="117"/>
    </row>
    <row r="643">
      <c r="A643" s="114"/>
      <c r="B643" s="117"/>
      <c r="C643" s="116"/>
      <c r="D643" s="116"/>
      <c r="E643" s="116"/>
      <c r="F643" s="116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  <c r="AA643" s="117"/>
      <c r="AB643" s="117"/>
    </row>
    <row r="644">
      <c r="A644" s="114"/>
      <c r="B644" s="117"/>
      <c r="C644" s="116"/>
      <c r="D644" s="116"/>
      <c r="E644" s="116"/>
      <c r="F644" s="116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  <c r="AA644" s="117"/>
      <c r="AB644" s="117"/>
    </row>
    <row r="645">
      <c r="A645" s="114"/>
      <c r="B645" s="117"/>
      <c r="C645" s="116"/>
      <c r="D645" s="116"/>
      <c r="E645" s="116"/>
      <c r="F645" s="116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  <c r="AA645" s="117"/>
      <c r="AB645" s="117"/>
    </row>
    <row r="646">
      <c r="A646" s="114"/>
      <c r="B646" s="117"/>
      <c r="C646" s="116"/>
      <c r="D646" s="116"/>
      <c r="E646" s="116"/>
      <c r="F646" s="116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  <c r="AA646" s="117"/>
      <c r="AB646" s="117"/>
    </row>
    <row r="647">
      <c r="A647" s="114"/>
      <c r="B647" s="117"/>
      <c r="C647" s="116"/>
      <c r="D647" s="116"/>
      <c r="E647" s="116"/>
      <c r="F647" s="116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  <c r="AA647" s="117"/>
      <c r="AB647" s="117"/>
    </row>
    <row r="648">
      <c r="A648" s="114"/>
      <c r="B648" s="117"/>
      <c r="C648" s="116"/>
      <c r="D648" s="116"/>
      <c r="E648" s="116"/>
      <c r="F648" s="116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  <c r="AA648" s="117"/>
      <c r="AB648" s="117"/>
    </row>
    <row r="649">
      <c r="A649" s="114"/>
      <c r="B649" s="117"/>
      <c r="C649" s="116"/>
      <c r="D649" s="116"/>
      <c r="E649" s="116"/>
      <c r="F649" s="116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  <c r="AA649" s="117"/>
      <c r="AB649" s="117"/>
    </row>
    <row r="650">
      <c r="A650" s="114"/>
      <c r="B650" s="117"/>
      <c r="C650" s="116"/>
      <c r="D650" s="116"/>
      <c r="E650" s="116"/>
      <c r="F650" s="116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  <c r="AA650" s="117"/>
      <c r="AB650" s="117"/>
    </row>
    <row r="651">
      <c r="A651" s="114"/>
      <c r="B651" s="117"/>
      <c r="C651" s="116"/>
      <c r="D651" s="116"/>
      <c r="E651" s="116"/>
      <c r="F651" s="116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  <c r="AA651" s="117"/>
      <c r="AB651" s="117"/>
    </row>
    <row r="652">
      <c r="A652" s="114"/>
      <c r="B652" s="117"/>
      <c r="C652" s="116"/>
      <c r="D652" s="116"/>
      <c r="E652" s="116"/>
      <c r="F652" s="116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  <c r="AA652" s="117"/>
      <c r="AB652" s="117"/>
    </row>
    <row r="653">
      <c r="A653" s="114"/>
      <c r="B653" s="117"/>
      <c r="C653" s="116"/>
      <c r="D653" s="116"/>
      <c r="E653" s="116"/>
      <c r="F653" s="116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  <c r="AA653" s="117"/>
      <c r="AB653" s="117"/>
    </row>
    <row r="654">
      <c r="A654" s="114"/>
      <c r="B654" s="117"/>
      <c r="C654" s="116"/>
      <c r="D654" s="116"/>
      <c r="E654" s="116"/>
      <c r="F654" s="116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  <c r="AA654" s="117"/>
      <c r="AB654" s="117"/>
    </row>
    <row r="655">
      <c r="A655" s="114"/>
      <c r="B655" s="117"/>
      <c r="C655" s="116"/>
      <c r="D655" s="116"/>
      <c r="E655" s="116"/>
      <c r="F655" s="116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  <c r="AA655" s="117"/>
      <c r="AB655" s="117"/>
    </row>
    <row r="656">
      <c r="A656" s="114"/>
      <c r="B656" s="117"/>
      <c r="C656" s="116"/>
      <c r="D656" s="116"/>
      <c r="E656" s="116"/>
      <c r="F656" s="116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  <c r="AA656" s="117"/>
      <c r="AB656" s="117"/>
    </row>
    <row r="657">
      <c r="A657" s="114"/>
      <c r="B657" s="117"/>
      <c r="C657" s="116"/>
      <c r="D657" s="116"/>
      <c r="E657" s="116"/>
      <c r="F657" s="116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  <c r="AA657" s="117"/>
      <c r="AB657" s="117"/>
    </row>
    <row r="658">
      <c r="A658" s="114"/>
      <c r="B658" s="117"/>
      <c r="C658" s="116"/>
      <c r="D658" s="116"/>
      <c r="E658" s="116"/>
      <c r="F658" s="116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  <c r="AA658" s="117"/>
      <c r="AB658" s="117"/>
    </row>
    <row r="659">
      <c r="A659" s="114"/>
      <c r="B659" s="117"/>
      <c r="C659" s="116"/>
      <c r="D659" s="116"/>
      <c r="E659" s="116"/>
      <c r="F659" s="116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  <c r="AA659" s="117"/>
      <c r="AB659" s="117"/>
    </row>
    <row r="660">
      <c r="A660" s="114"/>
      <c r="B660" s="117"/>
      <c r="C660" s="116"/>
      <c r="D660" s="116"/>
      <c r="E660" s="116"/>
      <c r="F660" s="116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  <c r="AA660" s="117"/>
      <c r="AB660" s="117"/>
    </row>
    <row r="661">
      <c r="A661" s="114"/>
      <c r="B661" s="117"/>
      <c r="C661" s="116"/>
      <c r="D661" s="116"/>
      <c r="E661" s="116"/>
      <c r="F661" s="116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17"/>
      <c r="Y661" s="117"/>
      <c r="Z661" s="117"/>
      <c r="AA661" s="117"/>
      <c r="AB661" s="117"/>
    </row>
    <row r="662">
      <c r="A662" s="114"/>
      <c r="B662" s="117"/>
      <c r="C662" s="116"/>
      <c r="D662" s="116"/>
      <c r="E662" s="116"/>
      <c r="F662" s="116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  <c r="AA662" s="117"/>
      <c r="AB662" s="117"/>
    </row>
    <row r="663">
      <c r="A663" s="114"/>
      <c r="B663" s="117"/>
      <c r="C663" s="116"/>
      <c r="D663" s="116"/>
      <c r="E663" s="116"/>
      <c r="F663" s="116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  <c r="AA663" s="117"/>
      <c r="AB663" s="117"/>
    </row>
    <row r="664">
      <c r="A664" s="114"/>
      <c r="B664" s="117"/>
      <c r="C664" s="116"/>
      <c r="D664" s="116"/>
      <c r="E664" s="116"/>
      <c r="F664" s="116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  <c r="AA664" s="117"/>
      <c r="AB664" s="117"/>
    </row>
    <row r="665">
      <c r="A665" s="114"/>
      <c r="B665" s="117"/>
      <c r="C665" s="116"/>
      <c r="D665" s="116"/>
      <c r="E665" s="116"/>
      <c r="F665" s="116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  <c r="AA665" s="117"/>
      <c r="AB665" s="117"/>
    </row>
    <row r="666">
      <c r="A666" s="114"/>
      <c r="B666" s="117"/>
      <c r="C666" s="116"/>
      <c r="D666" s="116"/>
      <c r="E666" s="116"/>
      <c r="F666" s="116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  <c r="AA666" s="117"/>
      <c r="AB666" s="117"/>
    </row>
    <row r="667">
      <c r="A667" s="114"/>
      <c r="B667" s="117"/>
      <c r="C667" s="116"/>
      <c r="D667" s="116"/>
      <c r="E667" s="116"/>
      <c r="F667" s="116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  <c r="AA667" s="117"/>
      <c r="AB667" s="117"/>
    </row>
    <row r="668">
      <c r="A668" s="114"/>
      <c r="B668" s="117"/>
      <c r="C668" s="116"/>
      <c r="D668" s="116"/>
      <c r="E668" s="116"/>
      <c r="F668" s="116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117"/>
      <c r="AB668" s="117"/>
    </row>
    <row r="669">
      <c r="A669" s="114"/>
      <c r="B669" s="117"/>
      <c r="C669" s="116"/>
      <c r="D669" s="116"/>
      <c r="E669" s="116"/>
      <c r="F669" s="116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  <c r="AA669" s="117"/>
      <c r="AB669" s="117"/>
    </row>
    <row r="670">
      <c r="A670" s="114"/>
      <c r="B670" s="117"/>
      <c r="C670" s="116"/>
      <c r="D670" s="116"/>
      <c r="E670" s="116"/>
      <c r="F670" s="116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  <c r="AA670" s="117"/>
      <c r="AB670" s="117"/>
    </row>
    <row r="671">
      <c r="A671" s="114"/>
      <c r="B671" s="117"/>
      <c r="C671" s="116"/>
      <c r="D671" s="116"/>
      <c r="E671" s="116"/>
      <c r="F671" s="116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  <c r="AA671" s="117"/>
      <c r="AB671" s="117"/>
    </row>
    <row r="672">
      <c r="A672" s="114"/>
      <c r="B672" s="117"/>
      <c r="C672" s="116"/>
      <c r="D672" s="116"/>
      <c r="E672" s="116"/>
      <c r="F672" s="116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  <c r="AA672" s="117"/>
      <c r="AB672" s="117"/>
    </row>
    <row r="673">
      <c r="A673" s="114"/>
      <c r="B673" s="117"/>
      <c r="C673" s="116"/>
      <c r="D673" s="116"/>
      <c r="E673" s="116"/>
      <c r="F673" s="116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17"/>
      <c r="Y673" s="117"/>
      <c r="Z673" s="117"/>
      <c r="AA673" s="117"/>
      <c r="AB673" s="117"/>
    </row>
    <row r="674">
      <c r="A674" s="114"/>
      <c r="B674" s="117"/>
      <c r="C674" s="116"/>
      <c r="D674" s="116"/>
      <c r="E674" s="116"/>
      <c r="F674" s="116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  <c r="AA674" s="117"/>
      <c r="AB674" s="117"/>
    </row>
    <row r="675">
      <c r="A675" s="114"/>
      <c r="B675" s="117"/>
      <c r="C675" s="116"/>
      <c r="D675" s="116"/>
      <c r="E675" s="116"/>
      <c r="F675" s="116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  <c r="AA675" s="117"/>
      <c r="AB675" s="117"/>
    </row>
    <row r="676">
      <c r="A676" s="114"/>
      <c r="B676" s="117"/>
      <c r="C676" s="116"/>
      <c r="D676" s="116"/>
      <c r="E676" s="116"/>
      <c r="F676" s="116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  <c r="AA676" s="117"/>
      <c r="AB676" s="117"/>
    </row>
    <row r="677">
      <c r="A677" s="114"/>
      <c r="B677" s="117"/>
      <c r="C677" s="116"/>
      <c r="D677" s="116"/>
      <c r="E677" s="116"/>
      <c r="F677" s="116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  <c r="AA677" s="117"/>
      <c r="AB677" s="117"/>
    </row>
    <row r="678">
      <c r="A678" s="114"/>
      <c r="B678" s="117"/>
      <c r="C678" s="116"/>
      <c r="D678" s="116"/>
      <c r="E678" s="116"/>
      <c r="F678" s="116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  <c r="AA678" s="117"/>
      <c r="AB678" s="117"/>
    </row>
    <row r="679">
      <c r="A679" s="114"/>
      <c r="B679" s="117"/>
      <c r="C679" s="116"/>
      <c r="D679" s="116"/>
      <c r="E679" s="116"/>
      <c r="F679" s="116"/>
      <c r="G679" s="117"/>
      <c r="H679" s="117"/>
      <c r="I679" s="11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  <c r="AA679" s="117"/>
      <c r="AB679" s="117"/>
    </row>
    <row r="680">
      <c r="A680" s="114"/>
      <c r="B680" s="117"/>
      <c r="C680" s="116"/>
      <c r="D680" s="116"/>
      <c r="E680" s="116"/>
      <c r="F680" s="116"/>
      <c r="G680" s="117"/>
      <c r="H680" s="117"/>
      <c r="I680" s="117"/>
      <c r="J680" s="117"/>
      <c r="K680" s="117"/>
      <c r="L680" s="117"/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  <c r="AA680" s="117"/>
      <c r="AB680" s="117"/>
    </row>
    <row r="681">
      <c r="A681" s="114"/>
      <c r="B681" s="117"/>
      <c r="C681" s="116"/>
      <c r="D681" s="116"/>
      <c r="E681" s="116"/>
      <c r="F681" s="116"/>
      <c r="G681" s="117"/>
      <c r="H681" s="117"/>
      <c r="I681" s="117"/>
      <c r="J681" s="117"/>
      <c r="K681" s="117"/>
      <c r="L681" s="117"/>
      <c r="M681" s="117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  <c r="AA681" s="117"/>
      <c r="AB681" s="117"/>
    </row>
    <row r="682">
      <c r="A682" s="114"/>
      <c r="B682" s="117"/>
      <c r="C682" s="116"/>
      <c r="D682" s="116"/>
      <c r="E682" s="116"/>
      <c r="F682" s="116"/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  <c r="AA682" s="117"/>
      <c r="AB682" s="117"/>
    </row>
    <row r="683">
      <c r="A683" s="114"/>
      <c r="B683" s="117"/>
      <c r="C683" s="116"/>
      <c r="D683" s="116"/>
      <c r="E683" s="116"/>
      <c r="F683" s="116"/>
      <c r="G683" s="117"/>
      <c r="H683" s="117"/>
      <c r="I683" s="117"/>
      <c r="J683" s="117"/>
      <c r="K683" s="117"/>
      <c r="L683" s="117"/>
      <c r="M683" s="117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  <c r="AA683" s="117"/>
      <c r="AB683" s="117"/>
    </row>
    <row r="684">
      <c r="A684" s="114"/>
      <c r="B684" s="117"/>
      <c r="C684" s="116"/>
      <c r="D684" s="116"/>
      <c r="E684" s="116"/>
      <c r="F684" s="116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  <c r="AA684" s="117"/>
      <c r="AB684" s="117"/>
    </row>
    <row r="685">
      <c r="A685" s="114"/>
      <c r="B685" s="117"/>
      <c r="C685" s="116"/>
      <c r="D685" s="116"/>
      <c r="E685" s="116"/>
      <c r="F685" s="116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17"/>
      <c r="Y685" s="117"/>
      <c r="Z685" s="117"/>
      <c r="AA685" s="117"/>
      <c r="AB685" s="117"/>
    </row>
    <row r="686">
      <c r="A686" s="114"/>
      <c r="B686" s="117"/>
      <c r="C686" s="116"/>
      <c r="D686" s="116"/>
      <c r="E686" s="116"/>
      <c r="F686" s="116"/>
      <c r="G686" s="117"/>
      <c r="H686" s="117"/>
      <c r="I686" s="117"/>
      <c r="J686" s="117"/>
      <c r="K686" s="117"/>
      <c r="L686" s="117"/>
      <c r="M686" s="117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  <c r="AA686" s="117"/>
      <c r="AB686" s="117"/>
    </row>
    <row r="687">
      <c r="A687" s="114"/>
      <c r="B687" s="117"/>
      <c r="C687" s="116"/>
      <c r="D687" s="116"/>
      <c r="E687" s="116"/>
      <c r="F687" s="116"/>
      <c r="G687" s="117"/>
      <c r="H687" s="117"/>
      <c r="I687" s="117"/>
      <c r="J687" s="117"/>
      <c r="K687" s="117"/>
      <c r="L687" s="117"/>
      <c r="M687" s="117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  <c r="AA687" s="117"/>
      <c r="AB687" s="117"/>
    </row>
    <row r="688">
      <c r="A688" s="114"/>
      <c r="B688" s="117"/>
      <c r="C688" s="116"/>
      <c r="D688" s="116"/>
      <c r="E688" s="116"/>
      <c r="F688" s="116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  <c r="AA688" s="117"/>
      <c r="AB688" s="117"/>
    </row>
    <row r="689">
      <c r="A689" s="114"/>
      <c r="B689" s="117"/>
      <c r="C689" s="116"/>
      <c r="D689" s="116"/>
      <c r="E689" s="116"/>
      <c r="F689" s="116"/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  <c r="AA689" s="117"/>
      <c r="AB689" s="117"/>
    </row>
    <row r="690">
      <c r="A690" s="114"/>
      <c r="B690" s="117"/>
      <c r="C690" s="116"/>
      <c r="D690" s="116"/>
      <c r="E690" s="116"/>
      <c r="F690" s="116"/>
      <c r="G690" s="117"/>
      <c r="H690" s="117"/>
      <c r="I690" s="11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  <c r="AA690" s="117"/>
      <c r="AB690" s="117"/>
    </row>
    <row r="691">
      <c r="A691" s="114"/>
      <c r="B691" s="117"/>
      <c r="C691" s="116"/>
      <c r="D691" s="116"/>
      <c r="E691" s="116"/>
      <c r="F691" s="116"/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  <c r="AA691" s="117"/>
      <c r="AB691" s="117"/>
    </row>
    <row r="692">
      <c r="A692" s="114"/>
      <c r="B692" s="117"/>
      <c r="C692" s="116"/>
      <c r="D692" s="116"/>
      <c r="E692" s="116"/>
      <c r="F692" s="116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  <c r="AA692" s="117"/>
      <c r="AB692" s="117"/>
    </row>
    <row r="693">
      <c r="A693" s="114"/>
      <c r="B693" s="117"/>
      <c r="C693" s="116"/>
      <c r="D693" s="116"/>
      <c r="E693" s="116"/>
      <c r="F693" s="116"/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  <c r="AA693" s="117"/>
      <c r="AB693" s="117"/>
    </row>
    <row r="694">
      <c r="A694" s="114"/>
      <c r="B694" s="117"/>
      <c r="C694" s="116"/>
      <c r="D694" s="116"/>
      <c r="E694" s="116"/>
      <c r="F694" s="116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  <c r="AA694" s="117"/>
      <c r="AB694" s="117"/>
    </row>
    <row r="695">
      <c r="A695" s="114"/>
      <c r="B695" s="117"/>
      <c r="C695" s="116"/>
      <c r="D695" s="116"/>
      <c r="E695" s="116"/>
      <c r="F695" s="116"/>
      <c r="G695" s="117"/>
      <c r="H695" s="117"/>
      <c r="I695" s="117"/>
      <c r="J695" s="117"/>
      <c r="K695" s="117"/>
      <c r="L695" s="117"/>
      <c r="M695" s="117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  <c r="AA695" s="117"/>
      <c r="AB695" s="117"/>
    </row>
    <row r="696">
      <c r="A696" s="114"/>
      <c r="B696" s="117"/>
      <c r="C696" s="116"/>
      <c r="D696" s="116"/>
      <c r="E696" s="116"/>
      <c r="F696" s="116"/>
      <c r="G696" s="117"/>
      <c r="H696" s="117"/>
      <c r="I696" s="11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  <c r="AA696" s="117"/>
      <c r="AB696" s="117"/>
    </row>
    <row r="697">
      <c r="A697" s="114"/>
      <c r="B697" s="117"/>
      <c r="C697" s="116"/>
      <c r="D697" s="116"/>
      <c r="E697" s="116"/>
      <c r="F697" s="116"/>
      <c r="G697" s="117"/>
      <c r="H697" s="117"/>
      <c r="I697" s="117"/>
      <c r="J697" s="117"/>
      <c r="K697" s="117"/>
      <c r="L697" s="117"/>
      <c r="M697" s="117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  <c r="AA697" s="117"/>
      <c r="AB697" s="117"/>
    </row>
    <row r="698">
      <c r="A698" s="114"/>
      <c r="B698" s="117"/>
      <c r="C698" s="116"/>
      <c r="D698" s="116"/>
      <c r="E698" s="116"/>
      <c r="F698" s="116"/>
      <c r="G698" s="117"/>
      <c r="H698" s="117"/>
      <c r="I698" s="117"/>
      <c r="J698" s="117"/>
      <c r="K698" s="117"/>
      <c r="L698" s="117"/>
      <c r="M698" s="117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  <c r="AA698" s="117"/>
      <c r="AB698" s="117"/>
    </row>
    <row r="699">
      <c r="A699" s="114"/>
      <c r="B699" s="117"/>
      <c r="C699" s="116"/>
      <c r="D699" s="116"/>
      <c r="E699" s="116"/>
      <c r="F699" s="116"/>
      <c r="G699" s="117"/>
      <c r="H699" s="117"/>
      <c r="I699" s="11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  <c r="AA699" s="117"/>
      <c r="AB699" s="117"/>
    </row>
    <row r="700">
      <c r="A700" s="114"/>
      <c r="B700" s="117"/>
      <c r="C700" s="116"/>
      <c r="D700" s="116"/>
      <c r="E700" s="116"/>
      <c r="F700" s="116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  <c r="AA700" s="117"/>
      <c r="AB700" s="117"/>
    </row>
    <row r="701">
      <c r="A701" s="114"/>
      <c r="B701" s="117"/>
      <c r="C701" s="116"/>
      <c r="D701" s="116"/>
      <c r="E701" s="116"/>
      <c r="F701" s="116"/>
      <c r="G701" s="117"/>
      <c r="H701" s="117"/>
      <c r="I701" s="117"/>
      <c r="J701" s="117"/>
      <c r="K701" s="117"/>
      <c r="L701" s="117"/>
      <c r="M701" s="117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  <c r="AA701" s="117"/>
      <c r="AB701" s="117"/>
    </row>
    <row r="702">
      <c r="A702" s="114"/>
      <c r="B702" s="117"/>
      <c r="C702" s="116"/>
      <c r="D702" s="116"/>
      <c r="E702" s="116"/>
      <c r="F702" s="116"/>
      <c r="G702" s="117"/>
      <c r="H702" s="117"/>
      <c r="I702" s="117"/>
      <c r="J702" s="117"/>
      <c r="K702" s="117"/>
      <c r="L702" s="117"/>
      <c r="M702" s="117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  <c r="AA702" s="117"/>
      <c r="AB702" s="117"/>
    </row>
    <row r="703">
      <c r="A703" s="114"/>
      <c r="B703" s="117"/>
      <c r="C703" s="116"/>
      <c r="D703" s="116"/>
      <c r="E703" s="116"/>
      <c r="F703" s="116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  <c r="AA703" s="117"/>
      <c r="AB703" s="117"/>
    </row>
    <row r="704">
      <c r="A704" s="114"/>
      <c r="B704" s="117"/>
      <c r="C704" s="116"/>
      <c r="D704" s="116"/>
      <c r="E704" s="116"/>
      <c r="F704" s="116"/>
      <c r="G704" s="117"/>
      <c r="H704" s="117"/>
      <c r="I704" s="11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  <c r="AA704" s="117"/>
      <c r="AB704" s="117"/>
    </row>
    <row r="705">
      <c r="A705" s="114"/>
      <c r="B705" s="117"/>
      <c r="C705" s="116"/>
      <c r="D705" s="116"/>
      <c r="E705" s="116"/>
      <c r="F705" s="116"/>
      <c r="G705" s="117"/>
      <c r="H705" s="117"/>
      <c r="I705" s="117"/>
      <c r="J705" s="117"/>
      <c r="K705" s="117"/>
      <c r="L705" s="117"/>
      <c r="M705" s="117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  <c r="AA705" s="117"/>
      <c r="AB705" s="117"/>
    </row>
    <row r="706">
      <c r="A706" s="114"/>
      <c r="B706" s="117"/>
      <c r="C706" s="116"/>
      <c r="D706" s="116"/>
      <c r="E706" s="116"/>
      <c r="F706" s="116"/>
      <c r="G706" s="117"/>
      <c r="H706" s="117"/>
      <c r="I706" s="117"/>
      <c r="J706" s="117"/>
      <c r="K706" s="117"/>
      <c r="L706" s="117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117"/>
      <c r="AB706" s="117"/>
    </row>
    <row r="707">
      <c r="A707" s="114"/>
      <c r="B707" s="117"/>
      <c r="C707" s="116"/>
      <c r="D707" s="116"/>
      <c r="E707" s="116"/>
      <c r="F707" s="116"/>
      <c r="G707" s="117"/>
      <c r="H707" s="117"/>
      <c r="I707" s="117"/>
      <c r="J707" s="117"/>
      <c r="K707" s="117"/>
      <c r="L707" s="117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  <c r="AA707" s="117"/>
      <c r="AB707" s="117"/>
    </row>
    <row r="708">
      <c r="A708" s="114"/>
      <c r="B708" s="117"/>
      <c r="C708" s="116"/>
      <c r="D708" s="116"/>
      <c r="E708" s="116"/>
      <c r="F708" s="116"/>
      <c r="G708" s="117"/>
      <c r="H708" s="117"/>
      <c r="I708" s="117"/>
      <c r="J708" s="117"/>
      <c r="K708" s="117"/>
      <c r="L708" s="117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  <c r="AA708" s="117"/>
      <c r="AB708" s="117"/>
    </row>
    <row r="709">
      <c r="A709" s="114"/>
      <c r="B709" s="117"/>
      <c r="C709" s="116"/>
      <c r="D709" s="116"/>
      <c r="E709" s="116"/>
      <c r="F709" s="116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  <c r="AA709" s="117"/>
      <c r="AB709" s="117"/>
    </row>
    <row r="710">
      <c r="A710" s="114"/>
      <c r="B710" s="117"/>
      <c r="C710" s="116"/>
      <c r="D710" s="116"/>
      <c r="E710" s="116"/>
      <c r="F710" s="116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  <c r="AA710" s="117"/>
      <c r="AB710" s="117"/>
    </row>
    <row r="711">
      <c r="A711" s="114"/>
      <c r="B711" s="117"/>
      <c r="C711" s="116"/>
      <c r="D711" s="116"/>
      <c r="E711" s="116"/>
      <c r="F711" s="116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  <c r="AA711" s="117"/>
      <c r="AB711" s="117"/>
    </row>
    <row r="712">
      <c r="A712" s="114"/>
      <c r="B712" s="117"/>
      <c r="C712" s="116"/>
      <c r="D712" s="116"/>
      <c r="E712" s="116"/>
      <c r="F712" s="116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  <c r="AA712" s="117"/>
      <c r="AB712" s="117"/>
    </row>
    <row r="713">
      <c r="A713" s="114"/>
      <c r="B713" s="117"/>
      <c r="C713" s="116"/>
      <c r="D713" s="116"/>
      <c r="E713" s="116"/>
      <c r="F713" s="116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  <c r="AA713" s="117"/>
      <c r="AB713" s="117"/>
    </row>
    <row r="714">
      <c r="A714" s="114"/>
      <c r="B714" s="117"/>
      <c r="C714" s="116"/>
      <c r="D714" s="116"/>
      <c r="E714" s="116"/>
      <c r="F714" s="116"/>
      <c r="G714" s="117"/>
      <c r="H714" s="117"/>
      <c r="I714" s="117"/>
      <c r="J714" s="117"/>
      <c r="K714" s="117"/>
      <c r="L714" s="117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  <c r="AA714" s="117"/>
      <c r="AB714" s="117"/>
    </row>
    <row r="715">
      <c r="A715" s="114"/>
      <c r="B715" s="117"/>
      <c r="C715" s="116"/>
      <c r="D715" s="116"/>
      <c r="E715" s="116"/>
      <c r="F715" s="116"/>
      <c r="G715" s="117"/>
      <c r="H715" s="117"/>
      <c r="I715" s="117"/>
      <c r="J715" s="117"/>
      <c r="K715" s="117"/>
      <c r="L715" s="117"/>
      <c r="M715" s="117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  <c r="AA715" s="117"/>
      <c r="AB715" s="117"/>
    </row>
    <row r="716">
      <c r="A716" s="114"/>
      <c r="B716" s="117"/>
      <c r="C716" s="116"/>
      <c r="D716" s="116"/>
      <c r="E716" s="116"/>
      <c r="F716" s="116"/>
      <c r="G716" s="117"/>
      <c r="H716" s="117"/>
      <c r="I716" s="117"/>
      <c r="J716" s="117"/>
      <c r="K716" s="117"/>
      <c r="L716" s="117"/>
      <c r="M716" s="117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  <c r="AA716" s="117"/>
      <c r="AB716" s="117"/>
    </row>
    <row r="717">
      <c r="A717" s="114"/>
      <c r="B717" s="117"/>
      <c r="C717" s="116"/>
      <c r="D717" s="116"/>
      <c r="E717" s="116"/>
      <c r="F717" s="116"/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  <c r="AA717" s="117"/>
      <c r="AB717" s="117"/>
    </row>
    <row r="718">
      <c r="A718" s="114"/>
      <c r="B718" s="117"/>
      <c r="C718" s="116"/>
      <c r="D718" s="116"/>
      <c r="E718" s="116"/>
      <c r="F718" s="116"/>
      <c r="G718" s="117"/>
      <c r="H718" s="117"/>
      <c r="I718" s="117"/>
      <c r="J718" s="117"/>
      <c r="K718" s="117"/>
      <c r="L718" s="117"/>
      <c r="M718" s="117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  <c r="AA718" s="117"/>
      <c r="AB718" s="117"/>
    </row>
    <row r="719">
      <c r="A719" s="114"/>
      <c r="B719" s="117"/>
      <c r="C719" s="116"/>
      <c r="D719" s="116"/>
      <c r="E719" s="116"/>
      <c r="F719" s="116"/>
      <c r="G719" s="117"/>
      <c r="H719" s="117"/>
      <c r="I719" s="117"/>
      <c r="J719" s="117"/>
      <c r="K719" s="117"/>
      <c r="L719" s="117"/>
      <c r="M719" s="117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  <c r="AA719" s="117"/>
      <c r="AB719" s="117"/>
    </row>
    <row r="720">
      <c r="A720" s="114"/>
      <c r="B720" s="117"/>
      <c r="C720" s="116"/>
      <c r="D720" s="116"/>
      <c r="E720" s="116"/>
      <c r="F720" s="116"/>
      <c r="G720" s="117"/>
      <c r="H720" s="117"/>
      <c r="I720" s="117"/>
      <c r="J720" s="117"/>
      <c r="K720" s="117"/>
      <c r="L720" s="117"/>
      <c r="M720" s="117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  <c r="AA720" s="117"/>
      <c r="AB720" s="117"/>
    </row>
    <row r="721">
      <c r="A721" s="114"/>
      <c r="B721" s="117"/>
      <c r="C721" s="116"/>
      <c r="D721" s="116"/>
      <c r="E721" s="116"/>
      <c r="F721" s="116"/>
      <c r="G721" s="117"/>
      <c r="H721" s="117"/>
      <c r="I721" s="117"/>
      <c r="J721" s="117"/>
      <c r="K721" s="117"/>
      <c r="L721" s="117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  <c r="AA721" s="117"/>
      <c r="AB721" s="117"/>
    </row>
    <row r="722">
      <c r="A722" s="114"/>
      <c r="B722" s="117"/>
      <c r="C722" s="116"/>
      <c r="D722" s="116"/>
      <c r="E722" s="116"/>
      <c r="F722" s="116"/>
      <c r="G722" s="117"/>
      <c r="H722" s="117"/>
      <c r="I722" s="117"/>
      <c r="J722" s="117"/>
      <c r="K722" s="117"/>
      <c r="L722" s="117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  <c r="AA722" s="117"/>
      <c r="AB722" s="117"/>
    </row>
    <row r="723">
      <c r="A723" s="114"/>
      <c r="B723" s="117"/>
      <c r="C723" s="116"/>
      <c r="D723" s="116"/>
      <c r="E723" s="116"/>
      <c r="F723" s="116"/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  <c r="AA723" s="117"/>
      <c r="AB723" s="117"/>
    </row>
    <row r="724">
      <c r="A724" s="114"/>
      <c r="B724" s="117"/>
      <c r="C724" s="116"/>
      <c r="D724" s="116"/>
      <c r="E724" s="116"/>
      <c r="F724" s="116"/>
      <c r="G724" s="117"/>
      <c r="H724" s="117"/>
      <c r="I724" s="117"/>
      <c r="J724" s="117"/>
      <c r="K724" s="117"/>
      <c r="L724" s="117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  <c r="AA724" s="117"/>
      <c r="AB724" s="117"/>
    </row>
    <row r="725">
      <c r="A725" s="114"/>
      <c r="B725" s="117"/>
      <c r="C725" s="116"/>
      <c r="D725" s="116"/>
      <c r="E725" s="116"/>
      <c r="F725" s="116"/>
      <c r="G725" s="117"/>
      <c r="H725" s="117"/>
      <c r="I725" s="117"/>
      <c r="J725" s="117"/>
      <c r="K725" s="117"/>
      <c r="L725" s="117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  <c r="AA725" s="117"/>
      <c r="AB725" s="117"/>
    </row>
    <row r="726">
      <c r="A726" s="114"/>
      <c r="B726" s="117"/>
      <c r="C726" s="116"/>
      <c r="D726" s="116"/>
      <c r="E726" s="116"/>
      <c r="F726" s="116"/>
      <c r="G726" s="117"/>
      <c r="H726" s="117"/>
      <c r="I726" s="117"/>
      <c r="J726" s="117"/>
      <c r="K726" s="117"/>
      <c r="L726" s="117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  <c r="AA726" s="117"/>
      <c r="AB726" s="117"/>
    </row>
    <row r="727">
      <c r="A727" s="114"/>
      <c r="B727" s="117"/>
      <c r="C727" s="116"/>
      <c r="D727" s="116"/>
      <c r="E727" s="116"/>
      <c r="F727" s="116"/>
      <c r="G727" s="117"/>
      <c r="H727" s="117"/>
      <c r="I727" s="117"/>
      <c r="J727" s="117"/>
      <c r="K727" s="117"/>
      <c r="L727" s="117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  <c r="AA727" s="117"/>
      <c r="AB727" s="117"/>
    </row>
    <row r="728">
      <c r="A728" s="114"/>
      <c r="B728" s="117"/>
      <c r="C728" s="116"/>
      <c r="D728" s="116"/>
      <c r="E728" s="116"/>
      <c r="F728" s="116"/>
      <c r="G728" s="117"/>
      <c r="H728" s="117"/>
      <c r="I728" s="117"/>
      <c r="J728" s="117"/>
      <c r="K728" s="117"/>
      <c r="L728" s="117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  <c r="AA728" s="117"/>
      <c r="AB728" s="117"/>
    </row>
    <row r="729">
      <c r="A729" s="114"/>
      <c r="B729" s="117"/>
      <c r="C729" s="116"/>
      <c r="D729" s="116"/>
      <c r="E729" s="116"/>
      <c r="F729" s="116"/>
      <c r="G729" s="117"/>
      <c r="H729" s="117"/>
      <c r="I729" s="117"/>
      <c r="J729" s="117"/>
      <c r="K729" s="117"/>
      <c r="L729" s="117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  <c r="AA729" s="117"/>
      <c r="AB729" s="117"/>
    </row>
    <row r="730">
      <c r="A730" s="114"/>
      <c r="B730" s="117"/>
      <c r="C730" s="116"/>
      <c r="D730" s="116"/>
      <c r="E730" s="116"/>
      <c r="F730" s="116"/>
      <c r="G730" s="117"/>
      <c r="H730" s="117"/>
      <c r="I730" s="117"/>
      <c r="J730" s="117"/>
      <c r="K730" s="117"/>
      <c r="L730" s="117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  <c r="AA730" s="117"/>
      <c r="AB730" s="117"/>
    </row>
    <row r="731">
      <c r="A731" s="114"/>
      <c r="B731" s="117"/>
      <c r="C731" s="116"/>
      <c r="D731" s="116"/>
      <c r="E731" s="116"/>
      <c r="F731" s="116"/>
      <c r="G731" s="117"/>
      <c r="H731" s="117"/>
      <c r="I731" s="117"/>
      <c r="J731" s="117"/>
      <c r="K731" s="117"/>
      <c r="L731" s="117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  <c r="AA731" s="117"/>
      <c r="AB731" s="117"/>
    </row>
    <row r="732">
      <c r="A732" s="114"/>
      <c r="B732" s="117"/>
      <c r="C732" s="116"/>
      <c r="D732" s="116"/>
      <c r="E732" s="116"/>
      <c r="F732" s="116"/>
      <c r="G732" s="117"/>
      <c r="H732" s="117"/>
      <c r="I732" s="117"/>
      <c r="J732" s="117"/>
      <c r="K732" s="117"/>
      <c r="L732" s="117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  <c r="AA732" s="117"/>
      <c r="AB732" s="117"/>
    </row>
    <row r="733">
      <c r="A733" s="114"/>
      <c r="B733" s="117"/>
      <c r="C733" s="116"/>
      <c r="D733" s="116"/>
      <c r="E733" s="116"/>
      <c r="F733" s="116"/>
      <c r="G733" s="117"/>
      <c r="H733" s="117"/>
      <c r="I733" s="117"/>
      <c r="J733" s="117"/>
      <c r="K733" s="117"/>
      <c r="L733" s="117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  <c r="AA733" s="117"/>
      <c r="AB733" s="117"/>
    </row>
    <row r="734">
      <c r="A734" s="114"/>
      <c r="B734" s="117"/>
      <c r="C734" s="116"/>
      <c r="D734" s="116"/>
      <c r="E734" s="116"/>
      <c r="F734" s="116"/>
      <c r="G734" s="117"/>
      <c r="H734" s="117"/>
      <c r="I734" s="117"/>
      <c r="J734" s="117"/>
      <c r="K734" s="117"/>
      <c r="L734" s="117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  <c r="AA734" s="117"/>
      <c r="AB734" s="117"/>
    </row>
    <row r="735">
      <c r="A735" s="114"/>
      <c r="B735" s="117"/>
      <c r="C735" s="116"/>
      <c r="D735" s="116"/>
      <c r="E735" s="116"/>
      <c r="F735" s="116"/>
      <c r="G735" s="117"/>
      <c r="H735" s="117"/>
      <c r="I735" s="117"/>
      <c r="J735" s="117"/>
      <c r="K735" s="117"/>
      <c r="L735" s="117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  <c r="AA735" s="117"/>
      <c r="AB735" s="117"/>
    </row>
    <row r="736">
      <c r="A736" s="114"/>
      <c r="B736" s="117"/>
      <c r="C736" s="116"/>
      <c r="D736" s="116"/>
      <c r="E736" s="116"/>
      <c r="F736" s="116"/>
      <c r="G736" s="117"/>
      <c r="H736" s="117"/>
      <c r="I736" s="117"/>
      <c r="J736" s="117"/>
      <c r="K736" s="117"/>
      <c r="L736" s="117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  <c r="AA736" s="117"/>
      <c r="AB736" s="117"/>
    </row>
    <row r="737">
      <c r="A737" s="114"/>
      <c r="B737" s="117"/>
      <c r="C737" s="116"/>
      <c r="D737" s="116"/>
      <c r="E737" s="116"/>
      <c r="F737" s="116"/>
      <c r="G737" s="117"/>
      <c r="H737" s="117"/>
      <c r="I737" s="117"/>
      <c r="J737" s="117"/>
      <c r="K737" s="117"/>
      <c r="L737" s="117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  <c r="AA737" s="117"/>
      <c r="AB737" s="117"/>
    </row>
    <row r="738">
      <c r="A738" s="114"/>
      <c r="B738" s="117"/>
      <c r="C738" s="116"/>
      <c r="D738" s="116"/>
      <c r="E738" s="116"/>
      <c r="F738" s="116"/>
      <c r="G738" s="117"/>
      <c r="H738" s="117"/>
      <c r="I738" s="117"/>
      <c r="J738" s="117"/>
      <c r="K738" s="117"/>
      <c r="L738" s="117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  <c r="AA738" s="117"/>
      <c r="AB738" s="117"/>
    </row>
    <row r="739">
      <c r="A739" s="114"/>
      <c r="B739" s="117"/>
      <c r="C739" s="116"/>
      <c r="D739" s="116"/>
      <c r="E739" s="116"/>
      <c r="F739" s="116"/>
      <c r="G739" s="117"/>
      <c r="H739" s="117"/>
      <c r="I739" s="117"/>
      <c r="J739" s="117"/>
      <c r="K739" s="117"/>
      <c r="L739" s="117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  <c r="AA739" s="117"/>
      <c r="AB739" s="117"/>
    </row>
    <row r="740">
      <c r="A740" s="114"/>
      <c r="B740" s="117"/>
      <c r="C740" s="116"/>
      <c r="D740" s="116"/>
      <c r="E740" s="116"/>
      <c r="F740" s="116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  <c r="AA740" s="117"/>
      <c r="AB740" s="117"/>
    </row>
    <row r="741">
      <c r="A741" s="114"/>
      <c r="B741" s="117"/>
      <c r="C741" s="116"/>
      <c r="D741" s="116"/>
      <c r="E741" s="116"/>
      <c r="F741" s="116"/>
      <c r="G741" s="117"/>
      <c r="H741" s="117"/>
      <c r="I741" s="117"/>
      <c r="J741" s="117"/>
      <c r="K741" s="117"/>
      <c r="L741" s="117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  <c r="AA741" s="117"/>
      <c r="AB741" s="117"/>
    </row>
    <row r="742">
      <c r="A742" s="114"/>
      <c r="B742" s="117"/>
      <c r="C742" s="116"/>
      <c r="D742" s="116"/>
      <c r="E742" s="116"/>
      <c r="F742" s="116"/>
      <c r="G742" s="117"/>
      <c r="H742" s="117"/>
      <c r="I742" s="117"/>
      <c r="J742" s="117"/>
      <c r="K742" s="117"/>
      <c r="L742" s="117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  <c r="AA742" s="117"/>
      <c r="AB742" s="117"/>
    </row>
    <row r="743">
      <c r="A743" s="114"/>
      <c r="B743" s="117"/>
      <c r="C743" s="116"/>
      <c r="D743" s="116"/>
      <c r="E743" s="116"/>
      <c r="F743" s="116"/>
      <c r="G743" s="117"/>
      <c r="H743" s="117"/>
      <c r="I743" s="117"/>
      <c r="J743" s="117"/>
      <c r="K743" s="117"/>
      <c r="L743" s="117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  <c r="AA743" s="117"/>
      <c r="AB743" s="117"/>
    </row>
    <row r="744">
      <c r="A744" s="114"/>
      <c r="B744" s="117"/>
      <c r="C744" s="116"/>
      <c r="D744" s="116"/>
      <c r="E744" s="116"/>
      <c r="F744" s="116"/>
      <c r="G744" s="117"/>
      <c r="H744" s="117"/>
      <c r="I744" s="117"/>
      <c r="J744" s="117"/>
      <c r="K744" s="117"/>
      <c r="L744" s="117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117"/>
      <c r="AB744" s="117"/>
    </row>
    <row r="745">
      <c r="A745" s="114"/>
      <c r="B745" s="117"/>
      <c r="C745" s="116"/>
      <c r="D745" s="116"/>
      <c r="E745" s="116"/>
      <c r="F745" s="116"/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  <c r="AA745" s="117"/>
      <c r="AB745" s="117"/>
    </row>
    <row r="746">
      <c r="A746" s="114"/>
      <c r="B746" s="117"/>
      <c r="C746" s="116"/>
      <c r="D746" s="116"/>
      <c r="E746" s="116"/>
      <c r="F746" s="116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  <c r="AA746" s="117"/>
      <c r="AB746" s="117"/>
    </row>
    <row r="747">
      <c r="A747" s="114"/>
      <c r="B747" s="117"/>
      <c r="C747" s="116"/>
      <c r="D747" s="116"/>
      <c r="E747" s="116"/>
      <c r="F747" s="116"/>
      <c r="G747" s="117"/>
      <c r="H747" s="117"/>
      <c r="I747" s="117"/>
      <c r="J747" s="117"/>
      <c r="K747" s="117"/>
      <c r="L747" s="117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  <c r="AA747" s="117"/>
      <c r="AB747" s="117"/>
    </row>
    <row r="748">
      <c r="A748" s="114"/>
      <c r="B748" s="117"/>
      <c r="C748" s="116"/>
      <c r="D748" s="116"/>
      <c r="E748" s="116"/>
      <c r="F748" s="116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  <c r="AA748" s="117"/>
      <c r="AB748" s="117"/>
    </row>
    <row r="749">
      <c r="A749" s="114"/>
      <c r="B749" s="117"/>
      <c r="C749" s="116"/>
      <c r="D749" s="116"/>
      <c r="E749" s="116"/>
      <c r="F749" s="116"/>
      <c r="G749" s="117"/>
      <c r="H749" s="117"/>
      <c r="I749" s="117"/>
      <c r="J749" s="117"/>
      <c r="K749" s="117"/>
      <c r="L749" s="117"/>
      <c r="M749" s="117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  <c r="AA749" s="117"/>
      <c r="AB749" s="117"/>
    </row>
    <row r="750">
      <c r="A750" s="114"/>
      <c r="B750" s="117"/>
      <c r="C750" s="116"/>
      <c r="D750" s="116"/>
      <c r="E750" s="116"/>
      <c r="F750" s="116"/>
      <c r="G750" s="117"/>
      <c r="H750" s="117"/>
      <c r="I750" s="117"/>
      <c r="J750" s="117"/>
      <c r="K750" s="117"/>
      <c r="L750" s="117"/>
      <c r="M750" s="117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  <c r="AA750" s="117"/>
      <c r="AB750" s="117"/>
    </row>
    <row r="751">
      <c r="A751" s="114"/>
      <c r="B751" s="117"/>
      <c r="C751" s="116"/>
      <c r="D751" s="116"/>
      <c r="E751" s="116"/>
      <c r="F751" s="116"/>
      <c r="G751" s="117"/>
      <c r="H751" s="117"/>
      <c r="I751" s="117"/>
      <c r="J751" s="117"/>
      <c r="K751" s="117"/>
      <c r="L751" s="117"/>
      <c r="M751" s="117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  <c r="AA751" s="117"/>
      <c r="AB751" s="117"/>
    </row>
    <row r="752">
      <c r="A752" s="114"/>
      <c r="B752" s="117"/>
      <c r="C752" s="116"/>
      <c r="D752" s="116"/>
      <c r="E752" s="116"/>
      <c r="F752" s="116"/>
      <c r="G752" s="117"/>
      <c r="H752" s="117"/>
      <c r="I752" s="117"/>
      <c r="J752" s="117"/>
      <c r="K752" s="117"/>
      <c r="L752" s="117"/>
      <c r="M752" s="117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  <c r="AA752" s="117"/>
      <c r="AB752" s="117"/>
    </row>
    <row r="753">
      <c r="A753" s="114"/>
      <c r="B753" s="117"/>
      <c r="C753" s="116"/>
      <c r="D753" s="116"/>
      <c r="E753" s="116"/>
      <c r="F753" s="116"/>
      <c r="G753" s="117"/>
      <c r="H753" s="117"/>
      <c r="I753" s="117"/>
      <c r="J753" s="117"/>
      <c r="K753" s="117"/>
      <c r="L753" s="117"/>
      <c r="M753" s="117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  <c r="AA753" s="117"/>
      <c r="AB753" s="117"/>
    </row>
    <row r="754">
      <c r="A754" s="114"/>
      <c r="B754" s="117"/>
      <c r="C754" s="116"/>
      <c r="D754" s="116"/>
      <c r="E754" s="116"/>
      <c r="F754" s="116"/>
      <c r="G754" s="117"/>
      <c r="H754" s="117"/>
      <c r="I754" s="117"/>
      <c r="J754" s="117"/>
      <c r="K754" s="117"/>
      <c r="L754" s="117"/>
      <c r="M754" s="117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  <c r="AA754" s="117"/>
      <c r="AB754" s="117"/>
    </row>
    <row r="755">
      <c r="A755" s="114"/>
      <c r="B755" s="117"/>
      <c r="C755" s="116"/>
      <c r="D755" s="116"/>
      <c r="E755" s="116"/>
      <c r="F755" s="116"/>
      <c r="G755" s="117"/>
      <c r="H755" s="117"/>
      <c r="I755" s="117"/>
      <c r="J755" s="117"/>
      <c r="K755" s="117"/>
      <c r="L755" s="117"/>
      <c r="M755" s="117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  <c r="AA755" s="117"/>
      <c r="AB755" s="117"/>
    </row>
    <row r="756">
      <c r="A756" s="114"/>
      <c r="B756" s="117"/>
      <c r="C756" s="116"/>
      <c r="D756" s="116"/>
      <c r="E756" s="116"/>
      <c r="F756" s="116"/>
      <c r="G756" s="117"/>
      <c r="H756" s="117"/>
      <c r="I756" s="117"/>
      <c r="J756" s="117"/>
      <c r="K756" s="117"/>
      <c r="L756" s="117"/>
      <c r="M756" s="117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  <c r="AA756" s="117"/>
      <c r="AB756" s="117"/>
    </row>
    <row r="757">
      <c r="A757" s="114"/>
      <c r="B757" s="117"/>
      <c r="C757" s="116"/>
      <c r="D757" s="116"/>
      <c r="E757" s="116"/>
      <c r="F757" s="116"/>
      <c r="G757" s="117"/>
      <c r="H757" s="117"/>
      <c r="I757" s="117"/>
      <c r="J757" s="117"/>
      <c r="K757" s="117"/>
      <c r="L757" s="117"/>
      <c r="M757" s="117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17"/>
      <c r="Y757" s="117"/>
      <c r="Z757" s="117"/>
      <c r="AA757" s="117"/>
      <c r="AB757" s="117"/>
    </row>
    <row r="758">
      <c r="A758" s="114"/>
      <c r="B758" s="117"/>
      <c r="C758" s="116"/>
      <c r="D758" s="116"/>
      <c r="E758" s="116"/>
      <c r="F758" s="116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  <c r="AA758" s="117"/>
      <c r="AB758" s="117"/>
    </row>
    <row r="759">
      <c r="A759" s="114"/>
      <c r="B759" s="117"/>
      <c r="C759" s="116"/>
      <c r="D759" s="116"/>
      <c r="E759" s="116"/>
      <c r="F759" s="116"/>
      <c r="G759" s="117"/>
      <c r="H759" s="117"/>
      <c r="I759" s="117"/>
      <c r="J759" s="117"/>
      <c r="K759" s="117"/>
      <c r="L759" s="117"/>
      <c r="M759" s="117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17"/>
      <c r="Y759" s="117"/>
      <c r="Z759" s="117"/>
      <c r="AA759" s="117"/>
      <c r="AB759" s="117"/>
    </row>
    <row r="760">
      <c r="A760" s="114"/>
      <c r="B760" s="117"/>
      <c r="C760" s="116"/>
      <c r="D760" s="116"/>
      <c r="E760" s="116"/>
      <c r="F760" s="116"/>
      <c r="G760" s="117"/>
      <c r="H760" s="117"/>
      <c r="I760" s="117"/>
      <c r="J760" s="117"/>
      <c r="K760" s="117"/>
      <c r="L760" s="117"/>
      <c r="M760" s="117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  <c r="AA760" s="117"/>
      <c r="AB760" s="117"/>
    </row>
    <row r="761">
      <c r="A761" s="114"/>
      <c r="B761" s="117"/>
      <c r="C761" s="116"/>
      <c r="D761" s="116"/>
      <c r="E761" s="116"/>
      <c r="F761" s="116"/>
      <c r="G761" s="117"/>
      <c r="H761" s="117"/>
      <c r="I761" s="117"/>
      <c r="J761" s="117"/>
      <c r="K761" s="117"/>
      <c r="L761" s="117"/>
      <c r="M761" s="117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17"/>
      <c r="Y761" s="117"/>
      <c r="Z761" s="117"/>
      <c r="AA761" s="117"/>
      <c r="AB761" s="117"/>
    </row>
    <row r="762">
      <c r="A762" s="114"/>
      <c r="B762" s="117"/>
      <c r="C762" s="116"/>
      <c r="D762" s="116"/>
      <c r="E762" s="116"/>
      <c r="F762" s="116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17"/>
      <c r="Y762" s="117"/>
      <c r="Z762" s="117"/>
      <c r="AA762" s="117"/>
      <c r="AB762" s="117"/>
    </row>
    <row r="763">
      <c r="A763" s="114"/>
      <c r="B763" s="117"/>
      <c r="C763" s="116"/>
      <c r="D763" s="116"/>
      <c r="E763" s="116"/>
      <c r="F763" s="116"/>
      <c r="G763" s="117"/>
      <c r="H763" s="117"/>
      <c r="I763" s="117"/>
      <c r="J763" s="117"/>
      <c r="K763" s="117"/>
      <c r="L763" s="117"/>
      <c r="M763" s="117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  <c r="AA763" s="117"/>
      <c r="AB763" s="117"/>
    </row>
    <row r="764">
      <c r="A764" s="114"/>
      <c r="B764" s="117"/>
      <c r="C764" s="116"/>
      <c r="D764" s="116"/>
      <c r="E764" s="116"/>
      <c r="F764" s="116"/>
      <c r="G764" s="117"/>
      <c r="H764" s="117"/>
      <c r="I764" s="117"/>
      <c r="J764" s="117"/>
      <c r="K764" s="117"/>
      <c r="L764" s="117"/>
      <c r="M764" s="117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17"/>
      <c r="Y764" s="117"/>
      <c r="Z764" s="117"/>
      <c r="AA764" s="117"/>
      <c r="AB764" s="117"/>
    </row>
    <row r="765">
      <c r="A765" s="114"/>
      <c r="B765" s="117"/>
      <c r="C765" s="116"/>
      <c r="D765" s="116"/>
      <c r="E765" s="116"/>
      <c r="F765" s="116"/>
      <c r="G765" s="117"/>
      <c r="H765" s="117"/>
      <c r="I765" s="117"/>
      <c r="J765" s="117"/>
      <c r="K765" s="117"/>
      <c r="L765" s="117"/>
      <c r="M765" s="117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17"/>
      <c r="Y765" s="117"/>
      <c r="Z765" s="117"/>
      <c r="AA765" s="117"/>
      <c r="AB765" s="117"/>
    </row>
    <row r="766">
      <c r="A766" s="114"/>
      <c r="B766" s="117"/>
      <c r="C766" s="116"/>
      <c r="D766" s="116"/>
      <c r="E766" s="116"/>
      <c r="F766" s="116"/>
      <c r="G766" s="117"/>
      <c r="H766" s="117"/>
      <c r="I766" s="117"/>
      <c r="J766" s="117"/>
      <c r="K766" s="117"/>
      <c r="L766" s="117"/>
      <c r="M766" s="117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  <c r="AA766" s="117"/>
      <c r="AB766" s="117"/>
    </row>
    <row r="767">
      <c r="A767" s="114"/>
      <c r="B767" s="117"/>
      <c r="C767" s="116"/>
      <c r="D767" s="116"/>
      <c r="E767" s="116"/>
      <c r="F767" s="116"/>
      <c r="G767" s="117"/>
      <c r="H767" s="117"/>
      <c r="I767" s="117"/>
      <c r="J767" s="117"/>
      <c r="K767" s="117"/>
      <c r="L767" s="117"/>
      <c r="M767" s="117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  <c r="AA767" s="117"/>
      <c r="AB767" s="117"/>
    </row>
    <row r="768">
      <c r="A768" s="114"/>
      <c r="B768" s="117"/>
      <c r="C768" s="116"/>
      <c r="D768" s="116"/>
      <c r="E768" s="116"/>
      <c r="F768" s="116"/>
      <c r="G768" s="117"/>
      <c r="H768" s="117"/>
      <c r="I768" s="117"/>
      <c r="J768" s="117"/>
      <c r="K768" s="117"/>
      <c r="L768" s="117"/>
      <c r="M768" s="117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  <c r="AA768" s="117"/>
      <c r="AB768" s="117"/>
    </row>
    <row r="769">
      <c r="A769" s="114"/>
      <c r="B769" s="117"/>
      <c r="C769" s="116"/>
      <c r="D769" s="116"/>
      <c r="E769" s="116"/>
      <c r="F769" s="116"/>
      <c r="G769" s="117"/>
      <c r="H769" s="117"/>
      <c r="I769" s="117"/>
      <c r="J769" s="117"/>
      <c r="K769" s="117"/>
      <c r="L769" s="117"/>
      <c r="M769" s="117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17"/>
      <c r="Y769" s="117"/>
      <c r="Z769" s="117"/>
      <c r="AA769" s="117"/>
      <c r="AB769" s="117"/>
    </row>
    <row r="770">
      <c r="A770" s="114"/>
      <c r="B770" s="117"/>
      <c r="C770" s="116"/>
      <c r="D770" s="116"/>
      <c r="E770" s="116"/>
      <c r="F770" s="116"/>
      <c r="G770" s="117"/>
      <c r="H770" s="117"/>
      <c r="I770" s="117"/>
      <c r="J770" s="117"/>
      <c r="K770" s="117"/>
      <c r="L770" s="117"/>
      <c r="M770" s="117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  <c r="AA770" s="117"/>
      <c r="AB770" s="117"/>
    </row>
    <row r="771">
      <c r="A771" s="114"/>
      <c r="B771" s="117"/>
      <c r="C771" s="116"/>
      <c r="D771" s="116"/>
      <c r="E771" s="116"/>
      <c r="F771" s="116"/>
      <c r="G771" s="117"/>
      <c r="H771" s="117"/>
      <c r="I771" s="117"/>
      <c r="J771" s="117"/>
      <c r="K771" s="117"/>
      <c r="L771" s="117"/>
      <c r="M771" s="117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  <c r="AA771" s="117"/>
      <c r="AB771" s="117"/>
    </row>
    <row r="772">
      <c r="A772" s="114"/>
      <c r="B772" s="117"/>
      <c r="C772" s="116"/>
      <c r="D772" s="116"/>
      <c r="E772" s="116"/>
      <c r="F772" s="116"/>
      <c r="G772" s="117"/>
      <c r="H772" s="117"/>
      <c r="I772" s="117"/>
      <c r="J772" s="117"/>
      <c r="K772" s="117"/>
      <c r="L772" s="117"/>
      <c r="M772" s="117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  <c r="AA772" s="117"/>
      <c r="AB772" s="117"/>
    </row>
    <row r="773">
      <c r="A773" s="114"/>
      <c r="B773" s="117"/>
      <c r="C773" s="116"/>
      <c r="D773" s="116"/>
      <c r="E773" s="116"/>
      <c r="F773" s="116"/>
      <c r="G773" s="117"/>
      <c r="H773" s="117"/>
      <c r="I773" s="117"/>
      <c r="J773" s="117"/>
      <c r="K773" s="117"/>
      <c r="L773" s="117"/>
      <c r="M773" s="117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  <c r="AA773" s="117"/>
      <c r="AB773" s="117"/>
    </row>
    <row r="774">
      <c r="A774" s="114"/>
      <c r="B774" s="117"/>
      <c r="C774" s="116"/>
      <c r="D774" s="116"/>
      <c r="E774" s="116"/>
      <c r="F774" s="116"/>
      <c r="G774" s="117"/>
      <c r="H774" s="117"/>
      <c r="I774" s="117"/>
      <c r="J774" s="117"/>
      <c r="K774" s="117"/>
      <c r="L774" s="117"/>
      <c r="M774" s="117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  <c r="AA774" s="117"/>
      <c r="AB774" s="117"/>
    </row>
    <row r="775">
      <c r="A775" s="114"/>
      <c r="B775" s="117"/>
      <c r="C775" s="116"/>
      <c r="D775" s="116"/>
      <c r="E775" s="116"/>
      <c r="F775" s="116"/>
      <c r="G775" s="117"/>
      <c r="H775" s="117"/>
      <c r="I775" s="117"/>
      <c r="J775" s="117"/>
      <c r="K775" s="117"/>
      <c r="L775" s="117"/>
      <c r="M775" s="117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  <c r="AA775" s="117"/>
      <c r="AB775" s="117"/>
    </row>
    <row r="776">
      <c r="A776" s="114"/>
      <c r="B776" s="117"/>
      <c r="C776" s="116"/>
      <c r="D776" s="116"/>
      <c r="E776" s="116"/>
      <c r="F776" s="116"/>
      <c r="G776" s="117"/>
      <c r="H776" s="117"/>
      <c r="I776" s="117"/>
      <c r="J776" s="117"/>
      <c r="K776" s="117"/>
      <c r="L776" s="117"/>
      <c r="M776" s="117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  <c r="AA776" s="117"/>
      <c r="AB776" s="117"/>
    </row>
    <row r="777">
      <c r="A777" s="114"/>
      <c r="B777" s="117"/>
      <c r="C777" s="116"/>
      <c r="D777" s="116"/>
      <c r="E777" s="116"/>
      <c r="F777" s="116"/>
      <c r="G777" s="117"/>
      <c r="H777" s="117"/>
      <c r="I777" s="117"/>
      <c r="J777" s="117"/>
      <c r="K777" s="117"/>
      <c r="L777" s="117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  <c r="AA777" s="117"/>
      <c r="AB777" s="117"/>
    </row>
    <row r="778">
      <c r="A778" s="114"/>
      <c r="B778" s="117"/>
      <c r="C778" s="116"/>
      <c r="D778" s="116"/>
      <c r="E778" s="116"/>
      <c r="F778" s="116"/>
      <c r="G778" s="117"/>
      <c r="H778" s="117"/>
      <c r="I778" s="117"/>
      <c r="J778" s="117"/>
      <c r="K778" s="117"/>
      <c r="L778" s="117"/>
      <c r="M778" s="117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  <c r="AA778" s="117"/>
      <c r="AB778" s="117"/>
    </row>
    <row r="779">
      <c r="A779" s="114"/>
      <c r="B779" s="117"/>
      <c r="C779" s="116"/>
      <c r="D779" s="116"/>
      <c r="E779" s="116"/>
      <c r="F779" s="116"/>
      <c r="G779" s="117"/>
      <c r="H779" s="117"/>
      <c r="I779" s="117"/>
      <c r="J779" s="117"/>
      <c r="K779" s="117"/>
      <c r="L779" s="117"/>
      <c r="M779" s="117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  <c r="AA779" s="117"/>
      <c r="AB779" s="117"/>
    </row>
    <row r="780">
      <c r="A780" s="114"/>
      <c r="B780" s="117"/>
      <c r="C780" s="116"/>
      <c r="D780" s="116"/>
      <c r="E780" s="116"/>
      <c r="F780" s="116"/>
      <c r="G780" s="117"/>
      <c r="H780" s="117"/>
      <c r="I780" s="117"/>
      <c r="J780" s="117"/>
      <c r="K780" s="117"/>
      <c r="L780" s="117"/>
      <c r="M780" s="117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  <c r="AA780" s="117"/>
      <c r="AB780" s="117"/>
    </row>
    <row r="781">
      <c r="A781" s="114"/>
      <c r="B781" s="117"/>
      <c r="C781" s="116"/>
      <c r="D781" s="116"/>
      <c r="E781" s="116"/>
      <c r="F781" s="116"/>
      <c r="G781" s="117"/>
      <c r="H781" s="117"/>
      <c r="I781" s="117"/>
      <c r="J781" s="117"/>
      <c r="K781" s="117"/>
      <c r="L781" s="117"/>
      <c r="M781" s="117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17"/>
      <c r="Y781" s="117"/>
      <c r="Z781" s="117"/>
      <c r="AA781" s="117"/>
      <c r="AB781" s="117"/>
    </row>
    <row r="782">
      <c r="A782" s="114"/>
      <c r="B782" s="117"/>
      <c r="C782" s="116"/>
      <c r="D782" s="116"/>
      <c r="E782" s="116"/>
      <c r="F782" s="116"/>
      <c r="G782" s="117"/>
      <c r="H782" s="117"/>
      <c r="I782" s="117"/>
      <c r="J782" s="117"/>
      <c r="K782" s="117"/>
      <c r="L782" s="117"/>
      <c r="M782" s="117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117"/>
      <c r="AB782" s="117"/>
    </row>
    <row r="783">
      <c r="A783" s="114"/>
      <c r="B783" s="117"/>
      <c r="C783" s="116"/>
      <c r="D783" s="116"/>
      <c r="E783" s="116"/>
      <c r="F783" s="116"/>
      <c r="G783" s="117"/>
      <c r="H783" s="117"/>
      <c r="I783" s="117"/>
      <c r="J783" s="117"/>
      <c r="K783" s="117"/>
      <c r="L783" s="117"/>
      <c r="M783" s="117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  <c r="AA783" s="117"/>
      <c r="AB783" s="117"/>
    </row>
    <row r="784">
      <c r="A784" s="114"/>
      <c r="B784" s="117"/>
      <c r="C784" s="116"/>
      <c r="D784" s="116"/>
      <c r="E784" s="116"/>
      <c r="F784" s="116"/>
      <c r="G784" s="117"/>
      <c r="H784" s="117"/>
      <c r="I784" s="117"/>
      <c r="J784" s="117"/>
      <c r="K784" s="117"/>
      <c r="L784" s="117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  <c r="AA784" s="117"/>
      <c r="AB784" s="117"/>
    </row>
    <row r="785">
      <c r="A785" s="114"/>
      <c r="B785" s="117"/>
      <c r="C785" s="116"/>
      <c r="D785" s="116"/>
      <c r="E785" s="116"/>
      <c r="F785" s="116"/>
      <c r="G785" s="117"/>
      <c r="H785" s="117"/>
      <c r="I785" s="117"/>
      <c r="J785" s="117"/>
      <c r="K785" s="117"/>
      <c r="L785" s="117"/>
      <c r="M785" s="117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  <c r="AA785" s="117"/>
      <c r="AB785" s="117"/>
    </row>
    <row r="786">
      <c r="A786" s="114"/>
      <c r="B786" s="117"/>
      <c r="C786" s="116"/>
      <c r="D786" s="116"/>
      <c r="E786" s="116"/>
      <c r="F786" s="116"/>
      <c r="G786" s="117"/>
      <c r="H786" s="117"/>
      <c r="I786" s="117"/>
      <c r="J786" s="117"/>
      <c r="K786" s="117"/>
      <c r="L786" s="117"/>
      <c r="M786" s="117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  <c r="AA786" s="117"/>
      <c r="AB786" s="117"/>
    </row>
    <row r="787">
      <c r="A787" s="114"/>
      <c r="B787" s="117"/>
      <c r="C787" s="116"/>
      <c r="D787" s="116"/>
      <c r="E787" s="116"/>
      <c r="F787" s="116"/>
      <c r="G787" s="117"/>
      <c r="H787" s="117"/>
      <c r="I787" s="117"/>
      <c r="J787" s="117"/>
      <c r="K787" s="117"/>
      <c r="L787" s="117"/>
      <c r="M787" s="117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  <c r="AA787" s="117"/>
      <c r="AB787" s="117"/>
    </row>
    <row r="788">
      <c r="A788" s="114"/>
      <c r="B788" s="117"/>
      <c r="C788" s="116"/>
      <c r="D788" s="116"/>
      <c r="E788" s="116"/>
      <c r="F788" s="116"/>
      <c r="G788" s="117"/>
      <c r="H788" s="117"/>
      <c r="I788" s="117"/>
      <c r="J788" s="117"/>
      <c r="K788" s="117"/>
      <c r="L788" s="117"/>
      <c r="M788" s="117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  <c r="AA788" s="117"/>
      <c r="AB788" s="117"/>
    </row>
    <row r="789">
      <c r="A789" s="114"/>
      <c r="B789" s="117"/>
      <c r="C789" s="116"/>
      <c r="D789" s="116"/>
      <c r="E789" s="116"/>
      <c r="F789" s="116"/>
      <c r="G789" s="117"/>
      <c r="H789" s="117"/>
      <c r="I789" s="117"/>
      <c r="J789" s="117"/>
      <c r="K789" s="117"/>
      <c r="L789" s="117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  <c r="AA789" s="117"/>
      <c r="AB789" s="117"/>
    </row>
    <row r="790">
      <c r="A790" s="114"/>
      <c r="B790" s="117"/>
      <c r="C790" s="116"/>
      <c r="D790" s="116"/>
      <c r="E790" s="116"/>
      <c r="F790" s="116"/>
      <c r="G790" s="117"/>
      <c r="H790" s="117"/>
      <c r="I790" s="117"/>
      <c r="J790" s="117"/>
      <c r="K790" s="117"/>
      <c r="L790" s="117"/>
      <c r="M790" s="117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  <c r="AA790" s="117"/>
      <c r="AB790" s="117"/>
    </row>
    <row r="791">
      <c r="A791" s="114"/>
      <c r="B791" s="117"/>
      <c r="C791" s="116"/>
      <c r="D791" s="116"/>
      <c r="E791" s="116"/>
      <c r="F791" s="116"/>
      <c r="G791" s="117"/>
      <c r="H791" s="117"/>
      <c r="I791" s="117"/>
      <c r="J791" s="117"/>
      <c r="K791" s="117"/>
      <c r="L791" s="117"/>
      <c r="M791" s="117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  <c r="AA791" s="117"/>
      <c r="AB791" s="117"/>
    </row>
    <row r="792">
      <c r="A792" s="114"/>
      <c r="B792" s="117"/>
      <c r="C792" s="116"/>
      <c r="D792" s="116"/>
      <c r="E792" s="116"/>
      <c r="F792" s="116"/>
      <c r="G792" s="117"/>
      <c r="H792" s="117"/>
      <c r="I792" s="117"/>
      <c r="J792" s="117"/>
      <c r="K792" s="117"/>
      <c r="L792" s="117"/>
      <c r="M792" s="117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  <c r="AA792" s="117"/>
      <c r="AB792" s="117"/>
    </row>
    <row r="793">
      <c r="A793" s="114"/>
      <c r="B793" s="117"/>
      <c r="C793" s="116"/>
      <c r="D793" s="116"/>
      <c r="E793" s="116"/>
      <c r="F793" s="116"/>
      <c r="G793" s="117"/>
      <c r="H793" s="117"/>
      <c r="I793" s="117"/>
      <c r="J793" s="117"/>
      <c r="K793" s="117"/>
      <c r="L793" s="117"/>
      <c r="M793" s="117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  <c r="Y793" s="117"/>
      <c r="Z793" s="117"/>
      <c r="AA793" s="117"/>
      <c r="AB793" s="117"/>
    </row>
    <row r="794">
      <c r="A794" s="114"/>
      <c r="B794" s="117"/>
      <c r="C794" s="116"/>
      <c r="D794" s="116"/>
      <c r="E794" s="116"/>
      <c r="F794" s="116"/>
      <c r="G794" s="117"/>
      <c r="H794" s="117"/>
      <c r="I794" s="117"/>
      <c r="J794" s="117"/>
      <c r="K794" s="117"/>
      <c r="L794" s="117"/>
      <c r="M794" s="117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  <c r="AA794" s="117"/>
      <c r="AB794" s="117"/>
    </row>
    <row r="795">
      <c r="A795" s="114"/>
      <c r="B795" s="117"/>
      <c r="C795" s="116"/>
      <c r="D795" s="116"/>
      <c r="E795" s="116"/>
      <c r="F795" s="116"/>
      <c r="G795" s="117"/>
      <c r="H795" s="117"/>
      <c r="I795" s="117"/>
      <c r="J795" s="117"/>
      <c r="K795" s="117"/>
      <c r="L795" s="117"/>
      <c r="M795" s="117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  <c r="AA795" s="117"/>
      <c r="AB795" s="117"/>
    </row>
    <row r="796">
      <c r="A796" s="114"/>
      <c r="B796" s="117"/>
      <c r="C796" s="116"/>
      <c r="D796" s="116"/>
      <c r="E796" s="116"/>
      <c r="F796" s="116"/>
      <c r="G796" s="117"/>
      <c r="H796" s="117"/>
      <c r="I796" s="117"/>
      <c r="J796" s="117"/>
      <c r="K796" s="117"/>
      <c r="L796" s="117"/>
      <c r="M796" s="117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  <c r="AA796" s="117"/>
      <c r="AB796" s="117"/>
    </row>
    <row r="797">
      <c r="A797" s="114"/>
      <c r="B797" s="117"/>
      <c r="C797" s="116"/>
      <c r="D797" s="116"/>
      <c r="E797" s="116"/>
      <c r="F797" s="116"/>
      <c r="G797" s="117"/>
      <c r="H797" s="117"/>
      <c r="I797" s="117"/>
      <c r="J797" s="117"/>
      <c r="K797" s="117"/>
      <c r="L797" s="117"/>
      <c r="M797" s="117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  <c r="AA797" s="117"/>
      <c r="AB797" s="117"/>
    </row>
    <row r="798">
      <c r="A798" s="114"/>
      <c r="B798" s="117"/>
      <c r="C798" s="116"/>
      <c r="D798" s="116"/>
      <c r="E798" s="116"/>
      <c r="F798" s="116"/>
      <c r="G798" s="117"/>
      <c r="H798" s="117"/>
      <c r="I798" s="117"/>
      <c r="J798" s="117"/>
      <c r="K798" s="117"/>
      <c r="L798" s="117"/>
      <c r="M798" s="117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  <c r="AA798" s="117"/>
      <c r="AB798" s="117"/>
    </row>
    <row r="799">
      <c r="A799" s="114"/>
      <c r="B799" s="117"/>
      <c r="C799" s="116"/>
      <c r="D799" s="116"/>
      <c r="E799" s="116"/>
      <c r="F799" s="116"/>
      <c r="G799" s="117"/>
      <c r="H799" s="117"/>
      <c r="I799" s="117"/>
      <c r="J799" s="117"/>
      <c r="K799" s="117"/>
      <c r="L799" s="117"/>
      <c r="M799" s="117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  <c r="AA799" s="117"/>
      <c r="AB799" s="117"/>
    </row>
    <row r="800">
      <c r="A800" s="114"/>
      <c r="B800" s="117"/>
      <c r="C800" s="116"/>
      <c r="D800" s="116"/>
      <c r="E800" s="116"/>
      <c r="F800" s="116"/>
      <c r="G800" s="117"/>
      <c r="H800" s="117"/>
      <c r="I800" s="117"/>
      <c r="J800" s="117"/>
      <c r="K800" s="117"/>
      <c r="L800" s="117"/>
      <c r="M800" s="117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  <c r="AA800" s="117"/>
      <c r="AB800" s="117"/>
    </row>
    <row r="801">
      <c r="A801" s="114"/>
      <c r="B801" s="117"/>
      <c r="C801" s="116"/>
      <c r="D801" s="116"/>
      <c r="E801" s="116"/>
      <c r="F801" s="116"/>
      <c r="G801" s="117"/>
      <c r="H801" s="117"/>
      <c r="I801" s="117"/>
      <c r="J801" s="117"/>
      <c r="K801" s="117"/>
      <c r="L801" s="117"/>
      <c r="M801" s="117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  <c r="AA801" s="117"/>
      <c r="AB801" s="117"/>
    </row>
    <row r="802">
      <c r="A802" s="114"/>
      <c r="B802" s="117"/>
      <c r="C802" s="116"/>
      <c r="D802" s="116"/>
      <c r="E802" s="116"/>
      <c r="F802" s="116"/>
      <c r="G802" s="117"/>
      <c r="H802" s="117"/>
      <c r="I802" s="117"/>
      <c r="J802" s="117"/>
      <c r="K802" s="117"/>
      <c r="L802" s="117"/>
      <c r="M802" s="117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  <c r="AA802" s="117"/>
      <c r="AB802" s="117"/>
    </row>
    <row r="803">
      <c r="A803" s="114"/>
      <c r="B803" s="117"/>
      <c r="C803" s="116"/>
      <c r="D803" s="116"/>
      <c r="E803" s="116"/>
      <c r="F803" s="116"/>
      <c r="G803" s="117"/>
      <c r="H803" s="117"/>
      <c r="I803" s="117"/>
      <c r="J803" s="117"/>
      <c r="K803" s="117"/>
      <c r="L803" s="117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  <c r="AA803" s="117"/>
      <c r="AB803" s="117"/>
    </row>
    <row r="804">
      <c r="A804" s="114"/>
      <c r="B804" s="117"/>
      <c r="C804" s="116"/>
      <c r="D804" s="116"/>
      <c r="E804" s="116"/>
      <c r="F804" s="116"/>
      <c r="G804" s="117"/>
      <c r="H804" s="117"/>
      <c r="I804" s="117"/>
      <c r="J804" s="117"/>
      <c r="K804" s="117"/>
      <c r="L804" s="117"/>
      <c r="M804" s="117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  <c r="AA804" s="117"/>
      <c r="AB804" s="117"/>
    </row>
    <row r="805">
      <c r="A805" s="114"/>
      <c r="B805" s="117"/>
      <c r="C805" s="116"/>
      <c r="D805" s="116"/>
      <c r="E805" s="116"/>
      <c r="F805" s="116"/>
      <c r="G805" s="117"/>
      <c r="H805" s="117"/>
      <c r="I805" s="117"/>
      <c r="J805" s="117"/>
      <c r="K805" s="117"/>
      <c r="L805" s="117"/>
      <c r="M805" s="117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17"/>
      <c r="Y805" s="117"/>
      <c r="Z805" s="117"/>
      <c r="AA805" s="117"/>
      <c r="AB805" s="117"/>
    </row>
    <row r="806">
      <c r="A806" s="114"/>
      <c r="B806" s="117"/>
      <c r="C806" s="116"/>
      <c r="D806" s="116"/>
      <c r="E806" s="116"/>
      <c r="F806" s="116"/>
      <c r="G806" s="117"/>
      <c r="H806" s="117"/>
      <c r="I806" s="117"/>
      <c r="J806" s="117"/>
      <c r="K806" s="117"/>
      <c r="L806" s="117"/>
      <c r="M806" s="117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  <c r="AA806" s="117"/>
      <c r="AB806" s="117"/>
    </row>
    <row r="807">
      <c r="A807" s="114"/>
      <c r="B807" s="117"/>
      <c r="C807" s="116"/>
      <c r="D807" s="116"/>
      <c r="E807" s="116"/>
      <c r="F807" s="116"/>
      <c r="G807" s="117"/>
      <c r="H807" s="117"/>
      <c r="I807" s="117"/>
      <c r="J807" s="117"/>
      <c r="K807" s="117"/>
      <c r="L807" s="117"/>
      <c r="M807" s="117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  <c r="AA807" s="117"/>
      <c r="AB807" s="117"/>
    </row>
    <row r="808">
      <c r="A808" s="114"/>
      <c r="B808" s="117"/>
      <c r="C808" s="116"/>
      <c r="D808" s="116"/>
      <c r="E808" s="116"/>
      <c r="F808" s="116"/>
      <c r="G808" s="117"/>
      <c r="H808" s="117"/>
      <c r="I808" s="117"/>
      <c r="J808" s="117"/>
      <c r="K808" s="117"/>
      <c r="L808" s="117"/>
      <c r="M808" s="117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  <c r="AA808" s="117"/>
      <c r="AB808" s="117"/>
    </row>
    <row r="809">
      <c r="A809" s="114"/>
      <c r="B809" s="117"/>
      <c r="C809" s="116"/>
      <c r="D809" s="116"/>
      <c r="E809" s="116"/>
      <c r="F809" s="116"/>
      <c r="G809" s="117"/>
      <c r="H809" s="117"/>
      <c r="I809" s="117"/>
      <c r="J809" s="117"/>
      <c r="K809" s="117"/>
      <c r="L809" s="117"/>
      <c r="M809" s="117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  <c r="AA809" s="117"/>
      <c r="AB809" s="117"/>
    </row>
    <row r="810">
      <c r="A810" s="114"/>
      <c r="B810" s="117"/>
      <c r="C810" s="116"/>
      <c r="D810" s="116"/>
      <c r="E810" s="116"/>
      <c r="F810" s="116"/>
      <c r="G810" s="117"/>
      <c r="H810" s="117"/>
      <c r="I810" s="117"/>
      <c r="J810" s="117"/>
      <c r="K810" s="117"/>
      <c r="L810" s="117"/>
      <c r="M810" s="117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  <c r="AA810" s="117"/>
      <c r="AB810" s="117"/>
    </row>
    <row r="811">
      <c r="A811" s="114"/>
      <c r="B811" s="117"/>
      <c r="C811" s="116"/>
      <c r="D811" s="116"/>
      <c r="E811" s="116"/>
      <c r="F811" s="116"/>
      <c r="G811" s="117"/>
      <c r="H811" s="117"/>
      <c r="I811" s="117"/>
      <c r="J811" s="117"/>
      <c r="K811" s="117"/>
      <c r="L811" s="117"/>
      <c r="M811" s="117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17"/>
      <c r="Y811" s="117"/>
      <c r="Z811" s="117"/>
      <c r="AA811" s="117"/>
      <c r="AB811" s="117"/>
    </row>
    <row r="812">
      <c r="A812" s="114"/>
      <c r="B812" s="117"/>
      <c r="C812" s="116"/>
      <c r="D812" s="116"/>
      <c r="E812" s="116"/>
      <c r="F812" s="116"/>
      <c r="G812" s="117"/>
      <c r="H812" s="117"/>
      <c r="I812" s="117"/>
      <c r="J812" s="117"/>
      <c r="K812" s="117"/>
      <c r="L812" s="117"/>
      <c r="M812" s="117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  <c r="AA812" s="117"/>
      <c r="AB812" s="117"/>
    </row>
    <row r="813">
      <c r="A813" s="114"/>
      <c r="B813" s="117"/>
      <c r="C813" s="116"/>
      <c r="D813" s="116"/>
      <c r="E813" s="116"/>
      <c r="F813" s="116"/>
      <c r="G813" s="117"/>
      <c r="H813" s="117"/>
      <c r="I813" s="117"/>
      <c r="J813" s="117"/>
      <c r="K813" s="117"/>
      <c r="L813" s="117"/>
      <c r="M813" s="117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  <c r="AA813" s="117"/>
      <c r="AB813" s="117"/>
    </row>
    <row r="814">
      <c r="A814" s="114"/>
      <c r="B814" s="117"/>
      <c r="C814" s="116"/>
      <c r="D814" s="116"/>
      <c r="E814" s="116"/>
      <c r="F814" s="116"/>
      <c r="G814" s="117"/>
      <c r="H814" s="117"/>
      <c r="I814" s="117"/>
      <c r="J814" s="117"/>
      <c r="K814" s="117"/>
      <c r="L814" s="117"/>
      <c r="M814" s="117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17"/>
      <c r="Y814" s="117"/>
      <c r="Z814" s="117"/>
      <c r="AA814" s="117"/>
      <c r="AB814" s="117"/>
    </row>
    <row r="815">
      <c r="A815" s="114"/>
      <c r="B815" s="117"/>
      <c r="C815" s="116"/>
      <c r="D815" s="116"/>
      <c r="E815" s="116"/>
      <c r="F815" s="116"/>
      <c r="G815" s="117"/>
      <c r="H815" s="117"/>
      <c r="I815" s="117"/>
      <c r="J815" s="117"/>
      <c r="K815" s="117"/>
      <c r="L815" s="117"/>
      <c r="M815" s="117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  <c r="AA815" s="117"/>
      <c r="AB815" s="117"/>
    </row>
    <row r="816">
      <c r="A816" s="114"/>
      <c r="B816" s="117"/>
      <c r="C816" s="116"/>
      <c r="D816" s="116"/>
      <c r="E816" s="116"/>
      <c r="F816" s="116"/>
      <c r="G816" s="117"/>
      <c r="H816" s="117"/>
      <c r="I816" s="117"/>
      <c r="J816" s="117"/>
      <c r="K816" s="117"/>
      <c r="L816" s="117"/>
      <c r="M816" s="117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  <c r="AA816" s="117"/>
      <c r="AB816" s="117"/>
    </row>
    <row r="817">
      <c r="A817" s="114"/>
      <c r="B817" s="117"/>
      <c r="C817" s="116"/>
      <c r="D817" s="116"/>
      <c r="E817" s="116"/>
      <c r="F817" s="116"/>
      <c r="G817" s="117"/>
      <c r="H817" s="117"/>
      <c r="I817" s="117"/>
      <c r="J817" s="117"/>
      <c r="K817" s="117"/>
      <c r="L817" s="117"/>
      <c r="M817" s="117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17"/>
      <c r="Y817" s="117"/>
      <c r="Z817" s="117"/>
      <c r="AA817" s="117"/>
      <c r="AB817" s="117"/>
    </row>
    <row r="818">
      <c r="A818" s="114"/>
      <c r="B818" s="117"/>
      <c r="C818" s="116"/>
      <c r="D818" s="116"/>
      <c r="E818" s="116"/>
      <c r="F818" s="116"/>
      <c r="G818" s="117"/>
      <c r="H818" s="117"/>
      <c r="I818" s="117"/>
      <c r="J818" s="117"/>
      <c r="K818" s="117"/>
      <c r="L818" s="117"/>
      <c r="M818" s="117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  <c r="AA818" s="117"/>
      <c r="AB818" s="117"/>
    </row>
    <row r="819">
      <c r="A819" s="114"/>
      <c r="B819" s="117"/>
      <c r="C819" s="116"/>
      <c r="D819" s="116"/>
      <c r="E819" s="116"/>
      <c r="F819" s="116"/>
      <c r="G819" s="117"/>
      <c r="H819" s="117"/>
      <c r="I819" s="117"/>
      <c r="J819" s="117"/>
      <c r="K819" s="117"/>
      <c r="L819" s="117"/>
      <c r="M819" s="117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  <c r="AA819" s="117"/>
      <c r="AB819" s="117"/>
    </row>
    <row r="820">
      <c r="A820" s="114"/>
      <c r="B820" s="117"/>
      <c r="C820" s="116"/>
      <c r="D820" s="116"/>
      <c r="E820" s="116"/>
      <c r="F820" s="116"/>
      <c r="G820" s="117"/>
      <c r="H820" s="117"/>
      <c r="I820" s="117"/>
      <c r="J820" s="117"/>
      <c r="K820" s="117"/>
      <c r="L820" s="117"/>
      <c r="M820" s="117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117"/>
      <c r="AB820" s="117"/>
    </row>
    <row r="821">
      <c r="A821" s="114"/>
      <c r="B821" s="117"/>
      <c r="C821" s="116"/>
      <c r="D821" s="116"/>
      <c r="E821" s="116"/>
      <c r="F821" s="116"/>
      <c r="G821" s="117"/>
      <c r="H821" s="117"/>
      <c r="I821" s="117"/>
      <c r="J821" s="117"/>
      <c r="K821" s="117"/>
      <c r="L821" s="117"/>
      <c r="M821" s="117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  <c r="AA821" s="117"/>
      <c r="AB821" s="117"/>
    </row>
    <row r="822">
      <c r="A822" s="114"/>
      <c r="B822" s="117"/>
      <c r="C822" s="116"/>
      <c r="D822" s="116"/>
      <c r="E822" s="116"/>
      <c r="F822" s="116"/>
      <c r="G822" s="117"/>
      <c r="H822" s="117"/>
      <c r="I822" s="117"/>
      <c r="J822" s="117"/>
      <c r="K822" s="117"/>
      <c r="L822" s="117"/>
      <c r="M822" s="117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  <c r="AA822" s="117"/>
      <c r="AB822" s="117"/>
    </row>
    <row r="823">
      <c r="A823" s="114"/>
      <c r="B823" s="117"/>
      <c r="C823" s="116"/>
      <c r="D823" s="116"/>
      <c r="E823" s="116"/>
      <c r="F823" s="116"/>
      <c r="G823" s="117"/>
      <c r="H823" s="117"/>
      <c r="I823" s="117"/>
      <c r="J823" s="117"/>
      <c r="K823" s="117"/>
      <c r="L823" s="117"/>
      <c r="M823" s="117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  <c r="AA823" s="117"/>
      <c r="AB823" s="117"/>
    </row>
    <row r="824">
      <c r="A824" s="114"/>
      <c r="B824" s="117"/>
      <c r="C824" s="116"/>
      <c r="D824" s="116"/>
      <c r="E824" s="116"/>
      <c r="F824" s="116"/>
      <c r="G824" s="117"/>
      <c r="H824" s="117"/>
      <c r="I824" s="117"/>
      <c r="J824" s="117"/>
      <c r="K824" s="117"/>
      <c r="L824" s="117"/>
      <c r="M824" s="117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  <c r="AA824" s="117"/>
      <c r="AB824" s="117"/>
    </row>
    <row r="825">
      <c r="A825" s="114"/>
      <c r="B825" s="117"/>
      <c r="C825" s="116"/>
      <c r="D825" s="116"/>
      <c r="E825" s="116"/>
      <c r="F825" s="116"/>
      <c r="G825" s="117"/>
      <c r="H825" s="117"/>
      <c r="I825" s="117"/>
      <c r="J825" s="117"/>
      <c r="K825" s="117"/>
      <c r="L825" s="117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  <c r="AA825" s="117"/>
      <c r="AB825" s="117"/>
    </row>
    <row r="826">
      <c r="A826" s="114"/>
      <c r="B826" s="117"/>
      <c r="C826" s="116"/>
      <c r="D826" s="116"/>
      <c r="E826" s="116"/>
      <c r="F826" s="116"/>
      <c r="G826" s="117"/>
      <c r="H826" s="117"/>
      <c r="I826" s="117"/>
      <c r="J826" s="117"/>
      <c r="K826" s="117"/>
      <c r="L826" s="117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  <c r="AA826" s="117"/>
      <c r="AB826" s="117"/>
    </row>
    <row r="827">
      <c r="A827" s="114"/>
      <c r="B827" s="117"/>
      <c r="C827" s="116"/>
      <c r="D827" s="116"/>
      <c r="E827" s="116"/>
      <c r="F827" s="116"/>
      <c r="G827" s="117"/>
      <c r="H827" s="117"/>
      <c r="I827" s="117"/>
      <c r="J827" s="117"/>
      <c r="K827" s="117"/>
      <c r="L827" s="117"/>
      <c r="M827" s="117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  <c r="AA827" s="117"/>
      <c r="AB827" s="117"/>
    </row>
    <row r="828">
      <c r="A828" s="114"/>
      <c r="B828" s="117"/>
      <c r="C828" s="116"/>
      <c r="D828" s="116"/>
      <c r="E828" s="116"/>
      <c r="F828" s="116"/>
      <c r="G828" s="117"/>
      <c r="H828" s="117"/>
      <c r="I828" s="117"/>
      <c r="J828" s="117"/>
      <c r="K828" s="117"/>
      <c r="L828" s="117"/>
      <c r="M828" s="117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  <c r="AA828" s="117"/>
      <c r="AB828" s="117"/>
    </row>
    <row r="829">
      <c r="A829" s="114"/>
      <c r="B829" s="117"/>
      <c r="C829" s="116"/>
      <c r="D829" s="116"/>
      <c r="E829" s="116"/>
      <c r="F829" s="116"/>
      <c r="G829" s="117"/>
      <c r="H829" s="117"/>
      <c r="I829" s="117"/>
      <c r="J829" s="117"/>
      <c r="K829" s="117"/>
      <c r="L829" s="117"/>
      <c r="M829" s="117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17"/>
      <c r="Y829" s="117"/>
      <c r="Z829" s="117"/>
      <c r="AA829" s="117"/>
      <c r="AB829" s="117"/>
    </row>
    <row r="830">
      <c r="A830" s="114"/>
      <c r="B830" s="117"/>
      <c r="C830" s="116"/>
      <c r="D830" s="116"/>
      <c r="E830" s="116"/>
      <c r="F830" s="116"/>
      <c r="G830" s="117"/>
      <c r="H830" s="117"/>
      <c r="I830" s="117"/>
      <c r="J830" s="117"/>
      <c r="K830" s="117"/>
      <c r="L830" s="117"/>
      <c r="M830" s="117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  <c r="AA830" s="117"/>
      <c r="AB830" s="117"/>
    </row>
    <row r="831">
      <c r="A831" s="114"/>
      <c r="B831" s="117"/>
      <c r="C831" s="116"/>
      <c r="D831" s="116"/>
      <c r="E831" s="116"/>
      <c r="F831" s="116"/>
      <c r="G831" s="117"/>
      <c r="H831" s="117"/>
      <c r="I831" s="117"/>
      <c r="J831" s="117"/>
      <c r="K831" s="117"/>
      <c r="L831" s="117"/>
      <c r="M831" s="117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  <c r="AA831" s="117"/>
      <c r="AB831" s="117"/>
    </row>
    <row r="832">
      <c r="A832" s="114"/>
      <c r="B832" s="117"/>
      <c r="C832" s="116"/>
      <c r="D832" s="116"/>
      <c r="E832" s="116"/>
      <c r="F832" s="116"/>
      <c r="G832" s="117"/>
      <c r="H832" s="117"/>
      <c r="I832" s="117"/>
      <c r="J832" s="117"/>
      <c r="K832" s="117"/>
      <c r="L832" s="117"/>
      <c r="M832" s="117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  <c r="AA832" s="117"/>
      <c r="AB832" s="117"/>
    </row>
    <row r="833">
      <c r="A833" s="114"/>
      <c r="B833" s="117"/>
      <c r="C833" s="116"/>
      <c r="D833" s="116"/>
      <c r="E833" s="116"/>
      <c r="F833" s="116"/>
      <c r="G833" s="117"/>
      <c r="H833" s="117"/>
      <c r="I833" s="117"/>
      <c r="J833" s="117"/>
      <c r="K833" s="117"/>
      <c r="L833" s="117"/>
      <c r="M833" s="117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  <c r="AA833" s="117"/>
      <c r="AB833" s="117"/>
    </row>
    <row r="834">
      <c r="A834" s="114"/>
      <c r="B834" s="117"/>
      <c r="C834" s="116"/>
      <c r="D834" s="116"/>
      <c r="E834" s="116"/>
      <c r="F834" s="116"/>
      <c r="G834" s="117"/>
      <c r="H834" s="117"/>
      <c r="I834" s="117"/>
      <c r="J834" s="117"/>
      <c r="K834" s="117"/>
      <c r="L834" s="117"/>
      <c r="M834" s="117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  <c r="AA834" s="117"/>
      <c r="AB834" s="117"/>
    </row>
    <row r="835">
      <c r="A835" s="114"/>
      <c r="B835" s="117"/>
      <c r="C835" s="116"/>
      <c r="D835" s="116"/>
      <c r="E835" s="116"/>
      <c r="F835" s="116"/>
      <c r="G835" s="117"/>
      <c r="H835" s="117"/>
      <c r="I835" s="117"/>
      <c r="J835" s="117"/>
      <c r="K835" s="117"/>
      <c r="L835" s="117"/>
      <c r="M835" s="117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  <c r="AA835" s="117"/>
      <c r="AB835" s="117"/>
    </row>
    <row r="836">
      <c r="A836" s="114"/>
      <c r="B836" s="117"/>
      <c r="C836" s="116"/>
      <c r="D836" s="116"/>
      <c r="E836" s="116"/>
      <c r="F836" s="116"/>
      <c r="G836" s="117"/>
      <c r="H836" s="117"/>
      <c r="I836" s="117"/>
      <c r="J836" s="117"/>
      <c r="K836" s="117"/>
      <c r="L836" s="117"/>
      <c r="M836" s="117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  <c r="AA836" s="117"/>
      <c r="AB836" s="117"/>
    </row>
    <row r="837">
      <c r="A837" s="114"/>
      <c r="B837" s="117"/>
      <c r="C837" s="116"/>
      <c r="D837" s="116"/>
      <c r="E837" s="116"/>
      <c r="F837" s="116"/>
      <c r="G837" s="117"/>
      <c r="H837" s="117"/>
      <c r="I837" s="117"/>
      <c r="J837" s="117"/>
      <c r="K837" s="117"/>
      <c r="L837" s="117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  <c r="AA837" s="117"/>
      <c r="AB837" s="117"/>
    </row>
    <row r="838">
      <c r="A838" s="114"/>
      <c r="B838" s="117"/>
      <c r="C838" s="116"/>
      <c r="D838" s="116"/>
      <c r="E838" s="116"/>
      <c r="F838" s="116"/>
      <c r="G838" s="117"/>
      <c r="H838" s="117"/>
      <c r="I838" s="117"/>
      <c r="J838" s="117"/>
      <c r="K838" s="117"/>
      <c r="L838" s="117"/>
      <c r="M838" s="117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  <c r="AA838" s="117"/>
      <c r="AB838" s="117"/>
    </row>
    <row r="839">
      <c r="A839" s="114"/>
      <c r="B839" s="117"/>
      <c r="C839" s="116"/>
      <c r="D839" s="116"/>
      <c r="E839" s="116"/>
      <c r="F839" s="116"/>
      <c r="G839" s="117"/>
      <c r="H839" s="117"/>
      <c r="I839" s="117"/>
      <c r="J839" s="117"/>
      <c r="K839" s="117"/>
      <c r="L839" s="117"/>
      <c r="M839" s="117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  <c r="AA839" s="117"/>
      <c r="AB839" s="117"/>
    </row>
    <row r="840">
      <c r="A840" s="114"/>
      <c r="B840" s="117"/>
      <c r="C840" s="116"/>
      <c r="D840" s="116"/>
      <c r="E840" s="116"/>
      <c r="F840" s="116"/>
      <c r="G840" s="117"/>
      <c r="H840" s="117"/>
      <c r="I840" s="117"/>
      <c r="J840" s="117"/>
      <c r="K840" s="117"/>
      <c r="L840" s="117"/>
      <c r="M840" s="117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  <c r="AA840" s="117"/>
      <c r="AB840" s="117"/>
    </row>
    <row r="841">
      <c r="A841" s="114"/>
      <c r="B841" s="117"/>
      <c r="C841" s="116"/>
      <c r="D841" s="116"/>
      <c r="E841" s="116"/>
      <c r="F841" s="116"/>
      <c r="G841" s="117"/>
      <c r="H841" s="117"/>
      <c r="I841" s="117"/>
      <c r="J841" s="117"/>
      <c r="K841" s="117"/>
      <c r="L841" s="117"/>
      <c r="M841" s="117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17"/>
      <c r="Y841" s="117"/>
      <c r="Z841" s="117"/>
      <c r="AA841" s="117"/>
      <c r="AB841" s="117"/>
    </row>
    <row r="842">
      <c r="A842" s="114"/>
      <c r="B842" s="117"/>
      <c r="C842" s="116"/>
      <c r="D842" s="116"/>
      <c r="E842" s="116"/>
      <c r="F842" s="116"/>
      <c r="G842" s="117"/>
      <c r="H842" s="117"/>
      <c r="I842" s="117"/>
      <c r="J842" s="117"/>
      <c r="K842" s="117"/>
      <c r="L842" s="117"/>
      <c r="M842" s="117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  <c r="AA842" s="117"/>
      <c r="AB842" s="117"/>
    </row>
    <row r="843">
      <c r="A843" s="114"/>
      <c r="B843" s="117"/>
      <c r="C843" s="116"/>
      <c r="D843" s="116"/>
      <c r="E843" s="116"/>
      <c r="F843" s="116"/>
      <c r="G843" s="117"/>
      <c r="H843" s="117"/>
      <c r="I843" s="117"/>
      <c r="J843" s="117"/>
      <c r="K843" s="117"/>
      <c r="L843" s="117"/>
      <c r="M843" s="117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  <c r="AA843" s="117"/>
      <c r="AB843" s="117"/>
    </row>
    <row r="844">
      <c r="A844" s="114"/>
      <c r="B844" s="117"/>
      <c r="C844" s="116"/>
      <c r="D844" s="116"/>
      <c r="E844" s="116"/>
      <c r="F844" s="116"/>
      <c r="G844" s="117"/>
      <c r="H844" s="117"/>
      <c r="I844" s="117"/>
      <c r="J844" s="117"/>
      <c r="K844" s="117"/>
      <c r="L844" s="117"/>
      <c r="M844" s="117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  <c r="AA844" s="117"/>
      <c r="AB844" s="117"/>
    </row>
    <row r="845">
      <c r="A845" s="114"/>
      <c r="B845" s="117"/>
      <c r="C845" s="116"/>
      <c r="D845" s="116"/>
      <c r="E845" s="116"/>
      <c r="F845" s="116"/>
      <c r="G845" s="117"/>
      <c r="H845" s="117"/>
      <c r="I845" s="117"/>
      <c r="J845" s="117"/>
      <c r="K845" s="117"/>
      <c r="L845" s="117"/>
      <c r="M845" s="117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  <c r="AA845" s="117"/>
      <c r="AB845" s="117"/>
    </row>
    <row r="846">
      <c r="A846" s="114"/>
      <c r="B846" s="117"/>
      <c r="C846" s="116"/>
      <c r="D846" s="116"/>
      <c r="E846" s="116"/>
      <c r="F846" s="116"/>
      <c r="G846" s="117"/>
      <c r="H846" s="117"/>
      <c r="I846" s="117"/>
      <c r="J846" s="117"/>
      <c r="K846" s="117"/>
      <c r="L846" s="117"/>
      <c r="M846" s="117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  <c r="AA846" s="117"/>
      <c r="AB846" s="117"/>
    </row>
    <row r="847">
      <c r="A847" s="114"/>
      <c r="B847" s="117"/>
      <c r="C847" s="116"/>
      <c r="D847" s="116"/>
      <c r="E847" s="116"/>
      <c r="F847" s="116"/>
      <c r="G847" s="117"/>
      <c r="H847" s="117"/>
      <c r="I847" s="117"/>
      <c r="J847" s="117"/>
      <c r="K847" s="117"/>
      <c r="L847" s="117"/>
      <c r="M847" s="117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  <c r="AA847" s="117"/>
      <c r="AB847" s="117"/>
    </row>
    <row r="848">
      <c r="A848" s="114"/>
      <c r="B848" s="117"/>
      <c r="C848" s="116"/>
      <c r="D848" s="116"/>
      <c r="E848" s="116"/>
      <c r="F848" s="116"/>
      <c r="G848" s="117"/>
      <c r="H848" s="117"/>
      <c r="I848" s="117"/>
      <c r="J848" s="117"/>
      <c r="K848" s="117"/>
      <c r="L848" s="117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  <c r="AA848" s="117"/>
      <c r="AB848" s="117"/>
    </row>
    <row r="849">
      <c r="A849" s="114"/>
      <c r="B849" s="117"/>
      <c r="C849" s="116"/>
      <c r="D849" s="116"/>
      <c r="E849" s="116"/>
      <c r="F849" s="116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  <c r="AA849" s="117"/>
      <c r="AB849" s="117"/>
    </row>
    <row r="850">
      <c r="A850" s="114"/>
      <c r="B850" s="117"/>
      <c r="C850" s="116"/>
      <c r="D850" s="116"/>
      <c r="E850" s="116"/>
      <c r="F850" s="116"/>
      <c r="G850" s="117"/>
      <c r="H850" s="117"/>
      <c r="I850" s="117"/>
      <c r="J850" s="117"/>
      <c r="K850" s="117"/>
      <c r="L850" s="117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  <c r="AA850" s="117"/>
      <c r="AB850" s="117"/>
    </row>
    <row r="851">
      <c r="A851" s="114"/>
      <c r="B851" s="117"/>
      <c r="C851" s="116"/>
      <c r="D851" s="116"/>
      <c r="E851" s="116"/>
      <c r="F851" s="116"/>
      <c r="G851" s="117"/>
      <c r="H851" s="117"/>
      <c r="I851" s="117"/>
      <c r="J851" s="117"/>
      <c r="K851" s="117"/>
      <c r="L851" s="117"/>
      <c r="M851" s="117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  <c r="AA851" s="117"/>
      <c r="AB851" s="117"/>
    </row>
    <row r="852">
      <c r="A852" s="114"/>
      <c r="B852" s="117"/>
      <c r="C852" s="116"/>
      <c r="D852" s="116"/>
      <c r="E852" s="116"/>
      <c r="F852" s="116"/>
      <c r="G852" s="117"/>
      <c r="H852" s="117"/>
      <c r="I852" s="117"/>
      <c r="J852" s="117"/>
      <c r="K852" s="117"/>
      <c r="L852" s="117"/>
      <c r="M852" s="117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  <c r="AA852" s="117"/>
      <c r="AB852" s="117"/>
    </row>
    <row r="853">
      <c r="A853" s="114"/>
      <c r="B853" s="117"/>
      <c r="C853" s="116"/>
      <c r="D853" s="116"/>
      <c r="E853" s="116"/>
      <c r="F853" s="116"/>
      <c r="G853" s="117"/>
      <c r="H853" s="117"/>
      <c r="I853" s="117"/>
      <c r="J853" s="117"/>
      <c r="K853" s="117"/>
      <c r="L853" s="117"/>
      <c r="M853" s="117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17"/>
      <c r="Y853" s="117"/>
      <c r="Z853" s="117"/>
      <c r="AA853" s="117"/>
      <c r="AB853" s="117"/>
    </row>
    <row r="854">
      <c r="A854" s="114"/>
      <c r="B854" s="117"/>
      <c r="C854" s="116"/>
      <c r="D854" s="116"/>
      <c r="E854" s="116"/>
      <c r="F854" s="116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  <c r="AA854" s="117"/>
      <c r="AB854" s="117"/>
    </row>
    <row r="855">
      <c r="A855" s="114"/>
      <c r="B855" s="117"/>
      <c r="C855" s="116"/>
      <c r="D855" s="116"/>
      <c r="E855" s="116"/>
      <c r="F855" s="116"/>
      <c r="G855" s="117"/>
      <c r="H855" s="117"/>
      <c r="I855" s="117"/>
      <c r="J855" s="117"/>
      <c r="K855" s="117"/>
      <c r="L855" s="117"/>
      <c r="M855" s="117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  <c r="AA855" s="117"/>
      <c r="AB855" s="117"/>
    </row>
    <row r="856">
      <c r="A856" s="114"/>
      <c r="B856" s="117"/>
      <c r="C856" s="116"/>
      <c r="D856" s="116"/>
      <c r="E856" s="116"/>
      <c r="F856" s="116"/>
      <c r="G856" s="117"/>
      <c r="H856" s="117"/>
      <c r="I856" s="117"/>
      <c r="J856" s="117"/>
      <c r="K856" s="117"/>
      <c r="L856" s="117"/>
      <c r="M856" s="117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  <c r="AA856" s="117"/>
      <c r="AB856" s="117"/>
    </row>
    <row r="857">
      <c r="A857" s="114"/>
      <c r="B857" s="117"/>
      <c r="C857" s="116"/>
      <c r="D857" s="116"/>
      <c r="E857" s="116"/>
      <c r="F857" s="116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  <c r="AA857" s="117"/>
      <c r="AB857" s="117"/>
    </row>
    <row r="858">
      <c r="A858" s="114"/>
      <c r="B858" s="117"/>
      <c r="C858" s="116"/>
      <c r="D858" s="116"/>
      <c r="E858" s="116"/>
      <c r="F858" s="116"/>
      <c r="G858" s="117"/>
      <c r="H858" s="117"/>
      <c r="I858" s="11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117"/>
      <c r="AB858" s="117"/>
    </row>
    <row r="859">
      <c r="A859" s="114"/>
      <c r="B859" s="117"/>
      <c r="C859" s="116"/>
      <c r="D859" s="116"/>
      <c r="E859" s="116"/>
      <c r="F859" s="116"/>
      <c r="G859" s="117"/>
      <c r="H859" s="117"/>
      <c r="I859" s="11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  <c r="AA859" s="117"/>
      <c r="AB859" s="117"/>
    </row>
    <row r="860">
      <c r="A860" s="114"/>
      <c r="B860" s="117"/>
      <c r="C860" s="116"/>
      <c r="D860" s="116"/>
      <c r="E860" s="116"/>
      <c r="F860" s="116"/>
      <c r="G860" s="117"/>
      <c r="H860" s="117"/>
      <c r="I860" s="117"/>
      <c r="J860" s="117"/>
      <c r="K860" s="117"/>
      <c r="L860" s="117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  <c r="AA860" s="117"/>
      <c r="AB860" s="117"/>
    </row>
    <row r="861">
      <c r="A861" s="114"/>
      <c r="B861" s="117"/>
      <c r="C861" s="116"/>
      <c r="D861" s="116"/>
      <c r="E861" s="116"/>
      <c r="F861" s="116"/>
      <c r="G861" s="117"/>
      <c r="H861" s="117"/>
      <c r="I861" s="117"/>
      <c r="J861" s="117"/>
      <c r="K861" s="117"/>
      <c r="L861" s="117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  <c r="AA861" s="117"/>
      <c r="AB861" s="117"/>
    </row>
    <row r="862">
      <c r="A862" s="114"/>
      <c r="B862" s="117"/>
      <c r="C862" s="116"/>
      <c r="D862" s="116"/>
      <c r="E862" s="116"/>
      <c r="F862" s="116"/>
      <c r="G862" s="117"/>
      <c r="H862" s="117"/>
      <c r="I862" s="117"/>
      <c r="J862" s="117"/>
      <c r="K862" s="117"/>
      <c r="L862" s="117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  <c r="Y862" s="117"/>
      <c r="Z862" s="117"/>
      <c r="AA862" s="117"/>
      <c r="AB862" s="117"/>
    </row>
    <row r="863">
      <c r="A863" s="114"/>
      <c r="B863" s="117"/>
      <c r="C863" s="116"/>
      <c r="D863" s="116"/>
      <c r="E863" s="116"/>
      <c r="F863" s="116"/>
      <c r="G863" s="117"/>
      <c r="H863" s="117"/>
      <c r="I863" s="117"/>
      <c r="J863" s="117"/>
      <c r="K863" s="117"/>
      <c r="L863" s="117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  <c r="AA863" s="117"/>
      <c r="AB863" s="117"/>
    </row>
    <row r="864">
      <c r="A864" s="114"/>
      <c r="B864" s="117"/>
      <c r="C864" s="116"/>
      <c r="D864" s="116"/>
      <c r="E864" s="116"/>
      <c r="F864" s="116"/>
      <c r="G864" s="117"/>
      <c r="H864" s="117"/>
      <c r="I864" s="117"/>
      <c r="J864" s="117"/>
      <c r="K864" s="117"/>
      <c r="L864" s="117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  <c r="AA864" s="117"/>
      <c r="AB864" s="117"/>
    </row>
    <row r="865">
      <c r="A865" s="114"/>
      <c r="B865" s="117"/>
      <c r="C865" s="116"/>
      <c r="D865" s="116"/>
      <c r="E865" s="116"/>
      <c r="F865" s="116"/>
      <c r="G865" s="117"/>
      <c r="H865" s="117"/>
      <c r="I865" s="117"/>
      <c r="J865" s="117"/>
      <c r="K865" s="117"/>
      <c r="L865" s="117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  <c r="Y865" s="117"/>
      <c r="Z865" s="117"/>
      <c r="AA865" s="117"/>
      <c r="AB865" s="117"/>
    </row>
    <row r="866">
      <c r="A866" s="114"/>
      <c r="B866" s="117"/>
      <c r="C866" s="116"/>
      <c r="D866" s="116"/>
      <c r="E866" s="116"/>
      <c r="F866" s="116"/>
      <c r="G866" s="117"/>
      <c r="H866" s="117"/>
      <c r="I866" s="117"/>
      <c r="J866" s="117"/>
      <c r="K866" s="117"/>
      <c r="L866" s="117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  <c r="AA866" s="117"/>
      <c r="AB866" s="117"/>
    </row>
    <row r="867">
      <c r="A867" s="114"/>
      <c r="B867" s="117"/>
      <c r="C867" s="116"/>
      <c r="D867" s="116"/>
      <c r="E867" s="116"/>
      <c r="F867" s="116"/>
      <c r="G867" s="117"/>
      <c r="H867" s="117"/>
      <c r="I867" s="117"/>
      <c r="J867" s="117"/>
      <c r="K867" s="117"/>
      <c r="L867" s="117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  <c r="AA867" s="117"/>
      <c r="AB867" s="117"/>
    </row>
    <row r="868">
      <c r="A868" s="114"/>
      <c r="B868" s="117"/>
      <c r="C868" s="116"/>
      <c r="D868" s="116"/>
      <c r="E868" s="116"/>
      <c r="F868" s="116"/>
      <c r="G868" s="117"/>
      <c r="H868" s="117"/>
      <c r="I868" s="117"/>
      <c r="J868" s="117"/>
      <c r="K868" s="117"/>
      <c r="L868" s="117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  <c r="AA868" s="117"/>
      <c r="AB868" s="117"/>
    </row>
    <row r="869">
      <c r="A869" s="114"/>
      <c r="B869" s="117"/>
      <c r="C869" s="116"/>
      <c r="D869" s="116"/>
      <c r="E869" s="116"/>
      <c r="F869" s="116"/>
      <c r="G869" s="117"/>
      <c r="H869" s="117"/>
      <c r="I869" s="117"/>
      <c r="J869" s="117"/>
      <c r="K869" s="117"/>
      <c r="L869" s="117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  <c r="AA869" s="117"/>
      <c r="AB869" s="117"/>
    </row>
    <row r="870">
      <c r="A870" s="114"/>
      <c r="B870" s="117"/>
      <c r="C870" s="116"/>
      <c r="D870" s="116"/>
      <c r="E870" s="116"/>
      <c r="F870" s="116"/>
      <c r="G870" s="117"/>
      <c r="H870" s="117"/>
      <c r="I870" s="117"/>
      <c r="J870" s="117"/>
      <c r="K870" s="117"/>
      <c r="L870" s="117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  <c r="AA870" s="117"/>
      <c r="AB870" s="117"/>
    </row>
    <row r="871">
      <c r="A871" s="114"/>
      <c r="B871" s="117"/>
      <c r="C871" s="116"/>
      <c r="D871" s="116"/>
      <c r="E871" s="116"/>
      <c r="F871" s="116"/>
      <c r="G871" s="117"/>
      <c r="H871" s="117"/>
      <c r="I871" s="117"/>
      <c r="J871" s="117"/>
      <c r="K871" s="117"/>
      <c r="L871" s="117"/>
      <c r="M871" s="117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  <c r="AA871" s="117"/>
      <c r="AB871" s="117"/>
    </row>
    <row r="872">
      <c r="A872" s="114"/>
      <c r="B872" s="117"/>
      <c r="C872" s="116"/>
      <c r="D872" s="116"/>
      <c r="E872" s="116"/>
      <c r="F872" s="116"/>
      <c r="G872" s="117"/>
      <c r="H872" s="117"/>
      <c r="I872" s="117"/>
      <c r="J872" s="117"/>
      <c r="K872" s="117"/>
      <c r="L872" s="117"/>
      <c r="M872" s="117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  <c r="AA872" s="117"/>
      <c r="AB872" s="117"/>
    </row>
    <row r="873">
      <c r="A873" s="114"/>
      <c r="B873" s="117"/>
      <c r="C873" s="116"/>
      <c r="D873" s="116"/>
      <c r="E873" s="116"/>
      <c r="F873" s="116"/>
      <c r="G873" s="117"/>
      <c r="H873" s="117"/>
      <c r="I873" s="117"/>
      <c r="J873" s="117"/>
      <c r="K873" s="117"/>
      <c r="L873" s="117"/>
      <c r="M873" s="117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  <c r="AA873" s="117"/>
      <c r="AB873" s="117"/>
    </row>
    <row r="874">
      <c r="A874" s="114"/>
      <c r="B874" s="117"/>
      <c r="C874" s="116"/>
      <c r="D874" s="116"/>
      <c r="E874" s="116"/>
      <c r="F874" s="116"/>
      <c r="G874" s="117"/>
      <c r="H874" s="117"/>
      <c r="I874" s="117"/>
      <c r="J874" s="117"/>
      <c r="K874" s="117"/>
      <c r="L874" s="117"/>
      <c r="M874" s="117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  <c r="AA874" s="117"/>
      <c r="AB874" s="117"/>
    </row>
    <row r="875">
      <c r="A875" s="114"/>
      <c r="B875" s="117"/>
      <c r="C875" s="116"/>
      <c r="D875" s="116"/>
      <c r="E875" s="116"/>
      <c r="F875" s="116"/>
      <c r="G875" s="117"/>
      <c r="H875" s="117"/>
      <c r="I875" s="117"/>
      <c r="J875" s="117"/>
      <c r="K875" s="117"/>
      <c r="L875" s="117"/>
      <c r="M875" s="117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  <c r="AA875" s="117"/>
      <c r="AB875" s="117"/>
    </row>
    <row r="876">
      <c r="A876" s="114"/>
      <c r="B876" s="117"/>
      <c r="C876" s="116"/>
      <c r="D876" s="116"/>
      <c r="E876" s="116"/>
      <c r="F876" s="116"/>
      <c r="G876" s="117"/>
      <c r="H876" s="117"/>
      <c r="I876" s="117"/>
      <c r="J876" s="117"/>
      <c r="K876" s="117"/>
      <c r="L876" s="117"/>
      <c r="M876" s="117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  <c r="AA876" s="117"/>
      <c r="AB876" s="117"/>
    </row>
    <row r="877">
      <c r="A877" s="114"/>
      <c r="B877" s="117"/>
      <c r="C877" s="116"/>
      <c r="D877" s="116"/>
      <c r="E877" s="116"/>
      <c r="F877" s="116"/>
      <c r="G877" s="117"/>
      <c r="H877" s="117"/>
      <c r="I877" s="117"/>
      <c r="J877" s="117"/>
      <c r="K877" s="117"/>
      <c r="L877" s="117"/>
      <c r="M877" s="117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17"/>
      <c r="Y877" s="117"/>
      <c r="Z877" s="117"/>
      <c r="AA877" s="117"/>
      <c r="AB877" s="117"/>
    </row>
    <row r="878">
      <c r="A878" s="114"/>
      <c r="B878" s="117"/>
      <c r="C878" s="116"/>
      <c r="D878" s="116"/>
      <c r="E878" s="116"/>
      <c r="F878" s="116"/>
      <c r="G878" s="117"/>
      <c r="H878" s="117"/>
      <c r="I878" s="117"/>
      <c r="J878" s="117"/>
      <c r="K878" s="117"/>
      <c r="L878" s="117"/>
      <c r="M878" s="117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  <c r="AA878" s="117"/>
      <c r="AB878" s="117"/>
    </row>
    <row r="879">
      <c r="A879" s="114"/>
      <c r="B879" s="117"/>
      <c r="C879" s="116"/>
      <c r="D879" s="116"/>
      <c r="E879" s="116"/>
      <c r="F879" s="116"/>
      <c r="G879" s="117"/>
      <c r="H879" s="117"/>
      <c r="I879" s="117"/>
      <c r="J879" s="117"/>
      <c r="K879" s="117"/>
      <c r="L879" s="117"/>
      <c r="M879" s="117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  <c r="AA879" s="117"/>
      <c r="AB879" s="117"/>
    </row>
    <row r="880">
      <c r="A880" s="114"/>
      <c r="B880" s="117"/>
      <c r="C880" s="116"/>
      <c r="D880" s="116"/>
      <c r="E880" s="116"/>
      <c r="F880" s="116"/>
      <c r="G880" s="117"/>
      <c r="H880" s="117"/>
      <c r="I880" s="117"/>
      <c r="J880" s="117"/>
      <c r="K880" s="117"/>
      <c r="L880" s="117"/>
      <c r="M880" s="117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  <c r="AA880" s="117"/>
      <c r="AB880" s="117"/>
    </row>
    <row r="881">
      <c r="A881" s="114"/>
      <c r="B881" s="117"/>
      <c r="C881" s="116"/>
      <c r="D881" s="116"/>
      <c r="E881" s="116"/>
      <c r="F881" s="116"/>
      <c r="G881" s="117"/>
      <c r="H881" s="117"/>
      <c r="I881" s="117"/>
      <c r="J881" s="117"/>
      <c r="K881" s="117"/>
      <c r="L881" s="117"/>
      <c r="M881" s="117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  <c r="AA881" s="117"/>
      <c r="AB881" s="117"/>
    </row>
    <row r="882">
      <c r="A882" s="114"/>
      <c r="B882" s="117"/>
      <c r="C882" s="116"/>
      <c r="D882" s="116"/>
      <c r="E882" s="116"/>
      <c r="F882" s="116"/>
      <c r="G882" s="117"/>
      <c r="H882" s="117"/>
      <c r="I882" s="117"/>
      <c r="J882" s="117"/>
      <c r="K882" s="117"/>
      <c r="L882" s="117"/>
      <c r="M882" s="117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  <c r="AA882" s="117"/>
      <c r="AB882" s="117"/>
    </row>
    <row r="883">
      <c r="A883" s="114"/>
      <c r="B883" s="117"/>
      <c r="C883" s="116"/>
      <c r="D883" s="116"/>
      <c r="E883" s="116"/>
      <c r="F883" s="116"/>
      <c r="G883" s="117"/>
      <c r="H883" s="117"/>
      <c r="I883" s="117"/>
      <c r="J883" s="117"/>
      <c r="K883" s="117"/>
      <c r="L883" s="117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  <c r="AA883" s="117"/>
      <c r="AB883" s="117"/>
    </row>
    <row r="884">
      <c r="A884" s="114"/>
      <c r="B884" s="117"/>
      <c r="C884" s="116"/>
      <c r="D884" s="116"/>
      <c r="E884" s="116"/>
      <c r="F884" s="116"/>
      <c r="G884" s="117"/>
      <c r="H884" s="117"/>
      <c r="I884" s="117"/>
      <c r="J884" s="117"/>
      <c r="K884" s="117"/>
      <c r="L884" s="117"/>
      <c r="M884" s="117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  <c r="AA884" s="117"/>
      <c r="AB884" s="117"/>
    </row>
    <row r="885">
      <c r="A885" s="114"/>
      <c r="B885" s="117"/>
      <c r="C885" s="116"/>
      <c r="D885" s="116"/>
      <c r="E885" s="116"/>
      <c r="F885" s="116"/>
      <c r="G885" s="117"/>
      <c r="H885" s="117"/>
      <c r="I885" s="117"/>
      <c r="J885" s="117"/>
      <c r="K885" s="117"/>
      <c r="L885" s="117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  <c r="AA885" s="117"/>
      <c r="AB885" s="117"/>
    </row>
    <row r="886">
      <c r="A886" s="114"/>
      <c r="B886" s="117"/>
      <c r="C886" s="116"/>
      <c r="D886" s="116"/>
      <c r="E886" s="116"/>
      <c r="F886" s="116"/>
      <c r="G886" s="117"/>
      <c r="H886" s="117"/>
      <c r="I886" s="117"/>
      <c r="J886" s="117"/>
      <c r="K886" s="117"/>
      <c r="L886" s="117"/>
      <c r="M886" s="117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  <c r="AA886" s="117"/>
      <c r="AB886" s="117"/>
    </row>
    <row r="887">
      <c r="A887" s="114"/>
      <c r="B887" s="117"/>
      <c r="C887" s="116"/>
      <c r="D887" s="116"/>
      <c r="E887" s="116"/>
      <c r="F887" s="116"/>
      <c r="G887" s="117"/>
      <c r="H887" s="117"/>
      <c r="I887" s="117"/>
      <c r="J887" s="117"/>
      <c r="K887" s="117"/>
      <c r="L887" s="117"/>
      <c r="M887" s="117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  <c r="AA887" s="117"/>
      <c r="AB887" s="117"/>
    </row>
    <row r="888">
      <c r="A888" s="114"/>
      <c r="B888" s="117"/>
      <c r="C888" s="116"/>
      <c r="D888" s="116"/>
      <c r="E888" s="116"/>
      <c r="F888" s="116"/>
      <c r="G888" s="117"/>
      <c r="H888" s="117"/>
      <c r="I888" s="117"/>
      <c r="J888" s="117"/>
      <c r="K888" s="117"/>
      <c r="L888" s="117"/>
      <c r="M888" s="117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  <c r="AA888" s="117"/>
      <c r="AB888" s="117"/>
    </row>
    <row r="889">
      <c r="A889" s="114"/>
      <c r="B889" s="117"/>
      <c r="C889" s="116"/>
      <c r="D889" s="116"/>
      <c r="E889" s="116"/>
      <c r="F889" s="116"/>
      <c r="G889" s="117"/>
      <c r="H889" s="117"/>
      <c r="I889" s="117"/>
      <c r="J889" s="117"/>
      <c r="K889" s="117"/>
      <c r="L889" s="117"/>
      <c r="M889" s="117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17"/>
      <c r="Y889" s="117"/>
      <c r="Z889" s="117"/>
      <c r="AA889" s="117"/>
      <c r="AB889" s="117"/>
    </row>
    <row r="890">
      <c r="A890" s="114"/>
      <c r="B890" s="117"/>
      <c r="C890" s="116"/>
      <c r="D890" s="116"/>
      <c r="E890" s="116"/>
      <c r="F890" s="116"/>
      <c r="G890" s="117"/>
      <c r="H890" s="117"/>
      <c r="I890" s="117"/>
      <c r="J890" s="117"/>
      <c r="K890" s="117"/>
      <c r="L890" s="117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  <c r="AA890" s="117"/>
      <c r="AB890" s="117"/>
    </row>
    <row r="891">
      <c r="A891" s="114"/>
      <c r="B891" s="117"/>
      <c r="C891" s="116"/>
      <c r="D891" s="116"/>
      <c r="E891" s="116"/>
      <c r="F891" s="116"/>
      <c r="G891" s="117"/>
      <c r="H891" s="117"/>
      <c r="I891" s="117"/>
      <c r="J891" s="117"/>
      <c r="K891" s="117"/>
      <c r="L891" s="117"/>
      <c r="M891" s="117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  <c r="AA891" s="117"/>
      <c r="AB891" s="117"/>
    </row>
    <row r="892">
      <c r="A892" s="114"/>
      <c r="B892" s="117"/>
      <c r="C892" s="116"/>
      <c r="D892" s="116"/>
      <c r="E892" s="116"/>
      <c r="F892" s="116"/>
      <c r="G892" s="117"/>
      <c r="H892" s="117"/>
      <c r="I892" s="117"/>
      <c r="J892" s="117"/>
      <c r="K892" s="117"/>
      <c r="L892" s="117"/>
      <c r="M892" s="117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  <c r="AA892" s="117"/>
      <c r="AB892" s="117"/>
    </row>
    <row r="893">
      <c r="A893" s="114"/>
      <c r="B893" s="117"/>
      <c r="C893" s="116"/>
      <c r="D893" s="116"/>
      <c r="E893" s="116"/>
      <c r="F893" s="116"/>
      <c r="G893" s="117"/>
      <c r="H893" s="117"/>
      <c r="I893" s="117"/>
      <c r="J893" s="117"/>
      <c r="K893" s="117"/>
      <c r="L893" s="117"/>
      <c r="M893" s="117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  <c r="AA893" s="117"/>
      <c r="AB893" s="117"/>
    </row>
    <row r="894">
      <c r="A894" s="114"/>
      <c r="B894" s="117"/>
      <c r="C894" s="116"/>
      <c r="D894" s="116"/>
      <c r="E894" s="116"/>
      <c r="F894" s="116"/>
      <c r="G894" s="117"/>
      <c r="H894" s="117"/>
      <c r="I894" s="117"/>
      <c r="J894" s="117"/>
      <c r="K894" s="117"/>
      <c r="L894" s="117"/>
      <c r="M894" s="117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  <c r="AA894" s="117"/>
      <c r="AB894" s="117"/>
    </row>
    <row r="895">
      <c r="A895" s="114"/>
      <c r="B895" s="117"/>
      <c r="C895" s="116"/>
      <c r="D895" s="116"/>
      <c r="E895" s="116"/>
      <c r="F895" s="116"/>
      <c r="G895" s="117"/>
      <c r="H895" s="117"/>
      <c r="I895" s="117"/>
      <c r="J895" s="117"/>
      <c r="K895" s="117"/>
      <c r="L895" s="117"/>
      <c r="M895" s="117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  <c r="AA895" s="117"/>
      <c r="AB895" s="117"/>
    </row>
    <row r="896">
      <c r="A896" s="114"/>
      <c r="B896" s="117"/>
      <c r="C896" s="116"/>
      <c r="D896" s="116"/>
      <c r="E896" s="116"/>
      <c r="F896" s="116"/>
      <c r="G896" s="117"/>
      <c r="H896" s="117"/>
      <c r="I896" s="117"/>
      <c r="J896" s="117"/>
      <c r="K896" s="117"/>
      <c r="L896" s="117"/>
      <c r="M896" s="117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117"/>
      <c r="AB896" s="117"/>
    </row>
    <row r="897">
      <c r="A897" s="114"/>
      <c r="B897" s="117"/>
      <c r="C897" s="116"/>
      <c r="D897" s="116"/>
      <c r="E897" s="116"/>
      <c r="F897" s="116"/>
      <c r="G897" s="117"/>
      <c r="H897" s="117"/>
      <c r="I897" s="117"/>
      <c r="J897" s="117"/>
      <c r="K897" s="117"/>
      <c r="L897" s="117"/>
      <c r="M897" s="117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  <c r="AA897" s="117"/>
      <c r="AB897" s="117"/>
    </row>
    <row r="898">
      <c r="A898" s="114"/>
      <c r="B898" s="117"/>
      <c r="C898" s="116"/>
      <c r="D898" s="116"/>
      <c r="E898" s="116"/>
      <c r="F898" s="116"/>
      <c r="G898" s="117"/>
      <c r="H898" s="117"/>
      <c r="I898" s="117"/>
      <c r="J898" s="117"/>
      <c r="K898" s="117"/>
      <c r="L898" s="117"/>
      <c r="M898" s="117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  <c r="AA898" s="117"/>
      <c r="AB898" s="117"/>
    </row>
    <row r="899">
      <c r="A899" s="114"/>
      <c r="B899" s="117"/>
      <c r="C899" s="116"/>
      <c r="D899" s="116"/>
      <c r="E899" s="116"/>
      <c r="F899" s="116"/>
      <c r="G899" s="117"/>
      <c r="H899" s="117"/>
      <c r="I899" s="117"/>
      <c r="J899" s="117"/>
      <c r="K899" s="117"/>
      <c r="L899" s="117"/>
      <c r="M899" s="117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  <c r="AA899" s="117"/>
      <c r="AB899" s="117"/>
    </row>
    <row r="900">
      <c r="A900" s="114"/>
      <c r="B900" s="117"/>
      <c r="C900" s="116"/>
      <c r="D900" s="116"/>
      <c r="E900" s="116"/>
      <c r="F900" s="116"/>
      <c r="G900" s="117"/>
      <c r="H900" s="117"/>
      <c r="I900" s="117"/>
      <c r="J900" s="117"/>
      <c r="K900" s="117"/>
      <c r="L900" s="117"/>
      <c r="M900" s="117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  <c r="AA900" s="117"/>
      <c r="AB900" s="117"/>
    </row>
    <row r="901">
      <c r="A901" s="114"/>
      <c r="B901" s="117"/>
      <c r="C901" s="116"/>
      <c r="D901" s="116"/>
      <c r="E901" s="116"/>
      <c r="F901" s="116"/>
      <c r="G901" s="117"/>
      <c r="H901" s="117"/>
      <c r="I901" s="117"/>
      <c r="J901" s="117"/>
      <c r="K901" s="117"/>
      <c r="L901" s="117"/>
      <c r="M901" s="117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  <c r="X901" s="117"/>
      <c r="Y901" s="117"/>
      <c r="Z901" s="117"/>
      <c r="AA901" s="117"/>
      <c r="AB901" s="117"/>
    </row>
    <row r="902">
      <c r="A902" s="114"/>
      <c r="B902" s="117"/>
      <c r="C902" s="116"/>
      <c r="D902" s="116"/>
      <c r="E902" s="116"/>
      <c r="F902" s="116"/>
      <c r="G902" s="117"/>
      <c r="H902" s="117"/>
      <c r="I902" s="117"/>
      <c r="J902" s="117"/>
      <c r="K902" s="117"/>
      <c r="L902" s="117"/>
      <c r="M902" s="117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  <c r="AA902" s="117"/>
      <c r="AB902" s="117"/>
    </row>
    <row r="903">
      <c r="A903" s="114"/>
      <c r="B903" s="117"/>
      <c r="C903" s="116"/>
      <c r="D903" s="116"/>
      <c r="E903" s="116"/>
      <c r="F903" s="116"/>
      <c r="G903" s="117"/>
      <c r="H903" s="117"/>
      <c r="I903" s="117"/>
      <c r="J903" s="117"/>
      <c r="K903" s="117"/>
      <c r="L903" s="117"/>
      <c r="M903" s="117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  <c r="AA903" s="117"/>
      <c r="AB903" s="117"/>
    </row>
    <row r="904">
      <c r="A904" s="114"/>
      <c r="B904" s="117"/>
      <c r="C904" s="116"/>
      <c r="D904" s="116"/>
      <c r="E904" s="116"/>
      <c r="F904" s="116"/>
      <c r="G904" s="117"/>
      <c r="H904" s="117"/>
      <c r="I904" s="117"/>
      <c r="J904" s="117"/>
      <c r="K904" s="117"/>
      <c r="L904" s="117"/>
      <c r="M904" s="117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  <c r="AA904" s="117"/>
      <c r="AB904" s="117"/>
    </row>
    <row r="905">
      <c r="A905" s="114"/>
      <c r="B905" s="117"/>
      <c r="C905" s="116"/>
      <c r="D905" s="116"/>
      <c r="E905" s="116"/>
      <c r="F905" s="116"/>
      <c r="G905" s="117"/>
      <c r="H905" s="117"/>
      <c r="I905" s="117"/>
      <c r="J905" s="117"/>
      <c r="K905" s="117"/>
      <c r="L905" s="117"/>
      <c r="M905" s="117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  <c r="AA905" s="117"/>
      <c r="AB905" s="117"/>
    </row>
    <row r="906">
      <c r="A906" s="114"/>
      <c r="B906" s="117"/>
      <c r="C906" s="116"/>
      <c r="D906" s="116"/>
      <c r="E906" s="116"/>
      <c r="F906" s="116"/>
      <c r="G906" s="117"/>
      <c r="H906" s="117"/>
      <c r="I906" s="117"/>
      <c r="J906" s="117"/>
      <c r="K906" s="117"/>
      <c r="L906" s="117"/>
      <c r="M906" s="117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  <c r="AA906" s="117"/>
      <c r="AB906" s="117"/>
    </row>
    <row r="907">
      <c r="A907" s="114"/>
      <c r="B907" s="117"/>
      <c r="C907" s="116"/>
      <c r="D907" s="116"/>
      <c r="E907" s="116"/>
      <c r="F907" s="116"/>
      <c r="G907" s="117"/>
      <c r="H907" s="117"/>
      <c r="I907" s="117"/>
      <c r="J907" s="117"/>
      <c r="K907" s="117"/>
      <c r="L907" s="117"/>
      <c r="M907" s="117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  <c r="AA907" s="117"/>
      <c r="AB907" s="117"/>
    </row>
    <row r="908">
      <c r="A908" s="114"/>
      <c r="B908" s="117"/>
      <c r="C908" s="116"/>
      <c r="D908" s="116"/>
      <c r="E908" s="116"/>
      <c r="F908" s="116"/>
      <c r="G908" s="117"/>
      <c r="H908" s="117"/>
      <c r="I908" s="117"/>
      <c r="J908" s="117"/>
      <c r="K908" s="117"/>
      <c r="L908" s="117"/>
      <c r="M908" s="117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  <c r="AA908" s="117"/>
      <c r="AB908" s="117"/>
    </row>
    <row r="909">
      <c r="A909" s="114"/>
      <c r="B909" s="117"/>
      <c r="C909" s="116"/>
      <c r="D909" s="116"/>
      <c r="E909" s="116"/>
      <c r="F909" s="116"/>
      <c r="G909" s="117"/>
      <c r="H909" s="117"/>
      <c r="I909" s="117"/>
      <c r="J909" s="117"/>
      <c r="K909" s="117"/>
      <c r="L909" s="117"/>
      <c r="M909" s="117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  <c r="AA909" s="117"/>
      <c r="AB909" s="117"/>
    </row>
    <row r="910">
      <c r="A910" s="114"/>
      <c r="B910" s="117"/>
      <c r="C910" s="116"/>
      <c r="D910" s="116"/>
      <c r="E910" s="116"/>
      <c r="F910" s="116"/>
      <c r="G910" s="117"/>
      <c r="H910" s="117"/>
      <c r="I910" s="117"/>
      <c r="J910" s="117"/>
      <c r="K910" s="117"/>
      <c r="L910" s="117"/>
      <c r="M910" s="117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  <c r="AA910" s="117"/>
      <c r="AB910" s="117"/>
    </row>
    <row r="911">
      <c r="A911" s="114"/>
      <c r="B911" s="117"/>
      <c r="C911" s="116"/>
      <c r="D911" s="116"/>
      <c r="E911" s="116"/>
      <c r="F911" s="116"/>
      <c r="G911" s="117"/>
      <c r="H911" s="117"/>
      <c r="I911" s="117"/>
      <c r="J911" s="117"/>
      <c r="K911" s="117"/>
      <c r="L911" s="117"/>
      <c r="M911" s="117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  <c r="AA911" s="117"/>
      <c r="AB911" s="117"/>
    </row>
    <row r="912">
      <c r="A912" s="114"/>
      <c r="B912" s="117"/>
      <c r="C912" s="116"/>
      <c r="D912" s="116"/>
      <c r="E912" s="116"/>
      <c r="F912" s="116"/>
      <c r="G912" s="117"/>
      <c r="H912" s="117"/>
      <c r="I912" s="117"/>
      <c r="J912" s="117"/>
      <c r="K912" s="117"/>
      <c r="L912" s="117"/>
      <c r="M912" s="117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  <c r="AA912" s="117"/>
      <c r="AB912" s="117"/>
    </row>
    <row r="913">
      <c r="A913" s="114"/>
      <c r="B913" s="117"/>
      <c r="C913" s="116"/>
      <c r="D913" s="116"/>
      <c r="E913" s="116"/>
      <c r="F913" s="116"/>
      <c r="G913" s="117"/>
      <c r="H913" s="117"/>
      <c r="I913" s="117"/>
      <c r="J913" s="117"/>
      <c r="K913" s="117"/>
      <c r="L913" s="117"/>
      <c r="M913" s="117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  <c r="X913" s="117"/>
      <c r="Y913" s="117"/>
      <c r="Z913" s="117"/>
      <c r="AA913" s="117"/>
      <c r="AB913" s="117"/>
    </row>
    <row r="914">
      <c r="A914" s="114"/>
      <c r="B914" s="117"/>
      <c r="C914" s="116"/>
      <c r="D914" s="116"/>
      <c r="E914" s="116"/>
      <c r="F914" s="116"/>
      <c r="G914" s="117"/>
      <c r="H914" s="117"/>
      <c r="I914" s="117"/>
      <c r="J914" s="117"/>
      <c r="K914" s="117"/>
      <c r="L914" s="117"/>
      <c r="M914" s="117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  <c r="X914" s="117"/>
      <c r="Y914" s="117"/>
      <c r="Z914" s="117"/>
      <c r="AA914" s="117"/>
      <c r="AB914" s="117"/>
    </row>
    <row r="915">
      <c r="A915" s="114"/>
      <c r="B915" s="117"/>
      <c r="C915" s="116"/>
      <c r="D915" s="116"/>
      <c r="E915" s="116"/>
      <c r="F915" s="116"/>
      <c r="G915" s="117"/>
      <c r="H915" s="117"/>
      <c r="I915" s="117"/>
      <c r="J915" s="117"/>
      <c r="K915" s="117"/>
      <c r="L915" s="117"/>
      <c r="M915" s="117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  <c r="AA915" s="117"/>
      <c r="AB915" s="117"/>
    </row>
    <row r="916">
      <c r="A916" s="114"/>
      <c r="B916" s="117"/>
      <c r="C916" s="116"/>
      <c r="D916" s="116"/>
      <c r="E916" s="116"/>
      <c r="F916" s="116"/>
      <c r="G916" s="117"/>
      <c r="H916" s="117"/>
      <c r="I916" s="117"/>
      <c r="J916" s="117"/>
      <c r="K916" s="117"/>
      <c r="L916" s="117"/>
      <c r="M916" s="117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  <c r="X916" s="117"/>
      <c r="Y916" s="117"/>
      <c r="Z916" s="117"/>
      <c r="AA916" s="117"/>
      <c r="AB916" s="117"/>
    </row>
    <row r="917">
      <c r="A917" s="114"/>
      <c r="B917" s="117"/>
      <c r="C917" s="116"/>
      <c r="D917" s="116"/>
      <c r="E917" s="116"/>
      <c r="F917" s="116"/>
      <c r="G917" s="117"/>
      <c r="H917" s="117"/>
      <c r="I917" s="117"/>
      <c r="J917" s="117"/>
      <c r="K917" s="117"/>
      <c r="L917" s="117"/>
      <c r="M917" s="117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  <c r="AA917" s="117"/>
      <c r="AB917" s="117"/>
    </row>
    <row r="918">
      <c r="A918" s="114"/>
      <c r="B918" s="117"/>
      <c r="C918" s="116"/>
      <c r="D918" s="116"/>
      <c r="E918" s="116"/>
      <c r="F918" s="116"/>
      <c r="G918" s="117"/>
      <c r="H918" s="117"/>
      <c r="I918" s="117"/>
      <c r="J918" s="117"/>
      <c r="K918" s="117"/>
      <c r="L918" s="117"/>
      <c r="M918" s="117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  <c r="AA918" s="117"/>
      <c r="AB918" s="117"/>
    </row>
    <row r="919">
      <c r="A919" s="114"/>
      <c r="B919" s="117"/>
      <c r="C919" s="116"/>
      <c r="D919" s="116"/>
      <c r="E919" s="116"/>
      <c r="F919" s="116"/>
      <c r="G919" s="117"/>
      <c r="H919" s="117"/>
      <c r="I919" s="117"/>
      <c r="J919" s="117"/>
      <c r="K919" s="117"/>
      <c r="L919" s="117"/>
      <c r="M919" s="117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  <c r="AA919" s="117"/>
      <c r="AB919" s="117"/>
    </row>
    <row r="920">
      <c r="A920" s="114"/>
      <c r="B920" s="117"/>
      <c r="C920" s="116"/>
      <c r="D920" s="116"/>
      <c r="E920" s="116"/>
      <c r="F920" s="116"/>
      <c r="G920" s="117"/>
      <c r="H920" s="117"/>
      <c r="I920" s="117"/>
      <c r="J920" s="117"/>
      <c r="K920" s="117"/>
      <c r="L920" s="117"/>
      <c r="M920" s="117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  <c r="AA920" s="117"/>
      <c r="AB920" s="117"/>
    </row>
    <row r="921">
      <c r="A921" s="114"/>
      <c r="B921" s="117"/>
      <c r="C921" s="116"/>
      <c r="D921" s="116"/>
      <c r="E921" s="116"/>
      <c r="F921" s="116"/>
      <c r="G921" s="117"/>
      <c r="H921" s="117"/>
      <c r="I921" s="117"/>
      <c r="J921" s="117"/>
      <c r="K921" s="117"/>
      <c r="L921" s="117"/>
      <c r="M921" s="117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  <c r="AA921" s="117"/>
      <c r="AB921" s="117"/>
    </row>
    <row r="922">
      <c r="A922" s="114"/>
      <c r="B922" s="117"/>
      <c r="C922" s="116"/>
      <c r="D922" s="116"/>
      <c r="E922" s="116"/>
      <c r="F922" s="116"/>
      <c r="G922" s="117"/>
      <c r="H922" s="117"/>
      <c r="I922" s="117"/>
      <c r="J922" s="117"/>
      <c r="K922" s="117"/>
      <c r="L922" s="117"/>
      <c r="M922" s="117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  <c r="AA922" s="117"/>
      <c r="AB922" s="117"/>
    </row>
    <row r="923">
      <c r="A923" s="114"/>
      <c r="B923" s="117"/>
      <c r="C923" s="116"/>
      <c r="D923" s="116"/>
      <c r="E923" s="116"/>
      <c r="F923" s="116"/>
      <c r="G923" s="117"/>
      <c r="H923" s="117"/>
      <c r="I923" s="117"/>
      <c r="J923" s="117"/>
      <c r="K923" s="117"/>
      <c r="L923" s="117"/>
      <c r="M923" s="117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  <c r="AA923" s="117"/>
      <c r="AB923" s="117"/>
    </row>
    <row r="924">
      <c r="A924" s="114"/>
      <c r="B924" s="117"/>
      <c r="C924" s="116"/>
      <c r="D924" s="116"/>
      <c r="E924" s="116"/>
      <c r="F924" s="116"/>
      <c r="G924" s="117"/>
      <c r="H924" s="117"/>
      <c r="I924" s="117"/>
      <c r="J924" s="117"/>
      <c r="K924" s="117"/>
      <c r="L924" s="117"/>
      <c r="M924" s="117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  <c r="AA924" s="117"/>
      <c r="AB924" s="117"/>
    </row>
    <row r="925">
      <c r="A925" s="114"/>
      <c r="B925" s="117"/>
      <c r="C925" s="116"/>
      <c r="D925" s="116"/>
      <c r="E925" s="116"/>
      <c r="F925" s="116"/>
      <c r="G925" s="117"/>
      <c r="H925" s="117"/>
      <c r="I925" s="117"/>
      <c r="J925" s="117"/>
      <c r="K925" s="117"/>
      <c r="L925" s="117"/>
      <c r="M925" s="117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  <c r="X925" s="117"/>
      <c r="Y925" s="117"/>
      <c r="Z925" s="117"/>
      <c r="AA925" s="117"/>
      <c r="AB925" s="117"/>
    </row>
    <row r="926">
      <c r="A926" s="114"/>
      <c r="B926" s="117"/>
      <c r="C926" s="116"/>
      <c r="D926" s="116"/>
      <c r="E926" s="116"/>
      <c r="F926" s="116"/>
      <c r="G926" s="117"/>
      <c r="H926" s="117"/>
      <c r="I926" s="117"/>
      <c r="J926" s="117"/>
      <c r="K926" s="117"/>
      <c r="L926" s="117"/>
      <c r="M926" s="117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  <c r="AA926" s="117"/>
      <c r="AB926" s="117"/>
    </row>
    <row r="927">
      <c r="A927" s="114"/>
      <c r="B927" s="117"/>
      <c r="C927" s="116"/>
      <c r="D927" s="116"/>
      <c r="E927" s="116"/>
      <c r="F927" s="116"/>
      <c r="G927" s="117"/>
      <c r="H927" s="117"/>
      <c r="I927" s="117"/>
      <c r="J927" s="117"/>
      <c r="K927" s="117"/>
      <c r="L927" s="117"/>
      <c r="M927" s="117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  <c r="AA927" s="117"/>
      <c r="AB927" s="117"/>
    </row>
    <row r="928">
      <c r="A928" s="114"/>
      <c r="B928" s="117"/>
      <c r="C928" s="116"/>
      <c r="D928" s="116"/>
      <c r="E928" s="116"/>
      <c r="F928" s="116"/>
      <c r="G928" s="117"/>
      <c r="H928" s="117"/>
      <c r="I928" s="117"/>
      <c r="J928" s="117"/>
      <c r="K928" s="117"/>
      <c r="L928" s="117"/>
      <c r="M928" s="117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  <c r="AA928" s="117"/>
      <c r="AB928" s="117"/>
    </row>
    <row r="929">
      <c r="A929" s="114"/>
      <c r="B929" s="117"/>
      <c r="C929" s="116"/>
      <c r="D929" s="116"/>
      <c r="E929" s="116"/>
      <c r="F929" s="116"/>
      <c r="G929" s="117"/>
      <c r="H929" s="117"/>
      <c r="I929" s="117"/>
      <c r="J929" s="117"/>
      <c r="K929" s="117"/>
      <c r="L929" s="117"/>
      <c r="M929" s="117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  <c r="AA929" s="117"/>
      <c r="AB929" s="117"/>
    </row>
    <row r="930">
      <c r="A930" s="114"/>
      <c r="B930" s="117"/>
      <c r="C930" s="116"/>
      <c r="D930" s="116"/>
      <c r="E930" s="116"/>
      <c r="F930" s="116"/>
      <c r="G930" s="117"/>
      <c r="H930" s="117"/>
      <c r="I930" s="117"/>
      <c r="J930" s="117"/>
      <c r="K930" s="117"/>
      <c r="L930" s="117"/>
      <c r="M930" s="117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  <c r="AA930" s="117"/>
      <c r="AB930" s="117"/>
    </row>
    <row r="931">
      <c r="A931" s="114"/>
      <c r="B931" s="117"/>
      <c r="C931" s="116"/>
      <c r="D931" s="116"/>
      <c r="E931" s="116"/>
      <c r="F931" s="116"/>
      <c r="G931" s="117"/>
      <c r="H931" s="117"/>
      <c r="I931" s="117"/>
      <c r="J931" s="117"/>
      <c r="K931" s="117"/>
      <c r="L931" s="117"/>
      <c r="M931" s="117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  <c r="AA931" s="117"/>
      <c r="AB931" s="117"/>
    </row>
    <row r="932">
      <c r="A932" s="114"/>
      <c r="B932" s="117"/>
      <c r="C932" s="116"/>
      <c r="D932" s="116"/>
      <c r="E932" s="116"/>
      <c r="F932" s="116"/>
      <c r="G932" s="117"/>
      <c r="H932" s="117"/>
      <c r="I932" s="117"/>
      <c r="J932" s="117"/>
      <c r="K932" s="117"/>
      <c r="L932" s="117"/>
      <c r="M932" s="117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  <c r="AA932" s="117"/>
      <c r="AB932" s="117"/>
    </row>
    <row r="933">
      <c r="A933" s="114"/>
      <c r="B933" s="117"/>
      <c r="C933" s="116"/>
      <c r="D933" s="116"/>
      <c r="E933" s="116"/>
      <c r="F933" s="116"/>
      <c r="G933" s="117"/>
      <c r="H933" s="117"/>
      <c r="I933" s="117"/>
      <c r="J933" s="117"/>
      <c r="K933" s="117"/>
      <c r="L933" s="117"/>
      <c r="M933" s="117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  <c r="AA933" s="117"/>
      <c r="AB933" s="117"/>
    </row>
    <row r="934">
      <c r="A934" s="114"/>
      <c r="B934" s="117"/>
      <c r="C934" s="116"/>
      <c r="D934" s="116"/>
      <c r="E934" s="116"/>
      <c r="F934" s="116"/>
      <c r="G934" s="117"/>
      <c r="H934" s="117"/>
      <c r="I934" s="117"/>
      <c r="J934" s="117"/>
      <c r="K934" s="117"/>
      <c r="L934" s="117"/>
      <c r="M934" s="117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117"/>
      <c r="AB934" s="117"/>
    </row>
    <row r="935">
      <c r="A935" s="114"/>
      <c r="B935" s="117"/>
      <c r="C935" s="116"/>
      <c r="D935" s="116"/>
      <c r="E935" s="116"/>
      <c r="F935" s="116"/>
      <c r="G935" s="117"/>
      <c r="H935" s="117"/>
      <c r="I935" s="117"/>
      <c r="J935" s="117"/>
      <c r="K935" s="117"/>
      <c r="L935" s="117"/>
      <c r="M935" s="117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  <c r="AA935" s="117"/>
      <c r="AB935" s="117"/>
    </row>
    <row r="936">
      <c r="A936" s="114"/>
      <c r="B936" s="117"/>
      <c r="C936" s="116"/>
      <c r="D936" s="116"/>
      <c r="E936" s="116"/>
      <c r="F936" s="116"/>
      <c r="G936" s="117"/>
      <c r="H936" s="117"/>
      <c r="I936" s="117"/>
      <c r="J936" s="117"/>
      <c r="K936" s="117"/>
      <c r="L936" s="117"/>
      <c r="M936" s="117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  <c r="AA936" s="117"/>
      <c r="AB936" s="117"/>
    </row>
    <row r="937">
      <c r="A937" s="114"/>
      <c r="B937" s="117"/>
      <c r="C937" s="116"/>
      <c r="D937" s="116"/>
      <c r="E937" s="116"/>
      <c r="F937" s="116"/>
      <c r="G937" s="117"/>
      <c r="H937" s="117"/>
      <c r="I937" s="117"/>
      <c r="J937" s="117"/>
      <c r="K937" s="117"/>
      <c r="L937" s="117"/>
      <c r="M937" s="117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  <c r="X937" s="117"/>
      <c r="Y937" s="117"/>
      <c r="Z937" s="117"/>
      <c r="AA937" s="117"/>
      <c r="AB937" s="117"/>
    </row>
    <row r="938">
      <c r="A938" s="114"/>
      <c r="B938" s="117"/>
      <c r="C938" s="116"/>
      <c r="D938" s="116"/>
      <c r="E938" s="116"/>
      <c r="F938" s="116"/>
      <c r="G938" s="117"/>
      <c r="H938" s="117"/>
      <c r="I938" s="117"/>
      <c r="J938" s="117"/>
      <c r="K938" s="117"/>
      <c r="L938" s="117"/>
      <c r="M938" s="117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  <c r="AA938" s="117"/>
      <c r="AB938" s="117"/>
    </row>
    <row r="939">
      <c r="A939" s="114"/>
      <c r="B939" s="117"/>
      <c r="C939" s="116"/>
      <c r="D939" s="116"/>
      <c r="E939" s="116"/>
      <c r="F939" s="116"/>
      <c r="G939" s="117"/>
      <c r="H939" s="117"/>
      <c r="I939" s="117"/>
      <c r="J939" s="117"/>
      <c r="K939" s="117"/>
      <c r="L939" s="117"/>
      <c r="M939" s="117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  <c r="AA939" s="117"/>
      <c r="AB939" s="117"/>
    </row>
    <row r="940">
      <c r="A940" s="114"/>
      <c r="B940" s="117"/>
      <c r="C940" s="116"/>
      <c r="D940" s="116"/>
      <c r="E940" s="116"/>
      <c r="F940" s="116"/>
      <c r="G940" s="117"/>
      <c r="H940" s="117"/>
      <c r="I940" s="117"/>
      <c r="J940" s="117"/>
      <c r="K940" s="117"/>
      <c r="L940" s="117"/>
      <c r="M940" s="117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  <c r="AA940" s="117"/>
      <c r="AB940" s="117"/>
    </row>
    <row r="941">
      <c r="A941" s="114"/>
      <c r="B941" s="117"/>
      <c r="C941" s="116"/>
      <c r="D941" s="116"/>
      <c r="E941" s="116"/>
      <c r="F941" s="116"/>
      <c r="G941" s="117"/>
      <c r="H941" s="117"/>
      <c r="I941" s="117"/>
      <c r="J941" s="117"/>
      <c r="K941" s="117"/>
      <c r="L941" s="117"/>
      <c r="M941" s="117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  <c r="AA941" s="117"/>
      <c r="AB941" s="117"/>
    </row>
    <row r="942">
      <c r="A942" s="114"/>
      <c r="B942" s="117"/>
      <c r="C942" s="116"/>
      <c r="D942" s="116"/>
      <c r="E942" s="116"/>
      <c r="F942" s="116"/>
      <c r="G942" s="117"/>
      <c r="H942" s="117"/>
      <c r="I942" s="117"/>
      <c r="J942" s="117"/>
      <c r="K942" s="117"/>
      <c r="L942" s="117"/>
      <c r="M942" s="117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  <c r="AA942" s="117"/>
      <c r="AB942" s="117"/>
    </row>
    <row r="943">
      <c r="A943" s="114"/>
      <c r="B943" s="117"/>
      <c r="C943" s="116"/>
      <c r="D943" s="116"/>
      <c r="E943" s="116"/>
      <c r="F943" s="116"/>
      <c r="G943" s="117"/>
      <c r="H943" s="117"/>
      <c r="I943" s="117"/>
      <c r="J943" s="117"/>
      <c r="K943" s="117"/>
      <c r="L943" s="117"/>
      <c r="M943" s="117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  <c r="AA943" s="117"/>
      <c r="AB943" s="117"/>
    </row>
    <row r="944">
      <c r="A944" s="114"/>
      <c r="B944" s="117"/>
      <c r="C944" s="116"/>
      <c r="D944" s="116"/>
      <c r="E944" s="116"/>
      <c r="F944" s="116"/>
      <c r="G944" s="117"/>
      <c r="H944" s="117"/>
      <c r="I944" s="117"/>
      <c r="J944" s="117"/>
      <c r="K944" s="117"/>
      <c r="L944" s="117"/>
      <c r="M944" s="117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  <c r="AA944" s="117"/>
      <c r="AB944" s="117"/>
    </row>
    <row r="945">
      <c r="A945" s="114"/>
      <c r="B945" s="117"/>
      <c r="C945" s="116"/>
      <c r="D945" s="116"/>
      <c r="E945" s="116"/>
      <c r="F945" s="116"/>
      <c r="G945" s="117"/>
      <c r="H945" s="117"/>
      <c r="I945" s="117"/>
      <c r="J945" s="117"/>
      <c r="K945" s="117"/>
      <c r="L945" s="117"/>
      <c r="M945" s="117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  <c r="AA945" s="117"/>
      <c r="AB945" s="117"/>
    </row>
    <row r="946">
      <c r="A946" s="114"/>
      <c r="B946" s="117"/>
      <c r="C946" s="116"/>
      <c r="D946" s="116"/>
      <c r="E946" s="116"/>
      <c r="F946" s="116"/>
      <c r="G946" s="117"/>
      <c r="H946" s="117"/>
      <c r="I946" s="117"/>
      <c r="J946" s="117"/>
      <c r="K946" s="117"/>
      <c r="L946" s="117"/>
      <c r="M946" s="117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  <c r="AA946" s="117"/>
      <c r="AB946" s="117"/>
    </row>
    <row r="947">
      <c r="A947" s="114"/>
      <c r="B947" s="117"/>
      <c r="C947" s="116"/>
      <c r="D947" s="116"/>
      <c r="E947" s="116"/>
      <c r="F947" s="116"/>
      <c r="G947" s="117"/>
      <c r="H947" s="117"/>
      <c r="I947" s="117"/>
      <c r="J947" s="117"/>
      <c r="K947" s="117"/>
      <c r="L947" s="117"/>
      <c r="M947" s="117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  <c r="AA947" s="117"/>
      <c r="AB947" s="117"/>
    </row>
    <row r="948">
      <c r="A948" s="114"/>
      <c r="B948" s="117"/>
      <c r="C948" s="116"/>
      <c r="D948" s="116"/>
      <c r="E948" s="116"/>
      <c r="F948" s="116"/>
      <c r="G948" s="117"/>
      <c r="H948" s="117"/>
      <c r="I948" s="117"/>
      <c r="J948" s="117"/>
      <c r="K948" s="117"/>
      <c r="L948" s="117"/>
      <c r="M948" s="117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  <c r="AA948" s="117"/>
      <c r="AB948" s="117"/>
    </row>
    <row r="949">
      <c r="A949" s="114"/>
      <c r="B949" s="117"/>
      <c r="C949" s="116"/>
      <c r="D949" s="116"/>
      <c r="E949" s="116"/>
      <c r="F949" s="116"/>
      <c r="G949" s="117"/>
      <c r="H949" s="117"/>
      <c r="I949" s="117"/>
      <c r="J949" s="117"/>
      <c r="K949" s="117"/>
      <c r="L949" s="117"/>
      <c r="M949" s="117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  <c r="X949" s="117"/>
      <c r="Y949" s="117"/>
      <c r="Z949" s="117"/>
      <c r="AA949" s="117"/>
      <c r="AB949" s="117"/>
    </row>
    <row r="950">
      <c r="A950" s="114"/>
      <c r="B950" s="117"/>
      <c r="C950" s="116"/>
      <c r="D950" s="116"/>
      <c r="E950" s="116"/>
      <c r="F950" s="116"/>
      <c r="G950" s="117"/>
      <c r="H950" s="117"/>
      <c r="I950" s="117"/>
      <c r="J950" s="117"/>
      <c r="K950" s="117"/>
      <c r="L950" s="117"/>
      <c r="M950" s="117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  <c r="AA950" s="117"/>
      <c r="AB950" s="117"/>
    </row>
    <row r="951">
      <c r="A951" s="114"/>
      <c r="B951" s="117"/>
      <c r="C951" s="116"/>
      <c r="D951" s="116"/>
      <c r="E951" s="116"/>
      <c r="F951" s="116"/>
      <c r="G951" s="117"/>
      <c r="H951" s="117"/>
      <c r="I951" s="117"/>
      <c r="J951" s="117"/>
      <c r="K951" s="117"/>
      <c r="L951" s="117"/>
      <c r="M951" s="117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  <c r="AA951" s="117"/>
      <c r="AB951" s="117"/>
    </row>
    <row r="952">
      <c r="A952" s="114"/>
      <c r="B952" s="117"/>
      <c r="C952" s="116"/>
      <c r="D952" s="116"/>
      <c r="E952" s="116"/>
      <c r="F952" s="116"/>
      <c r="G952" s="117"/>
      <c r="H952" s="117"/>
      <c r="I952" s="117"/>
      <c r="J952" s="117"/>
      <c r="K952" s="117"/>
      <c r="L952" s="117"/>
      <c r="M952" s="117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  <c r="AA952" s="117"/>
      <c r="AB952" s="117"/>
    </row>
    <row r="953">
      <c r="A953" s="114"/>
      <c r="B953" s="117"/>
      <c r="C953" s="116"/>
      <c r="D953" s="116"/>
      <c r="E953" s="116"/>
      <c r="F953" s="116"/>
      <c r="G953" s="117"/>
      <c r="H953" s="117"/>
      <c r="I953" s="117"/>
      <c r="J953" s="117"/>
      <c r="K953" s="117"/>
      <c r="L953" s="117"/>
      <c r="M953" s="117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  <c r="X953" s="117"/>
      <c r="Y953" s="117"/>
      <c r="Z953" s="117"/>
      <c r="AA953" s="117"/>
      <c r="AB953" s="117"/>
    </row>
    <row r="954">
      <c r="A954" s="114"/>
      <c r="B954" s="117"/>
      <c r="C954" s="116"/>
      <c r="D954" s="116"/>
      <c r="E954" s="116"/>
      <c r="F954" s="116"/>
      <c r="G954" s="117"/>
      <c r="H954" s="117"/>
      <c r="I954" s="117"/>
      <c r="J954" s="117"/>
      <c r="K954" s="117"/>
      <c r="L954" s="117"/>
      <c r="M954" s="117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  <c r="X954" s="117"/>
      <c r="Y954" s="117"/>
      <c r="Z954" s="117"/>
      <c r="AA954" s="117"/>
      <c r="AB954" s="117"/>
    </row>
    <row r="955">
      <c r="A955" s="114"/>
      <c r="B955" s="117"/>
      <c r="C955" s="116"/>
      <c r="D955" s="116"/>
      <c r="E955" s="116"/>
      <c r="F955" s="116"/>
      <c r="G955" s="117"/>
      <c r="H955" s="117"/>
      <c r="I955" s="117"/>
      <c r="J955" s="117"/>
      <c r="K955" s="117"/>
      <c r="L955" s="117"/>
      <c r="M955" s="117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  <c r="X955" s="117"/>
      <c r="Y955" s="117"/>
      <c r="Z955" s="117"/>
      <c r="AA955" s="117"/>
      <c r="AB955" s="117"/>
    </row>
    <row r="956">
      <c r="A956" s="114"/>
      <c r="B956" s="117"/>
      <c r="C956" s="116"/>
      <c r="D956" s="116"/>
      <c r="E956" s="116"/>
      <c r="F956" s="116"/>
      <c r="G956" s="117"/>
      <c r="H956" s="117"/>
      <c r="I956" s="117"/>
      <c r="J956" s="117"/>
      <c r="K956" s="117"/>
      <c r="L956" s="117"/>
      <c r="M956" s="117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  <c r="X956" s="117"/>
      <c r="Y956" s="117"/>
      <c r="Z956" s="117"/>
      <c r="AA956" s="117"/>
      <c r="AB956" s="117"/>
    </row>
    <row r="957">
      <c r="A957" s="114"/>
      <c r="B957" s="117"/>
      <c r="C957" s="116"/>
      <c r="D957" s="116"/>
      <c r="E957" s="116"/>
      <c r="F957" s="116"/>
      <c r="G957" s="117"/>
      <c r="H957" s="117"/>
      <c r="I957" s="117"/>
      <c r="J957" s="117"/>
      <c r="K957" s="117"/>
      <c r="L957" s="117"/>
      <c r="M957" s="117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  <c r="X957" s="117"/>
      <c r="Y957" s="117"/>
      <c r="Z957" s="117"/>
      <c r="AA957" s="117"/>
      <c r="AB957" s="117"/>
    </row>
    <row r="958">
      <c r="A958" s="114"/>
      <c r="B958" s="117"/>
      <c r="C958" s="116"/>
      <c r="D958" s="116"/>
      <c r="E958" s="116"/>
      <c r="F958" s="116"/>
      <c r="G958" s="117"/>
      <c r="H958" s="117"/>
      <c r="I958" s="117"/>
      <c r="J958" s="117"/>
      <c r="K958" s="117"/>
      <c r="L958" s="117"/>
      <c r="M958" s="117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  <c r="X958" s="117"/>
      <c r="Y958" s="117"/>
      <c r="Z958" s="117"/>
      <c r="AA958" s="117"/>
      <c r="AB958" s="117"/>
    </row>
    <row r="959">
      <c r="A959" s="114"/>
      <c r="B959" s="117"/>
      <c r="C959" s="116"/>
      <c r="D959" s="116"/>
      <c r="E959" s="116"/>
      <c r="F959" s="116"/>
      <c r="G959" s="117"/>
      <c r="H959" s="117"/>
      <c r="I959" s="117"/>
      <c r="J959" s="117"/>
      <c r="K959" s="117"/>
      <c r="L959" s="117"/>
      <c r="M959" s="117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  <c r="X959" s="117"/>
      <c r="Y959" s="117"/>
      <c r="Z959" s="117"/>
      <c r="AA959" s="117"/>
      <c r="AB959" s="117"/>
    </row>
    <row r="960">
      <c r="A960" s="114"/>
      <c r="B960" s="117"/>
      <c r="C960" s="116"/>
      <c r="D960" s="116"/>
      <c r="E960" s="116"/>
      <c r="F960" s="116"/>
      <c r="G960" s="117"/>
      <c r="H960" s="117"/>
      <c r="I960" s="117"/>
      <c r="J960" s="117"/>
      <c r="K960" s="117"/>
      <c r="L960" s="117"/>
      <c r="M960" s="117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  <c r="X960" s="117"/>
      <c r="Y960" s="117"/>
      <c r="Z960" s="117"/>
      <c r="AA960" s="117"/>
      <c r="AB960" s="117"/>
    </row>
    <row r="961">
      <c r="A961" s="114"/>
      <c r="B961" s="117"/>
      <c r="C961" s="116"/>
      <c r="D961" s="116"/>
      <c r="E961" s="116"/>
      <c r="F961" s="116"/>
      <c r="G961" s="117"/>
      <c r="H961" s="117"/>
      <c r="I961" s="117"/>
      <c r="J961" s="117"/>
      <c r="K961" s="117"/>
      <c r="L961" s="117"/>
      <c r="M961" s="117"/>
      <c r="N961" s="117"/>
      <c r="O961" s="117"/>
      <c r="P961" s="117"/>
      <c r="Q961" s="117"/>
      <c r="R961" s="117"/>
      <c r="S961" s="117"/>
      <c r="T961" s="117"/>
      <c r="U961" s="117"/>
      <c r="V961" s="117"/>
      <c r="W961" s="117"/>
      <c r="X961" s="117"/>
      <c r="Y961" s="117"/>
      <c r="Z961" s="117"/>
      <c r="AA961" s="117"/>
      <c r="AB961" s="117"/>
    </row>
    <row r="962">
      <c r="A962" s="114"/>
      <c r="B962" s="117"/>
      <c r="C962" s="116"/>
      <c r="D962" s="116"/>
      <c r="E962" s="116"/>
      <c r="F962" s="116"/>
      <c r="G962" s="117"/>
      <c r="H962" s="117"/>
      <c r="I962" s="117"/>
      <c r="J962" s="117"/>
      <c r="K962" s="117"/>
      <c r="L962" s="117"/>
      <c r="M962" s="117"/>
      <c r="N962" s="117"/>
      <c r="O962" s="117"/>
      <c r="P962" s="117"/>
      <c r="Q962" s="117"/>
      <c r="R962" s="117"/>
      <c r="S962" s="117"/>
      <c r="T962" s="117"/>
      <c r="U962" s="117"/>
      <c r="V962" s="117"/>
      <c r="W962" s="117"/>
      <c r="X962" s="117"/>
      <c r="Y962" s="117"/>
      <c r="Z962" s="117"/>
      <c r="AA962" s="117"/>
      <c r="AB962" s="117"/>
    </row>
    <row r="963">
      <c r="A963" s="114"/>
      <c r="B963" s="117"/>
      <c r="C963" s="116"/>
      <c r="D963" s="116"/>
      <c r="E963" s="116"/>
      <c r="F963" s="116"/>
      <c r="G963" s="117"/>
      <c r="H963" s="117"/>
      <c r="I963" s="117"/>
      <c r="J963" s="117"/>
      <c r="K963" s="117"/>
      <c r="L963" s="117"/>
      <c r="M963" s="117"/>
      <c r="N963" s="117"/>
      <c r="O963" s="117"/>
      <c r="P963" s="117"/>
      <c r="Q963" s="117"/>
      <c r="R963" s="117"/>
      <c r="S963" s="117"/>
      <c r="T963" s="117"/>
      <c r="U963" s="117"/>
      <c r="V963" s="117"/>
      <c r="W963" s="117"/>
      <c r="X963" s="117"/>
      <c r="Y963" s="117"/>
      <c r="Z963" s="117"/>
      <c r="AA963" s="117"/>
      <c r="AB963" s="117"/>
    </row>
    <row r="964">
      <c r="A964" s="114"/>
      <c r="B964" s="117"/>
      <c r="C964" s="116"/>
      <c r="D964" s="116"/>
      <c r="E964" s="116"/>
      <c r="F964" s="116"/>
      <c r="G964" s="117"/>
      <c r="H964" s="117"/>
      <c r="I964" s="117"/>
      <c r="J964" s="117"/>
      <c r="K964" s="117"/>
      <c r="L964" s="117"/>
      <c r="M964" s="117"/>
      <c r="N964" s="117"/>
      <c r="O964" s="117"/>
      <c r="P964" s="117"/>
      <c r="Q964" s="117"/>
      <c r="R964" s="117"/>
      <c r="S964" s="117"/>
      <c r="T964" s="117"/>
      <c r="U964" s="117"/>
      <c r="V964" s="117"/>
      <c r="W964" s="117"/>
      <c r="X964" s="117"/>
      <c r="Y964" s="117"/>
      <c r="Z964" s="117"/>
      <c r="AA964" s="117"/>
      <c r="AB964" s="117"/>
    </row>
    <row r="965">
      <c r="A965" s="114"/>
      <c r="B965" s="117"/>
      <c r="C965" s="116"/>
      <c r="D965" s="116"/>
      <c r="E965" s="116"/>
      <c r="F965" s="116"/>
      <c r="G965" s="117"/>
      <c r="H965" s="117"/>
      <c r="I965" s="117"/>
      <c r="J965" s="117"/>
      <c r="K965" s="117"/>
      <c r="L965" s="117"/>
      <c r="M965" s="117"/>
      <c r="N965" s="117"/>
      <c r="O965" s="117"/>
      <c r="P965" s="117"/>
      <c r="Q965" s="117"/>
      <c r="R965" s="117"/>
      <c r="S965" s="117"/>
      <c r="T965" s="117"/>
      <c r="U965" s="117"/>
      <c r="V965" s="117"/>
      <c r="W965" s="117"/>
      <c r="X965" s="117"/>
      <c r="Y965" s="117"/>
      <c r="Z965" s="117"/>
      <c r="AA965" s="117"/>
      <c r="AB965" s="117"/>
    </row>
    <row r="966">
      <c r="A966" s="114"/>
      <c r="B966" s="117"/>
      <c r="C966" s="116"/>
      <c r="D966" s="116"/>
      <c r="E966" s="116"/>
      <c r="F966" s="116"/>
      <c r="G966" s="117"/>
      <c r="H966" s="117"/>
      <c r="I966" s="117"/>
      <c r="J966" s="117"/>
      <c r="K966" s="117"/>
      <c r="L966" s="117"/>
      <c r="M966" s="117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  <c r="AA966" s="117"/>
      <c r="AB966" s="117"/>
    </row>
    <row r="967">
      <c r="A967" s="114"/>
      <c r="B967" s="117"/>
      <c r="C967" s="116"/>
      <c r="D967" s="116"/>
      <c r="E967" s="116"/>
      <c r="F967" s="116"/>
      <c r="G967" s="117"/>
      <c r="H967" s="117"/>
      <c r="I967" s="117"/>
      <c r="J967" s="117"/>
      <c r="K967" s="117"/>
      <c r="L967" s="117"/>
      <c r="M967" s="117"/>
      <c r="N967" s="117"/>
      <c r="O967" s="117"/>
      <c r="P967" s="117"/>
      <c r="Q967" s="117"/>
      <c r="R967" s="117"/>
      <c r="S967" s="117"/>
      <c r="T967" s="117"/>
      <c r="U967" s="117"/>
      <c r="V967" s="117"/>
      <c r="W967" s="117"/>
      <c r="X967" s="117"/>
      <c r="Y967" s="117"/>
      <c r="Z967" s="117"/>
      <c r="AA967" s="117"/>
      <c r="AB967" s="117"/>
    </row>
    <row r="968">
      <c r="A968" s="114"/>
      <c r="B968" s="117"/>
      <c r="C968" s="116"/>
      <c r="D968" s="116"/>
      <c r="E968" s="116"/>
      <c r="F968" s="116"/>
      <c r="G968" s="117"/>
      <c r="H968" s="117"/>
      <c r="I968" s="117"/>
      <c r="J968" s="117"/>
      <c r="K968" s="117"/>
      <c r="L968" s="117"/>
      <c r="M968" s="117"/>
      <c r="N968" s="117"/>
      <c r="O968" s="117"/>
      <c r="P968" s="117"/>
      <c r="Q968" s="117"/>
      <c r="R968" s="117"/>
      <c r="S968" s="117"/>
      <c r="T968" s="117"/>
      <c r="U968" s="117"/>
      <c r="V968" s="117"/>
      <c r="W968" s="117"/>
      <c r="X968" s="117"/>
      <c r="Y968" s="117"/>
      <c r="Z968" s="117"/>
      <c r="AA968" s="117"/>
      <c r="AB968" s="117"/>
    </row>
    <row r="969">
      <c r="A969" s="114"/>
      <c r="B969" s="117"/>
      <c r="C969" s="116"/>
      <c r="D969" s="116"/>
      <c r="E969" s="116"/>
      <c r="F969" s="116"/>
      <c r="G969" s="117"/>
      <c r="H969" s="117"/>
      <c r="I969" s="117"/>
      <c r="J969" s="117"/>
      <c r="K969" s="117"/>
      <c r="L969" s="117"/>
      <c r="M969" s="117"/>
      <c r="N969" s="117"/>
      <c r="O969" s="117"/>
      <c r="P969" s="117"/>
      <c r="Q969" s="117"/>
      <c r="R969" s="117"/>
      <c r="S969" s="117"/>
      <c r="T969" s="117"/>
      <c r="U969" s="117"/>
      <c r="V969" s="117"/>
      <c r="W969" s="117"/>
      <c r="X969" s="117"/>
      <c r="Y969" s="117"/>
      <c r="Z969" s="117"/>
      <c r="AA969" s="117"/>
      <c r="AB969" s="117"/>
    </row>
    <row r="970">
      <c r="A970" s="114"/>
      <c r="B970" s="117"/>
      <c r="C970" s="116"/>
      <c r="D970" s="116"/>
      <c r="E970" s="116"/>
      <c r="F970" s="116"/>
      <c r="G970" s="117"/>
      <c r="H970" s="117"/>
      <c r="I970" s="117"/>
      <c r="J970" s="117"/>
      <c r="K970" s="117"/>
      <c r="L970" s="117"/>
      <c r="M970" s="117"/>
      <c r="N970" s="117"/>
      <c r="O970" s="117"/>
      <c r="P970" s="117"/>
      <c r="Q970" s="117"/>
      <c r="R970" s="117"/>
      <c r="S970" s="117"/>
      <c r="T970" s="117"/>
      <c r="U970" s="117"/>
      <c r="V970" s="117"/>
      <c r="W970" s="117"/>
      <c r="X970" s="117"/>
      <c r="Y970" s="117"/>
      <c r="Z970" s="117"/>
      <c r="AA970" s="117"/>
      <c r="AB970" s="117"/>
    </row>
    <row r="971">
      <c r="A971" s="114"/>
      <c r="B971" s="117"/>
      <c r="C971" s="116"/>
      <c r="D971" s="116"/>
      <c r="E971" s="116"/>
      <c r="F971" s="116"/>
      <c r="G971" s="117"/>
      <c r="H971" s="117"/>
      <c r="I971" s="117"/>
      <c r="J971" s="117"/>
      <c r="K971" s="117"/>
      <c r="L971" s="117"/>
      <c r="M971" s="117"/>
      <c r="N971" s="117"/>
      <c r="O971" s="117"/>
      <c r="P971" s="117"/>
      <c r="Q971" s="117"/>
      <c r="R971" s="117"/>
      <c r="S971" s="117"/>
      <c r="T971" s="117"/>
      <c r="U971" s="117"/>
      <c r="V971" s="117"/>
      <c r="W971" s="117"/>
      <c r="X971" s="117"/>
      <c r="Y971" s="117"/>
      <c r="Z971" s="117"/>
      <c r="AA971" s="117"/>
      <c r="AB971" s="117"/>
    </row>
    <row r="972">
      <c r="A972" s="114"/>
      <c r="B972" s="117"/>
      <c r="C972" s="116"/>
      <c r="D972" s="116"/>
      <c r="E972" s="116"/>
      <c r="F972" s="116"/>
      <c r="G972" s="117"/>
      <c r="H972" s="117"/>
      <c r="I972" s="117"/>
      <c r="J972" s="117"/>
      <c r="K972" s="117"/>
      <c r="L972" s="117"/>
      <c r="M972" s="117"/>
      <c r="N972" s="117"/>
      <c r="O972" s="117"/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117"/>
      <c r="AB972" s="117"/>
    </row>
    <row r="973">
      <c r="A973" s="114"/>
      <c r="B973" s="117"/>
      <c r="C973" s="116"/>
      <c r="D973" s="116"/>
      <c r="E973" s="116"/>
      <c r="F973" s="116"/>
      <c r="G973" s="117"/>
      <c r="H973" s="117"/>
      <c r="I973" s="117"/>
      <c r="J973" s="117"/>
      <c r="K973" s="117"/>
      <c r="L973" s="117"/>
      <c r="M973" s="117"/>
      <c r="N973" s="117"/>
      <c r="O973" s="117"/>
      <c r="P973" s="117"/>
      <c r="Q973" s="117"/>
      <c r="R973" s="117"/>
      <c r="S973" s="117"/>
      <c r="T973" s="117"/>
      <c r="U973" s="117"/>
      <c r="V973" s="117"/>
      <c r="W973" s="117"/>
      <c r="X973" s="117"/>
      <c r="Y973" s="117"/>
      <c r="Z973" s="117"/>
      <c r="AA973" s="117"/>
      <c r="AB973" s="117"/>
    </row>
    <row r="974">
      <c r="A974" s="114"/>
      <c r="B974" s="117"/>
      <c r="C974" s="116"/>
      <c r="D974" s="116"/>
      <c r="E974" s="116"/>
      <c r="F974" s="116"/>
      <c r="G974" s="117"/>
      <c r="H974" s="117"/>
      <c r="I974" s="117"/>
      <c r="J974" s="117"/>
      <c r="K974" s="117"/>
      <c r="L974" s="117"/>
      <c r="M974" s="117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  <c r="AA974" s="117"/>
      <c r="AB974" s="117"/>
    </row>
    <row r="975">
      <c r="A975" s="114"/>
      <c r="B975" s="117"/>
      <c r="C975" s="116"/>
      <c r="D975" s="116"/>
      <c r="E975" s="116"/>
      <c r="F975" s="116"/>
      <c r="G975" s="117"/>
      <c r="H975" s="117"/>
      <c r="I975" s="117"/>
      <c r="J975" s="117"/>
      <c r="K975" s="117"/>
      <c r="L975" s="117"/>
      <c r="M975" s="117"/>
      <c r="N975" s="117"/>
      <c r="O975" s="117"/>
      <c r="P975" s="117"/>
      <c r="Q975" s="117"/>
      <c r="R975" s="117"/>
      <c r="S975" s="117"/>
      <c r="T975" s="117"/>
      <c r="U975" s="117"/>
      <c r="V975" s="117"/>
      <c r="W975" s="117"/>
      <c r="X975" s="117"/>
      <c r="Y975" s="117"/>
      <c r="Z975" s="117"/>
      <c r="AA975" s="117"/>
      <c r="AB975" s="117"/>
    </row>
    <row r="976">
      <c r="A976" s="114"/>
      <c r="B976" s="117"/>
      <c r="C976" s="116"/>
      <c r="D976" s="116"/>
      <c r="E976" s="116"/>
      <c r="F976" s="116"/>
      <c r="G976" s="117"/>
      <c r="H976" s="117"/>
      <c r="I976" s="117"/>
      <c r="J976" s="117"/>
      <c r="K976" s="117"/>
      <c r="L976" s="117"/>
      <c r="M976" s="117"/>
      <c r="N976" s="117"/>
      <c r="O976" s="117"/>
      <c r="P976" s="117"/>
      <c r="Q976" s="117"/>
      <c r="R976" s="117"/>
      <c r="S976" s="117"/>
      <c r="T976" s="117"/>
      <c r="U976" s="117"/>
      <c r="V976" s="117"/>
      <c r="W976" s="117"/>
      <c r="X976" s="117"/>
      <c r="Y976" s="117"/>
      <c r="Z976" s="117"/>
      <c r="AA976" s="117"/>
      <c r="AB976" s="117"/>
    </row>
    <row r="977">
      <c r="A977" s="114"/>
      <c r="B977" s="117"/>
      <c r="C977" s="116"/>
      <c r="D977" s="116"/>
      <c r="E977" s="116"/>
      <c r="F977" s="116"/>
      <c r="G977" s="117"/>
      <c r="H977" s="117"/>
      <c r="I977" s="117"/>
      <c r="J977" s="117"/>
      <c r="K977" s="117"/>
      <c r="L977" s="117"/>
      <c r="M977" s="117"/>
      <c r="N977" s="117"/>
      <c r="O977" s="117"/>
      <c r="P977" s="117"/>
      <c r="Q977" s="117"/>
      <c r="R977" s="117"/>
      <c r="S977" s="117"/>
      <c r="T977" s="117"/>
      <c r="U977" s="117"/>
      <c r="V977" s="117"/>
      <c r="W977" s="117"/>
      <c r="X977" s="117"/>
      <c r="Y977" s="117"/>
      <c r="Z977" s="117"/>
      <c r="AA977" s="117"/>
      <c r="AB977" s="117"/>
    </row>
    <row r="978">
      <c r="A978" s="114"/>
      <c r="B978" s="117"/>
      <c r="C978" s="116"/>
      <c r="D978" s="116"/>
      <c r="E978" s="116"/>
      <c r="F978" s="116"/>
      <c r="G978" s="117"/>
      <c r="H978" s="117"/>
      <c r="I978" s="117"/>
      <c r="J978" s="117"/>
      <c r="K978" s="117"/>
      <c r="L978" s="117"/>
      <c r="M978" s="117"/>
      <c r="N978" s="117"/>
      <c r="O978" s="117"/>
      <c r="P978" s="117"/>
      <c r="Q978" s="117"/>
      <c r="R978" s="117"/>
      <c r="S978" s="117"/>
      <c r="T978" s="117"/>
      <c r="U978" s="117"/>
      <c r="V978" s="117"/>
      <c r="W978" s="117"/>
      <c r="X978" s="117"/>
      <c r="Y978" s="117"/>
      <c r="Z978" s="117"/>
      <c r="AA978" s="117"/>
      <c r="AB978" s="117"/>
    </row>
    <row r="979">
      <c r="A979" s="114"/>
      <c r="B979" s="117"/>
      <c r="C979" s="116"/>
      <c r="D979" s="116"/>
      <c r="E979" s="116"/>
      <c r="F979" s="116"/>
      <c r="G979" s="117"/>
      <c r="H979" s="117"/>
      <c r="I979" s="117"/>
      <c r="J979" s="117"/>
      <c r="K979" s="117"/>
      <c r="L979" s="117"/>
      <c r="M979" s="117"/>
      <c r="N979" s="117"/>
      <c r="O979" s="117"/>
      <c r="P979" s="117"/>
      <c r="Q979" s="117"/>
      <c r="R979" s="117"/>
      <c r="S979" s="117"/>
      <c r="T979" s="117"/>
      <c r="U979" s="117"/>
      <c r="V979" s="117"/>
      <c r="W979" s="117"/>
      <c r="X979" s="117"/>
      <c r="Y979" s="117"/>
      <c r="Z979" s="117"/>
      <c r="AA979" s="117"/>
      <c r="AB979" s="117"/>
    </row>
    <row r="980">
      <c r="A980" s="114"/>
      <c r="B980" s="117"/>
      <c r="C980" s="116"/>
      <c r="D980" s="116"/>
      <c r="E980" s="116"/>
      <c r="F980" s="116"/>
      <c r="G980" s="117"/>
      <c r="H980" s="117"/>
      <c r="I980" s="117"/>
      <c r="J980" s="117"/>
      <c r="K980" s="117"/>
      <c r="L980" s="117"/>
      <c r="M980" s="117"/>
      <c r="N980" s="117"/>
      <c r="O980" s="117"/>
      <c r="P980" s="117"/>
      <c r="Q980" s="117"/>
      <c r="R980" s="117"/>
      <c r="S980" s="117"/>
      <c r="T980" s="117"/>
      <c r="U980" s="117"/>
      <c r="V980" s="117"/>
      <c r="W980" s="117"/>
      <c r="X980" s="117"/>
      <c r="Y980" s="117"/>
      <c r="Z980" s="117"/>
      <c r="AA980" s="117"/>
      <c r="AB980" s="117"/>
    </row>
    <row r="981">
      <c r="A981" s="114"/>
      <c r="B981" s="117"/>
      <c r="C981" s="116"/>
      <c r="D981" s="116"/>
      <c r="E981" s="116"/>
      <c r="F981" s="116"/>
      <c r="G981" s="117"/>
      <c r="H981" s="117"/>
      <c r="I981" s="117"/>
      <c r="J981" s="117"/>
      <c r="K981" s="117"/>
      <c r="L981" s="117"/>
      <c r="M981" s="117"/>
      <c r="N981" s="117"/>
      <c r="O981" s="117"/>
      <c r="P981" s="117"/>
      <c r="Q981" s="117"/>
      <c r="R981" s="117"/>
      <c r="S981" s="117"/>
      <c r="T981" s="117"/>
      <c r="U981" s="117"/>
      <c r="V981" s="117"/>
      <c r="W981" s="117"/>
      <c r="X981" s="117"/>
      <c r="Y981" s="117"/>
      <c r="Z981" s="117"/>
      <c r="AA981" s="117"/>
      <c r="AB981" s="117"/>
    </row>
    <row r="982">
      <c r="A982" s="114"/>
      <c r="B982" s="117"/>
      <c r="C982" s="116"/>
      <c r="D982" s="116"/>
      <c r="E982" s="116"/>
      <c r="F982" s="116"/>
      <c r="G982" s="117"/>
      <c r="H982" s="117"/>
      <c r="I982" s="117"/>
      <c r="J982" s="117"/>
      <c r="K982" s="117"/>
      <c r="L982" s="117"/>
      <c r="M982" s="117"/>
      <c r="N982" s="117"/>
      <c r="O982" s="117"/>
      <c r="P982" s="117"/>
      <c r="Q982" s="117"/>
      <c r="R982" s="117"/>
      <c r="S982" s="117"/>
      <c r="T982" s="117"/>
      <c r="U982" s="117"/>
      <c r="V982" s="117"/>
      <c r="W982" s="117"/>
      <c r="X982" s="117"/>
      <c r="Y982" s="117"/>
      <c r="Z982" s="117"/>
      <c r="AA982" s="117"/>
      <c r="AB982" s="117"/>
    </row>
    <row r="983">
      <c r="A983" s="114"/>
      <c r="B983" s="117"/>
      <c r="C983" s="116"/>
      <c r="D983" s="116"/>
      <c r="E983" s="116"/>
      <c r="F983" s="116"/>
      <c r="G983" s="117"/>
      <c r="H983" s="117"/>
      <c r="I983" s="117"/>
      <c r="J983" s="117"/>
      <c r="K983" s="117"/>
      <c r="L983" s="117"/>
      <c r="M983" s="117"/>
      <c r="N983" s="117"/>
      <c r="O983" s="117"/>
      <c r="P983" s="117"/>
      <c r="Q983" s="117"/>
      <c r="R983" s="117"/>
      <c r="S983" s="117"/>
      <c r="T983" s="117"/>
      <c r="U983" s="117"/>
      <c r="V983" s="117"/>
      <c r="W983" s="117"/>
      <c r="X983" s="117"/>
      <c r="Y983" s="117"/>
      <c r="Z983" s="117"/>
      <c r="AA983" s="117"/>
      <c r="AB983" s="117"/>
    </row>
    <row r="984">
      <c r="A984" s="114"/>
      <c r="B984" s="117"/>
      <c r="C984" s="116"/>
      <c r="D984" s="116"/>
      <c r="E984" s="116"/>
      <c r="F984" s="116"/>
      <c r="G984" s="117"/>
      <c r="H984" s="117"/>
      <c r="I984" s="117"/>
      <c r="J984" s="117"/>
      <c r="K984" s="117"/>
      <c r="L984" s="117"/>
      <c r="M984" s="117"/>
      <c r="N984" s="117"/>
      <c r="O984" s="117"/>
      <c r="P984" s="117"/>
      <c r="Q984" s="117"/>
      <c r="R984" s="117"/>
      <c r="S984" s="117"/>
      <c r="T984" s="117"/>
      <c r="U984" s="117"/>
      <c r="V984" s="117"/>
      <c r="W984" s="117"/>
      <c r="X984" s="117"/>
      <c r="Y984" s="117"/>
      <c r="Z984" s="117"/>
      <c r="AA984" s="117"/>
      <c r="AB984" s="117"/>
    </row>
    <row r="985">
      <c r="A985" s="114"/>
      <c r="B985" s="117"/>
      <c r="C985" s="116"/>
      <c r="D985" s="116"/>
      <c r="E985" s="116"/>
      <c r="F985" s="116"/>
      <c r="G985" s="117"/>
      <c r="H985" s="117"/>
      <c r="I985" s="117"/>
      <c r="J985" s="117"/>
      <c r="K985" s="117"/>
      <c r="L985" s="117"/>
      <c r="M985" s="117"/>
      <c r="N985" s="117"/>
      <c r="O985" s="117"/>
      <c r="P985" s="117"/>
      <c r="Q985" s="117"/>
      <c r="R985" s="117"/>
      <c r="S985" s="117"/>
      <c r="T985" s="117"/>
      <c r="U985" s="117"/>
      <c r="V985" s="117"/>
      <c r="W985" s="117"/>
      <c r="X985" s="117"/>
      <c r="Y985" s="117"/>
      <c r="Z985" s="117"/>
      <c r="AA985" s="117"/>
      <c r="AB985" s="117"/>
    </row>
    <row r="986">
      <c r="A986" s="114"/>
      <c r="B986" s="117"/>
      <c r="C986" s="116"/>
      <c r="D986" s="116"/>
      <c r="E986" s="116"/>
      <c r="F986" s="116"/>
      <c r="G986" s="117"/>
      <c r="H986" s="117"/>
      <c r="I986" s="117"/>
      <c r="J986" s="117"/>
      <c r="K986" s="117"/>
      <c r="L986" s="117"/>
      <c r="M986" s="117"/>
      <c r="N986" s="117"/>
      <c r="O986" s="117"/>
      <c r="P986" s="117"/>
      <c r="Q986" s="117"/>
      <c r="R986" s="117"/>
      <c r="S986" s="117"/>
      <c r="T986" s="117"/>
      <c r="U986" s="117"/>
      <c r="V986" s="117"/>
      <c r="W986" s="117"/>
      <c r="X986" s="117"/>
      <c r="Y986" s="117"/>
      <c r="Z986" s="117"/>
      <c r="AA986" s="117"/>
      <c r="AB986" s="117"/>
    </row>
    <row r="987">
      <c r="A987" s="114"/>
      <c r="B987" s="117"/>
      <c r="C987" s="116"/>
      <c r="D987" s="116"/>
      <c r="E987" s="116"/>
      <c r="F987" s="116"/>
      <c r="G987" s="117"/>
      <c r="H987" s="117"/>
      <c r="I987" s="117"/>
      <c r="J987" s="117"/>
      <c r="K987" s="117"/>
      <c r="L987" s="117"/>
      <c r="M987" s="117"/>
      <c r="N987" s="117"/>
      <c r="O987" s="117"/>
      <c r="P987" s="117"/>
      <c r="Q987" s="117"/>
      <c r="R987" s="117"/>
      <c r="S987" s="117"/>
      <c r="T987" s="117"/>
      <c r="U987" s="117"/>
      <c r="V987" s="117"/>
      <c r="W987" s="117"/>
      <c r="X987" s="117"/>
      <c r="Y987" s="117"/>
      <c r="Z987" s="117"/>
      <c r="AA987" s="117"/>
      <c r="AB987" s="117"/>
    </row>
    <row r="988">
      <c r="A988" s="114"/>
      <c r="B988" s="117"/>
      <c r="C988" s="116"/>
      <c r="D988" s="116"/>
      <c r="E988" s="116"/>
      <c r="F988" s="116"/>
      <c r="G988" s="117"/>
      <c r="H988" s="117"/>
      <c r="I988" s="117"/>
      <c r="J988" s="117"/>
      <c r="K988" s="117"/>
      <c r="L988" s="117"/>
      <c r="M988" s="117"/>
      <c r="N988" s="117"/>
      <c r="O988" s="117"/>
      <c r="P988" s="117"/>
      <c r="Q988" s="117"/>
      <c r="R988" s="117"/>
      <c r="S988" s="117"/>
      <c r="T988" s="117"/>
      <c r="U988" s="117"/>
      <c r="V988" s="117"/>
      <c r="W988" s="117"/>
      <c r="X988" s="117"/>
      <c r="Y988" s="117"/>
      <c r="Z988" s="117"/>
      <c r="AA988" s="117"/>
      <c r="AB988" s="117"/>
    </row>
    <row r="989">
      <c r="A989" s="114"/>
      <c r="B989" s="117"/>
      <c r="C989" s="116"/>
      <c r="D989" s="116"/>
      <c r="E989" s="116"/>
      <c r="F989" s="116"/>
      <c r="G989" s="117"/>
      <c r="H989" s="117"/>
      <c r="I989" s="117"/>
      <c r="J989" s="117"/>
      <c r="K989" s="117"/>
      <c r="L989" s="117"/>
      <c r="M989" s="117"/>
      <c r="N989" s="117"/>
      <c r="O989" s="117"/>
      <c r="P989" s="117"/>
      <c r="Q989" s="117"/>
      <c r="R989" s="117"/>
      <c r="S989" s="117"/>
      <c r="T989" s="117"/>
      <c r="U989" s="117"/>
      <c r="V989" s="117"/>
      <c r="W989" s="117"/>
      <c r="X989" s="117"/>
      <c r="Y989" s="117"/>
      <c r="Z989" s="117"/>
      <c r="AA989" s="117"/>
      <c r="AB989" s="117"/>
    </row>
    <row r="990">
      <c r="A990" s="114"/>
      <c r="B990" s="117"/>
      <c r="C990" s="116"/>
      <c r="D990" s="116"/>
      <c r="E990" s="116"/>
      <c r="F990" s="116"/>
      <c r="G990" s="117"/>
      <c r="H990" s="117"/>
      <c r="I990" s="117"/>
      <c r="J990" s="117"/>
      <c r="K990" s="117"/>
      <c r="L990" s="117"/>
      <c r="M990" s="117"/>
      <c r="N990" s="117"/>
      <c r="O990" s="117"/>
      <c r="P990" s="117"/>
      <c r="Q990" s="117"/>
      <c r="R990" s="117"/>
      <c r="S990" s="117"/>
      <c r="T990" s="117"/>
      <c r="U990" s="117"/>
      <c r="V990" s="117"/>
      <c r="W990" s="117"/>
      <c r="X990" s="117"/>
      <c r="Y990" s="117"/>
      <c r="Z990" s="117"/>
      <c r="AA990" s="117"/>
      <c r="AB990" s="117"/>
    </row>
    <row r="991">
      <c r="A991" s="114"/>
      <c r="B991" s="117"/>
      <c r="C991" s="116"/>
      <c r="D991" s="116"/>
      <c r="E991" s="116"/>
      <c r="F991" s="116"/>
      <c r="G991" s="117"/>
      <c r="H991" s="117"/>
      <c r="I991" s="117"/>
      <c r="J991" s="117"/>
      <c r="K991" s="117"/>
      <c r="L991" s="117"/>
      <c r="M991" s="117"/>
      <c r="N991" s="117"/>
      <c r="O991" s="117"/>
      <c r="P991" s="117"/>
      <c r="Q991" s="117"/>
      <c r="R991" s="117"/>
      <c r="S991" s="117"/>
      <c r="T991" s="117"/>
      <c r="U991" s="117"/>
      <c r="V991" s="117"/>
      <c r="W991" s="117"/>
      <c r="X991" s="117"/>
      <c r="Y991" s="117"/>
      <c r="Z991" s="117"/>
      <c r="AA991" s="117"/>
      <c r="AB991" s="117"/>
    </row>
    <row r="992">
      <c r="A992" s="114"/>
      <c r="B992" s="117"/>
      <c r="C992" s="116"/>
      <c r="D992" s="116"/>
      <c r="E992" s="116"/>
      <c r="F992" s="116"/>
      <c r="G992" s="117"/>
      <c r="H992" s="117"/>
      <c r="I992" s="117"/>
      <c r="J992" s="117"/>
      <c r="K992" s="117"/>
      <c r="L992" s="117"/>
      <c r="M992" s="117"/>
      <c r="N992" s="117"/>
      <c r="O992" s="117"/>
      <c r="P992" s="117"/>
      <c r="Q992" s="117"/>
      <c r="R992" s="117"/>
      <c r="S992" s="117"/>
      <c r="T992" s="117"/>
      <c r="U992" s="117"/>
      <c r="V992" s="117"/>
      <c r="W992" s="117"/>
      <c r="X992" s="117"/>
      <c r="Y992" s="117"/>
      <c r="Z992" s="117"/>
      <c r="AA992" s="117"/>
      <c r="AB992" s="117"/>
    </row>
    <row r="993">
      <c r="A993" s="114"/>
      <c r="B993" s="117"/>
      <c r="C993" s="116"/>
      <c r="D993" s="116"/>
      <c r="E993" s="116"/>
      <c r="F993" s="116"/>
      <c r="G993" s="117"/>
      <c r="H993" s="117"/>
      <c r="I993" s="117"/>
      <c r="J993" s="117"/>
      <c r="K993" s="117"/>
      <c r="L993" s="117"/>
      <c r="M993" s="117"/>
      <c r="N993" s="117"/>
      <c r="O993" s="117"/>
      <c r="P993" s="117"/>
      <c r="Q993" s="117"/>
      <c r="R993" s="117"/>
      <c r="S993" s="117"/>
      <c r="T993" s="117"/>
      <c r="U993" s="117"/>
      <c r="V993" s="117"/>
      <c r="W993" s="117"/>
      <c r="X993" s="117"/>
      <c r="Y993" s="117"/>
      <c r="Z993" s="117"/>
      <c r="AA993" s="117"/>
      <c r="AB993" s="117"/>
    </row>
    <row r="994">
      <c r="A994" s="114"/>
      <c r="B994" s="117"/>
      <c r="C994" s="116"/>
      <c r="D994" s="116"/>
      <c r="E994" s="116"/>
      <c r="F994" s="116"/>
      <c r="G994" s="117"/>
      <c r="H994" s="117"/>
      <c r="I994" s="117"/>
      <c r="J994" s="117"/>
      <c r="K994" s="117"/>
      <c r="L994" s="117"/>
      <c r="M994" s="117"/>
      <c r="N994" s="117"/>
      <c r="O994" s="117"/>
      <c r="P994" s="117"/>
      <c r="Q994" s="117"/>
      <c r="R994" s="117"/>
      <c r="S994" s="117"/>
      <c r="T994" s="117"/>
      <c r="U994" s="117"/>
      <c r="V994" s="117"/>
      <c r="W994" s="117"/>
      <c r="X994" s="117"/>
      <c r="Y994" s="117"/>
      <c r="Z994" s="117"/>
      <c r="AA994" s="117"/>
      <c r="AB994" s="117"/>
    </row>
    <row r="995">
      <c r="A995" s="114"/>
      <c r="B995" s="117"/>
      <c r="C995" s="116"/>
      <c r="D995" s="116"/>
      <c r="E995" s="116"/>
      <c r="F995" s="116"/>
      <c r="G995" s="117"/>
      <c r="H995" s="117"/>
      <c r="I995" s="117"/>
      <c r="J995" s="117"/>
      <c r="K995" s="117"/>
      <c r="L995" s="117"/>
      <c r="M995" s="117"/>
      <c r="N995" s="117"/>
      <c r="O995" s="117"/>
      <c r="P995" s="117"/>
      <c r="Q995" s="117"/>
      <c r="R995" s="117"/>
      <c r="S995" s="117"/>
      <c r="T995" s="117"/>
      <c r="U995" s="117"/>
      <c r="V995" s="117"/>
      <c r="W995" s="117"/>
      <c r="X995" s="117"/>
      <c r="Y995" s="117"/>
      <c r="Z995" s="117"/>
      <c r="AA995" s="117"/>
      <c r="AB995" s="117"/>
    </row>
    <row r="996">
      <c r="A996" s="114"/>
      <c r="B996" s="117"/>
      <c r="C996" s="116"/>
      <c r="D996" s="116"/>
      <c r="E996" s="116"/>
      <c r="F996" s="116"/>
      <c r="G996" s="117"/>
      <c r="H996" s="117"/>
      <c r="I996" s="117"/>
      <c r="J996" s="117"/>
      <c r="K996" s="117"/>
      <c r="L996" s="117"/>
      <c r="M996" s="117"/>
      <c r="N996" s="117"/>
      <c r="O996" s="117"/>
      <c r="P996" s="117"/>
      <c r="Q996" s="117"/>
      <c r="R996" s="117"/>
      <c r="S996" s="117"/>
      <c r="T996" s="117"/>
      <c r="U996" s="117"/>
      <c r="V996" s="117"/>
      <c r="W996" s="117"/>
      <c r="X996" s="117"/>
      <c r="Y996" s="117"/>
      <c r="Z996" s="117"/>
      <c r="AA996" s="117"/>
      <c r="AB996" s="117"/>
    </row>
    <row r="997">
      <c r="A997" s="114"/>
      <c r="B997" s="117"/>
      <c r="C997" s="116"/>
      <c r="D997" s="116"/>
      <c r="E997" s="116"/>
      <c r="F997" s="116"/>
      <c r="G997" s="117"/>
      <c r="H997" s="117"/>
      <c r="I997" s="117"/>
      <c r="J997" s="117"/>
      <c r="K997" s="117"/>
      <c r="L997" s="117"/>
      <c r="M997" s="117"/>
      <c r="N997" s="117"/>
      <c r="O997" s="117"/>
      <c r="P997" s="117"/>
      <c r="Q997" s="117"/>
      <c r="R997" s="117"/>
      <c r="S997" s="117"/>
      <c r="T997" s="117"/>
      <c r="U997" s="117"/>
      <c r="V997" s="117"/>
      <c r="W997" s="117"/>
      <c r="X997" s="117"/>
      <c r="Y997" s="117"/>
      <c r="Z997" s="117"/>
      <c r="AA997" s="117"/>
      <c r="AB997" s="117"/>
    </row>
    <row r="998">
      <c r="A998" s="114"/>
      <c r="B998" s="117"/>
      <c r="C998" s="116"/>
      <c r="D998" s="116"/>
      <c r="E998" s="116"/>
      <c r="F998" s="116"/>
      <c r="G998" s="117"/>
      <c r="H998" s="117"/>
      <c r="I998" s="117"/>
      <c r="J998" s="117"/>
      <c r="K998" s="117"/>
      <c r="L998" s="117"/>
      <c r="M998" s="117"/>
      <c r="N998" s="117"/>
      <c r="O998" s="117"/>
      <c r="P998" s="117"/>
      <c r="Q998" s="117"/>
      <c r="R998" s="117"/>
      <c r="S998" s="117"/>
      <c r="T998" s="117"/>
      <c r="U998" s="117"/>
      <c r="V998" s="117"/>
      <c r="W998" s="117"/>
      <c r="X998" s="117"/>
      <c r="Y998" s="117"/>
      <c r="Z998" s="117"/>
      <c r="AA998" s="117"/>
      <c r="AB998" s="117"/>
    </row>
    <row r="999">
      <c r="A999" s="114"/>
      <c r="B999" s="117"/>
      <c r="C999" s="116"/>
      <c r="D999" s="116"/>
      <c r="E999" s="116"/>
      <c r="F999" s="116"/>
      <c r="G999" s="117"/>
      <c r="H999" s="117"/>
      <c r="I999" s="117"/>
      <c r="J999" s="117"/>
      <c r="K999" s="117"/>
      <c r="L999" s="117"/>
      <c r="M999" s="117"/>
      <c r="N999" s="117"/>
      <c r="O999" s="117"/>
      <c r="P999" s="117"/>
      <c r="Q999" s="117"/>
      <c r="R999" s="117"/>
      <c r="S999" s="117"/>
      <c r="T999" s="117"/>
      <c r="U999" s="117"/>
      <c r="V999" s="117"/>
      <c r="W999" s="117"/>
      <c r="X999" s="117"/>
      <c r="Y999" s="117"/>
      <c r="Z999" s="117"/>
      <c r="AA999" s="117"/>
      <c r="AB999" s="117"/>
    </row>
    <row r="1000">
      <c r="A1000" s="114"/>
      <c r="B1000" s="117"/>
      <c r="C1000" s="116"/>
      <c r="D1000" s="116"/>
      <c r="E1000" s="116"/>
      <c r="F1000" s="116"/>
      <c r="G1000" s="117"/>
      <c r="H1000" s="117"/>
      <c r="I1000" s="117"/>
      <c r="J1000" s="117"/>
      <c r="K1000" s="117"/>
      <c r="L1000" s="117"/>
      <c r="M1000" s="117"/>
      <c r="N1000" s="117"/>
      <c r="O1000" s="117"/>
      <c r="P1000" s="117"/>
      <c r="Q1000" s="117"/>
      <c r="R1000" s="117"/>
      <c r="S1000" s="117"/>
      <c r="T1000" s="117"/>
      <c r="U1000" s="117"/>
      <c r="V1000" s="117"/>
      <c r="W1000" s="117"/>
      <c r="X1000" s="117"/>
      <c r="Y1000" s="117"/>
      <c r="Z1000" s="117"/>
      <c r="AA1000" s="117"/>
      <c r="AB1000" s="117"/>
    </row>
    <row r="1001">
      <c r="A1001" s="114"/>
      <c r="B1001" s="117"/>
      <c r="C1001" s="116"/>
      <c r="D1001" s="116"/>
      <c r="E1001" s="116"/>
      <c r="F1001" s="116"/>
      <c r="G1001" s="117"/>
      <c r="H1001" s="117"/>
      <c r="I1001" s="117"/>
      <c r="J1001" s="117"/>
      <c r="K1001" s="117"/>
      <c r="L1001" s="117"/>
      <c r="M1001" s="117"/>
      <c r="N1001" s="117"/>
      <c r="O1001" s="117"/>
      <c r="P1001" s="117"/>
      <c r="Q1001" s="117"/>
      <c r="R1001" s="117"/>
      <c r="S1001" s="117"/>
      <c r="T1001" s="117"/>
      <c r="U1001" s="117"/>
      <c r="V1001" s="117"/>
      <c r="W1001" s="117"/>
      <c r="X1001" s="117"/>
      <c r="Y1001" s="117"/>
      <c r="Z1001" s="117"/>
      <c r="AA1001" s="117"/>
      <c r="AB1001" s="117"/>
    </row>
    <row r="1002">
      <c r="A1002" s="114"/>
      <c r="B1002" s="117"/>
      <c r="C1002" s="116"/>
      <c r="D1002" s="116"/>
      <c r="E1002" s="116"/>
      <c r="F1002" s="116"/>
      <c r="G1002" s="117"/>
      <c r="H1002" s="117"/>
      <c r="I1002" s="117"/>
      <c r="J1002" s="117"/>
      <c r="K1002" s="117"/>
      <c r="L1002" s="117"/>
      <c r="M1002" s="117"/>
      <c r="N1002" s="117"/>
      <c r="O1002" s="117"/>
      <c r="P1002" s="117"/>
      <c r="Q1002" s="117"/>
      <c r="R1002" s="117"/>
      <c r="S1002" s="117"/>
      <c r="T1002" s="117"/>
      <c r="U1002" s="117"/>
      <c r="V1002" s="117"/>
      <c r="W1002" s="117"/>
      <c r="X1002" s="117"/>
      <c r="Y1002" s="117"/>
      <c r="Z1002" s="117"/>
      <c r="AA1002" s="117"/>
      <c r="AB1002" s="117"/>
    </row>
    <row r="1003">
      <c r="A1003" s="114"/>
      <c r="B1003" s="117"/>
      <c r="C1003" s="116"/>
      <c r="D1003" s="116"/>
      <c r="E1003" s="116"/>
      <c r="F1003" s="116"/>
      <c r="G1003" s="117"/>
      <c r="H1003" s="117"/>
      <c r="I1003" s="117"/>
      <c r="J1003" s="117"/>
      <c r="K1003" s="117"/>
      <c r="L1003" s="117"/>
      <c r="M1003" s="117"/>
      <c r="N1003" s="117"/>
      <c r="O1003" s="117"/>
      <c r="P1003" s="117"/>
      <c r="Q1003" s="117"/>
      <c r="R1003" s="117"/>
      <c r="S1003" s="117"/>
      <c r="T1003" s="117"/>
      <c r="U1003" s="117"/>
      <c r="V1003" s="117"/>
      <c r="W1003" s="117"/>
      <c r="X1003" s="117"/>
      <c r="Y1003" s="117"/>
      <c r="Z1003" s="117"/>
      <c r="AA1003" s="117"/>
      <c r="AB1003" s="117"/>
    </row>
    <row r="1004">
      <c r="A1004" s="114"/>
      <c r="B1004" s="117"/>
      <c r="C1004" s="116"/>
      <c r="D1004" s="116"/>
      <c r="E1004" s="116"/>
      <c r="F1004" s="116"/>
      <c r="G1004" s="117"/>
      <c r="H1004" s="117"/>
      <c r="I1004" s="117"/>
      <c r="J1004" s="117"/>
      <c r="K1004" s="117"/>
      <c r="L1004" s="117"/>
      <c r="M1004" s="117"/>
      <c r="N1004" s="117"/>
      <c r="O1004" s="117"/>
      <c r="P1004" s="117"/>
      <c r="Q1004" s="117"/>
      <c r="R1004" s="117"/>
      <c r="S1004" s="117"/>
      <c r="T1004" s="117"/>
      <c r="U1004" s="117"/>
      <c r="V1004" s="117"/>
      <c r="W1004" s="117"/>
      <c r="X1004" s="117"/>
      <c r="Y1004" s="117"/>
      <c r="Z1004" s="117"/>
      <c r="AA1004" s="117"/>
      <c r="AB1004" s="117"/>
    </row>
    <row r="1005">
      <c r="A1005" s="114"/>
      <c r="B1005" s="117"/>
      <c r="C1005" s="116"/>
      <c r="D1005" s="116"/>
      <c r="E1005" s="116"/>
      <c r="F1005" s="116"/>
      <c r="G1005" s="117"/>
      <c r="H1005" s="117"/>
      <c r="I1005" s="117"/>
      <c r="J1005" s="117"/>
      <c r="K1005" s="117"/>
      <c r="L1005" s="117"/>
      <c r="M1005" s="117"/>
      <c r="N1005" s="117"/>
      <c r="O1005" s="117"/>
      <c r="P1005" s="117"/>
      <c r="Q1005" s="117"/>
      <c r="R1005" s="117"/>
      <c r="S1005" s="117"/>
      <c r="T1005" s="117"/>
      <c r="U1005" s="117"/>
      <c r="V1005" s="117"/>
      <c r="W1005" s="117"/>
      <c r="X1005" s="117"/>
      <c r="Y1005" s="117"/>
      <c r="Z1005" s="117"/>
      <c r="AA1005" s="117"/>
      <c r="AB1005" s="117"/>
    </row>
    <row r="1006">
      <c r="A1006" s="114"/>
      <c r="B1006" s="117"/>
      <c r="C1006" s="116"/>
      <c r="D1006" s="116"/>
      <c r="E1006" s="116"/>
      <c r="F1006" s="116"/>
      <c r="G1006" s="117"/>
      <c r="H1006" s="117"/>
      <c r="I1006" s="117"/>
      <c r="J1006" s="117"/>
      <c r="K1006" s="117"/>
      <c r="L1006" s="117"/>
      <c r="M1006" s="117"/>
      <c r="N1006" s="117"/>
      <c r="O1006" s="117"/>
      <c r="P1006" s="117"/>
      <c r="Q1006" s="117"/>
      <c r="R1006" s="117"/>
      <c r="S1006" s="117"/>
      <c r="T1006" s="117"/>
      <c r="U1006" s="117"/>
      <c r="V1006" s="117"/>
      <c r="W1006" s="117"/>
      <c r="X1006" s="117"/>
      <c r="Y1006" s="117"/>
      <c r="Z1006" s="117"/>
      <c r="AA1006" s="117"/>
      <c r="AB1006" s="117"/>
    </row>
    <row r="1007">
      <c r="A1007" s="114"/>
      <c r="B1007" s="117"/>
      <c r="C1007" s="116"/>
      <c r="D1007" s="116"/>
      <c r="E1007" s="116"/>
      <c r="F1007" s="116"/>
      <c r="G1007" s="117"/>
      <c r="H1007" s="117"/>
      <c r="I1007" s="117"/>
      <c r="J1007" s="117"/>
      <c r="K1007" s="117"/>
      <c r="L1007" s="117"/>
      <c r="M1007" s="117"/>
      <c r="N1007" s="117"/>
      <c r="O1007" s="117"/>
      <c r="P1007" s="117"/>
      <c r="Q1007" s="117"/>
      <c r="R1007" s="117"/>
      <c r="S1007" s="117"/>
      <c r="T1007" s="117"/>
      <c r="U1007" s="117"/>
      <c r="V1007" s="117"/>
      <c r="W1007" s="117"/>
      <c r="X1007" s="117"/>
      <c r="Y1007" s="117"/>
      <c r="Z1007" s="117"/>
      <c r="AA1007" s="117"/>
      <c r="AB1007" s="117"/>
    </row>
    <row r="1008">
      <c r="A1008" s="114"/>
      <c r="B1008" s="117"/>
      <c r="C1008" s="116"/>
      <c r="D1008" s="116"/>
      <c r="E1008" s="116"/>
      <c r="F1008" s="116"/>
      <c r="G1008" s="117"/>
      <c r="H1008" s="117"/>
      <c r="I1008" s="117"/>
      <c r="J1008" s="117"/>
      <c r="K1008" s="117"/>
      <c r="L1008" s="117"/>
      <c r="M1008" s="117"/>
      <c r="N1008" s="117"/>
      <c r="O1008" s="117"/>
      <c r="P1008" s="117"/>
      <c r="Q1008" s="117"/>
      <c r="R1008" s="117"/>
      <c r="S1008" s="117"/>
      <c r="T1008" s="117"/>
      <c r="U1008" s="117"/>
      <c r="V1008" s="117"/>
      <c r="W1008" s="117"/>
      <c r="X1008" s="117"/>
      <c r="Y1008" s="117"/>
      <c r="Z1008" s="117"/>
      <c r="AA1008" s="117"/>
      <c r="AB1008" s="117"/>
    </row>
    <row r="1009">
      <c r="A1009" s="114"/>
      <c r="B1009" s="117"/>
      <c r="C1009" s="116"/>
      <c r="D1009" s="116"/>
      <c r="E1009" s="116"/>
      <c r="F1009" s="116"/>
      <c r="G1009" s="117"/>
      <c r="H1009" s="117"/>
      <c r="I1009" s="117"/>
      <c r="J1009" s="117"/>
      <c r="K1009" s="117"/>
      <c r="L1009" s="117"/>
      <c r="M1009" s="117"/>
      <c r="N1009" s="117"/>
      <c r="O1009" s="117"/>
      <c r="P1009" s="117"/>
      <c r="Q1009" s="117"/>
      <c r="R1009" s="117"/>
      <c r="S1009" s="117"/>
      <c r="T1009" s="117"/>
      <c r="U1009" s="117"/>
      <c r="V1009" s="117"/>
      <c r="W1009" s="117"/>
      <c r="X1009" s="117"/>
      <c r="Y1009" s="117"/>
      <c r="Z1009" s="117"/>
      <c r="AA1009" s="117"/>
      <c r="AB1009" s="117"/>
    </row>
    <row r="1010">
      <c r="A1010" s="114"/>
      <c r="B1010" s="117"/>
      <c r="C1010" s="116"/>
      <c r="D1010" s="116"/>
      <c r="E1010" s="116"/>
      <c r="F1010" s="116"/>
      <c r="G1010" s="117"/>
      <c r="H1010" s="117"/>
      <c r="I1010" s="117"/>
      <c r="J1010" s="117"/>
      <c r="K1010" s="117"/>
      <c r="L1010" s="117"/>
      <c r="M1010" s="117"/>
      <c r="N1010" s="117"/>
      <c r="O1010" s="117"/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117"/>
      <c r="AB1010" s="117"/>
    </row>
    <row r="1011">
      <c r="A1011" s="114"/>
      <c r="B1011" s="117"/>
      <c r="C1011" s="116"/>
      <c r="D1011" s="116"/>
      <c r="E1011" s="116"/>
      <c r="F1011" s="116"/>
      <c r="G1011" s="117"/>
      <c r="H1011" s="117"/>
      <c r="I1011" s="117"/>
      <c r="J1011" s="117"/>
      <c r="K1011" s="117"/>
      <c r="L1011" s="117"/>
      <c r="M1011" s="117"/>
      <c r="N1011" s="117"/>
      <c r="O1011" s="117"/>
      <c r="P1011" s="117"/>
      <c r="Q1011" s="117"/>
      <c r="R1011" s="117"/>
      <c r="S1011" s="117"/>
      <c r="T1011" s="117"/>
      <c r="U1011" s="117"/>
      <c r="V1011" s="117"/>
      <c r="W1011" s="117"/>
      <c r="X1011" s="117"/>
      <c r="Y1011" s="117"/>
      <c r="Z1011" s="117"/>
      <c r="AA1011" s="117"/>
      <c r="AB1011" s="117"/>
    </row>
    <row r="1012">
      <c r="A1012" s="114"/>
      <c r="B1012" s="117"/>
      <c r="C1012" s="116"/>
      <c r="D1012" s="116"/>
      <c r="E1012" s="116"/>
      <c r="F1012" s="116"/>
      <c r="G1012" s="117"/>
      <c r="H1012" s="117"/>
      <c r="I1012" s="117"/>
      <c r="J1012" s="117"/>
      <c r="K1012" s="117"/>
      <c r="L1012" s="117"/>
      <c r="M1012" s="117"/>
      <c r="N1012" s="117"/>
      <c r="O1012" s="117"/>
      <c r="P1012" s="117"/>
      <c r="Q1012" s="117"/>
      <c r="R1012" s="117"/>
      <c r="S1012" s="117"/>
      <c r="T1012" s="117"/>
      <c r="U1012" s="117"/>
      <c r="V1012" s="117"/>
      <c r="W1012" s="117"/>
      <c r="X1012" s="117"/>
      <c r="Y1012" s="117"/>
      <c r="Z1012" s="117"/>
      <c r="AA1012" s="117"/>
      <c r="AB1012" s="117"/>
    </row>
    <row r="1013">
      <c r="A1013" s="114"/>
      <c r="B1013" s="117"/>
      <c r="C1013" s="116"/>
      <c r="D1013" s="116"/>
      <c r="E1013" s="116"/>
      <c r="F1013" s="116"/>
      <c r="G1013" s="117"/>
      <c r="H1013" s="117"/>
      <c r="I1013" s="117"/>
      <c r="J1013" s="117"/>
      <c r="K1013" s="117"/>
      <c r="L1013" s="117"/>
      <c r="M1013" s="117"/>
      <c r="N1013" s="117"/>
      <c r="O1013" s="117"/>
      <c r="P1013" s="117"/>
      <c r="Q1013" s="117"/>
      <c r="R1013" s="117"/>
      <c r="S1013" s="117"/>
      <c r="T1013" s="117"/>
      <c r="U1013" s="117"/>
      <c r="V1013" s="117"/>
      <c r="W1013" s="117"/>
      <c r="X1013" s="117"/>
      <c r="Y1013" s="117"/>
      <c r="Z1013" s="117"/>
      <c r="AA1013" s="117"/>
      <c r="AB1013" s="11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</cols>
  <sheetData>
    <row r="1">
      <c r="A1" s="117" t="str">
        <f>IFERROR(__xludf.DUMMYFUNCTION("importrange(""https://docs.google.com/spreadsheets/d/1oPoR297FYQc8QaXAAPA2r6uKpMvty1wlJMZP6WSLKUo/edit?gid=1490980909#gid=1490980909"",""Covershield"")"),"")</f>
        <v/>
      </c>
      <c r="B1" s="115" t="str">
        <f>IFERROR(__xludf.DUMMYFUNCTION("""COMPUTED_VALUE"""),"Covershield Profitability Report")</f>
        <v>Covershield Profitability Report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>
      <c r="A2" s="117"/>
      <c r="B2" s="118" t="str">
        <f>IFERROR(__xludf.DUMMYFUNCTION("""COMPUTED_VALUE"""),"Net Margins")</f>
        <v>Net Margins</v>
      </c>
      <c r="C2" s="4" t="str">
        <f>IFERROR(__xludf.DUMMYFUNCTION("""COMPUTED_VALUE"""),"Year to Date")</f>
        <v>Year to Date</v>
      </c>
      <c r="D2" s="4" t="str">
        <f>IFERROR(__xludf.DUMMYFUNCTION("""COMPUTED_VALUE"""),"Last Month")</f>
        <v>Last Month</v>
      </c>
      <c r="E2" s="4" t="str">
        <f>IFERROR(__xludf.DUMMYFUNCTION("""COMPUTED_VALUE"""),"Month to Date")</f>
        <v>Month to Date</v>
      </c>
      <c r="F2" s="5" t="str">
        <f>IFERROR(__xludf.DUMMYFUNCTION("""COMPUTED_VALUE"""),"This Week")</f>
        <v>This Week</v>
      </c>
      <c r="G2" s="6" t="str">
        <f>IFERROR(__xludf.DUMMYFUNCTION("""COMPUTED_VALUE"""),"Last Week")</f>
        <v>Last Week</v>
      </c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>
      <c r="A3" s="117"/>
      <c r="B3" s="119"/>
      <c r="C3" s="120">
        <f>IFERROR(__xludf.DUMMYFUNCTION("""COMPUTED_VALUE"""),2025.0)</f>
        <v>2025</v>
      </c>
      <c r="D3" s="121" t="str">
        <f>IFERROR(__xludf.DUMMYFUNCTION("""COMPUTED_VALUE"""),"November")</f>
        <v>November</v>
      </c>
      <c r="E3" s="121" t="str">
        <f>IFERROR(__xludf.DUMMYFUNCTION("""COMPUTED_VALUE"""),"December")</f>
        <v>December</v>
      </c>
      <c r="F3" s="122">
        <f>IFERROR(__xludf.DUMMYFUNCTION("""COMPUTED_VALUE"""),45999.0)</f>
        <v>45999</v>
      </c>
      <c r="G3" s="122">
        <f>IFERROR(__xludf.DUMMYFUNCTION("""COMPUTED_VALUE"""),45992.0)</f>
        <v>45992</v>
      </c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>
      <c r="A4" s="117"/>
      <c r="B4" s="123" t="str">
        <f>IFERROR(__xludf.DUMMYFUNCTION("""COMPUTED_VALUE"""),"20% Projection")</f>
        <v>20% Projection</v>
      </c>
      <c r="C4" s="124">
        <f>IFERROR(__xludf.DUMMYFUNCTION("""COMPUTED_VALUE"""),4694.903890807289)</f>
        <v>4694.903891</v>
      </c>
      <c r="D4" s="124">
        <f>IFERROR(__xludf.DUMMYFUNCTION("""COMPUTED_VALUE"""),324.43318779526004)</f>
        <v>324.4331878</v>
      </c>
      <c r="E4" s="124">
        <f>IFERROR(__xludf.DUMMYFUNCTION("""COMPUTED_VALUE"""),122.07934418312044)</f>
        <v>122.0793442</v>
      </c>
      <c r="F4" s="124">
        <f>IFERROR(__xludf.DUMMYFUNCTION("""COMPUTED_VALUE"""),122.07934418312044)</f>
        <v>122.0793442</v>
      </c>
      <c r="G4" s="125">
        <f>IFERROR(__xludf.DUMMYFUNCTION("""COMPUTED_VALUE"""),82.75576494422678)</f>
        <v>82.75576494</v>
      </c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>
      <c r="A5" s="117"/>
      <c r="B5" s="126" t="str">
        <f>IFERROR(__xludf.DUMMYFUNCTION("""COMPUTED_VALUE"""),"Net Profit Covershield")</f>
        <v>Net Profit Covershield</v>
      </c>
      <c r="C5" s="85">
        <f>IFERROR(__xludf.DUMMYFUNCTION("""COMPUTED_VALUE"""),23474.519454036443)</f>
        <v>23474.51945</v>
      </c>
      <c r="D5" s="85">
        <f>IFERROR(__xludf.DUMMYFUNCTION("""COMPUTED_VALUE"""),1622.1659389763001)</f>
        <v>1622.165939</v>
      </c>
      <c r="E5" s="85">
        <f>IFERROR(__xludf.DUMMYFUNCTION("""COMPUTED_VALUE"""),610.3967209156021)</f>
        <v>610.3967209</v>
      </c>
      <c r="F5" s="85">
        <f>IFERROR(__xludf.DUMMYFUNCTION("""COMPUTED_VALUE"""),610.3967209156021)</f>
        <v>610.3967209</v>
      </c>
      <c r="G5" s="86">
        <f>IFERROR(__xludf.DUMMYFUNCTION("""COMPUTED_VALUE"""),413.7788247211339)</f>
        <v>413.7788247</v>
      </c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>
      <c r="A6" s="117"/>
      <c r="B6" s="127" t="str">
        <f>IFERROR(__xludf.DUMMYFUNCTION("""COMPUTED_VALUE"""),"Item Profit Vs. Returned Items")</f>
        <v>Item Profit Vs. Returned Items</v>
      </c>
      <c r="C6" s="128">
        <f>IFERROR(__xludf.DUMMYFUNCTION("""COMPUTED_VALUE"""),24877.219454036443)</f>
        <v>24877.21945</v>
      </c>
      <c r="D6" s="128">
        <f>IFERROR(__xludf.DUMMYFUNCTION("""COMPUTED_VALUE"""),1682.9559389763)</f>
        <v>1682.955939</v>
      </c>
      <c r="E6" s="128">
        <f>IFERROR(__xludf.DUMMYFUNCTION("""COMPUTED_VALUE"""),610.3967209156021)</f>
        <v>610.3967209</v>
      </c>
      <c r="F6" s="128">
        <f>IFERROR(__xludf.DUMMYFUNCTION("""COMPUTED_VALUE"""),610.3967209156021)</f>
        <v>610.3967209</v>
      </c>
      <c r="G6" s="129">
        <f>IFERROR(__xludf.DUMMYFUNCTION("""COMPUTED_VALUE"""),413.7788247211339)</f>
        <v>413.7788247</v>
      </c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>
      <c r="A7" s="117"/>
      <c r="B7" s="130" t="str">
        <f>IFERROR(__xludf.DUMMYFUNCTION("""COMPUTED_VALUE"""),"Covershield Supply Item Sales Profit")</f>
        <v>Covershield Supply Item Sales Profit</v>
      </c>
      <c r="C7" s="131">
        <f>IFERROR(__xludf.DUMMYFUNCTION("""COMPUTED_VALUE"""),35114.70945403644)</f>
        <v>35114.70945</v>
      </c>
      <c r="D7" s="131">
        <f>IFERROR(__xludf.DUMMYFUNCTION("""COMPUTED_VALUE"""),2718.6159389763)</f>
        <v>2718.615939</v>
      </c>
      <c r="E7" s="131">
        <f>IFERROR(__xludf.DUMMYFUNCTION("""COMPUTED_VALUE"""),878.6667209156021)</f>
        <v>878.6667209</v>
      </c>
      <c r="F7" s="131">
        <f>IFERROR(__xludf.DUMMYFUNCTION("""COMPUTED_VALUE"""),878.6667209156021)</f>
        <v>878.6667209</v>
      </c>
      <c r="G7" s="132">
        <f>IFERROR(__xludf.DUMMYFUNCTION("""COMPUTED_VALUE"""),620.7788247211339)</f>
        <v>620.7788247</v>
      </c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>
      <c r="A8" s="117"/>
      <c r="B8" s="133" t="str">
        <f>IFERROR(__xludf.DUMMYFUNCTION("""COMPUTED_VALUE"""),"Keystone")</f>
        <v>Keystone</v>
      </c>
      <c r="C8" s="128">
        <f>IFERROR(__xludf.DUMMYFUNCTION("""COMPUTED_VALUE"""),34271.13630335151)</f>
        <v>34271.1363</v>
      </c>
      <c r="D8" s="128">
        <f>IFERROR(__xludf.DUMMYFUNCTION("""COMPUTED_VALUE"""),2718.6159389763)</f>
        <v>2718.615939</v>
      </c>
      <c r="E8" s="128">
        <f>IFERROR(__xludf.DUMMYFUNCTION("""COMPUTED_VALUE"""),878.6667209156021)</f>
        <v>878.6667209</v>
      </c>
      <c r="F8" s="128">
        <f>IFERROR(__xludf.DUMMYFUNCTION("""COMPUTED_VALUE"""),878.6667209156021)</f>
        <v>878.6667209</v>
      </c>
      <c r="G8" s="129">
        <f>IFERROR(__xludf.DUMMYFUNCTION("""COMPUTED_VALUE"""),620.7788247211339)</f>
        <v>620.7788247</v>
      </c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>
      <c r="A9" s="117"/>
      <c r="B9" s="133" t="str">
        <f>IFERROR(__xludf.DUMMYFUNCTION("""COMPUTED_VALUE"""),"TAAS")</f>
        <v>TAAS</v>
      </c>
      <c r="C9" s="128">
        <f>IFERROR(__xludf.DUMMYFUNCTION("""COMPUTED_VALUE"""),0.0)</f>
        <v>0</v>
      </c>
      <c r="D9" s="128">
        <f>IFERROR(__xludf.DUMMYFUNCTION("""COMPUTED_VALUE"""),0.0)</f>
        <v>0</v>
      </c>
      <c r="E9" s="128">
        <f>IFERROR(__xludf.DUMMYFUNCTION("""COMPUTED_VALUE"""),0.0)</f>
        <v>0</v>
      </c>
      <c r="F9" s="128">
        <f>IFERROR(__xludf.DUMMYFUNCTION("""COMPUTED_VALUE"""),0.0)</f>
        <v>0</v>
      </c>
      <c r="G9" s="129">
        <f>IFERROR(__xludf.DUMMYFUNCTION("""COMPUTED_VALUE"""),0.0)</f>
        <v>0</v>
      </c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>
      <c r="A10" s="117"/>
      <c r="B10" s="134" t="str">
        <f>IFERROR(__xludf.DUMMYFUNCTION("""COMPUTED_VALUE"""),"RR-Wally's")</f>
        <v>RR-Wally's</v>
      </c>
      <c r="C10" s="131">
        <f>IFERROR(__xludf.DUMMYFUNCTION("""COMPUTED_VALUE"""),843.5731506849313)</f>
        <v>843.5731507</v>
      </c>
      <c r="D10" s="131">
        <f>IFERROR(__xludf.DUMMYFUNCTION("""COMPUTED_VALUE"""),0.0)</f>
        <v>0</v>
      </c>
      <c r="E10" s="131">
        <f>IFERROR(__xludf.DUMMYFUNCTION("""COMPUTED_VALUE"""),0.0)</f>
        <v>0</v>
      </c>
      <c r="F10" s="131">
        <f>IFERROR(__xludf.DUMMYFUNCTION("""COMPUTED_VALUE"""),0.0)</f>
        <v>0</v>
      </c>
      <c r="G10" s="132">
        <f>IFERROR(__xludf.DUMMYFUNCTION("""COMPUTED_VALUE"""),0.0)</f>
        <v>0</v>
      </c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>
      <c r="A11" s="117"/>
      <c r="B11" s="117"/>
      <c r="C11" s="116"/>
      <c r="D11" s="116"/>
      <c r="E11" s="116"/>
      <c r="F11" s="116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>
      <c r="A12" s="117"/>
      <c r="B12" s="135" t="str">
        <f>IFERROR(__xludf.DUMMYFUNCTION("""COMPUTED_VALUE"""),"Returns")</f>
        <v>Returns</v>
      </c>
      <c r="C12" s="136">
        <f>IFERROR(__xludf.DUMMYFUNCTION("""COMPUTED_VALUE"""),-10237.489999999998)</f>
        <v>-10237.49</v>
      </c>
      <c r="D12" s="136">
        <f>IFERROR(__xludf.DUMMYFUNCTION("""COMPUTED_VALUE"""),-1035.66)</f>
        <v>-1035.66</v>
      </c>
      <c r="E12" s="136">
        <f>IFERROR(__xludf.DUMMYFUNCTION("""COMPUTED_VALUE"""),-268.27)</f>
        <v>-268.27</v>
      </c>
      <c r="F12" s="136">
        <f>IFERROR(__xludf.DUMMYFUNCTION("""COMPUTED_VALUE"""),-268.27)</f>
        <v>-268.27</v>
      </c>
      <c r="G12" s="137">
        <f>IFERROR(__xludf.DUMMYFUNCTION("""COMPUTED_VALUE"""),-207.0)</f>
        <v>-207</v>
      </c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>
      <c r="A13" s="117"/>
      <c r="B13" s="138" t="str">
        <f>IFERROR(__xludf.DUMMYFUNCTION("""COMPUTED_VALUE"""),"Keystone")</f>
        <v>Keystone</v>
      </c>
      <c r="C13" s="128">
        <f>IFERROR(__xludf.DUMMYFUNCTION("""COMPUTED_VALUE"""),-10197.489999999998)</f>
        <v>-10197.49</v>
      </c>
      <c r="D13" s="124">
        <f>IFERROR(__xludf.DUMMYFUNCTION("""COMPUTED_VALUE"""),-1035.66)</f>
        <v>-1035.66</v>
      </c>
      <c r="E13" s="124">
        <f>IFERROR(__xludf.DUMMYFUNCTION("""COMPUTED_VALUE"""),-268.27)</f>
        <v>-268.27</v>
      </c>
      <c r="F13" s="124">
        <f>IFERROR(__xludf.DUMMYFUNCTION("""COMPUTED_VALUE"""),-268.27)</f>
        <v>-268.27</v>
      </c>
      <c r="G13" s="125">
        <f>IFERROR(__xludf.DUMMYFUNCTION("""COMPUTED_VALUE"""),-207.0)</f>
        <v>-207</v>
      </c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>
      <c r="A14" s="117"/>
      <c r="B14" s="133" t="str">
        <f>IFERROR(__xludf.DUMMYFUNCTION("""COMPUTED_VALUE"""),"TAAS")</f>
        <v>TAAS</v>
      </c>
      <c r="C14" s="128">
        <f>IFERROR(__xludf.DUMMYFUNCTION("""COMPUTED_VALUE"""),0.0)</f>
        <v>0</v>
      </c>
      <c r="D14" s="128">
        <f>IFERROR(__xludf.DUMMYFUNCTION("""COMPUTED_VALUE"""),0.0)</f>
        <v>0</v>
      </c>
      <c r="E14" s="128">
        <f>IFERROR(__xludf.DUMMYFUNCTION("""COMPUTED_VALUE"""),0.0)</f>
        <v>0</v>
      </c>
      <c r="F14" s="128">
        <f>IFERROR(__xludf.DUMMYFUNCTION("""COMPUTED_VALUE"""),0.0)</f>
        <v>0</v>
      </c>
      <c r="G14" s="129">
        <f>IFERROR(__xludf.DUMMYFUNCTION("""COMPUTED_VALUE"""),0.0)</f>
        <v>0</v>
      </c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>
      <c r="A15" s="117"/>
      <c r="B15" s="134" t="str">
        <f>IFERROR(__xludf.DUMMYFUNCTION("""COMPUTED_VALUE"""),"RR-Wally's")</f>
        <v>RR-Wally's</v>
      </c>
      <c r="C15" s="131">
        <f>IFERROR(__xludf.DUMMYFUNCTION("""COMPUTED_VALUE"""),-40.0)</f>
        <v>-40</v>
      </c>
      <c r="D15" s="131">
        <f>IFERROR(__xludf.DUMMYFUNCTION("""COMPUTED_VALUE"""),0.0)</f>
        <v>0</v>
      </c>
      <c r="E15" s="131">
        <f>IFERROR(__xludf.DUMMYFUNCTION("""COMPUTED_VALUE"""),0.0)</f>
        <v>0</v>
      </c>
      <c r="F15" s="131">
        <f>IFERROR(__xludf.DUMMYFUNCTION("""COMPUTED_VALUE"""),0.0)</f>
        <v>0</v>
      </c>
      <c r="G15" s="132">
        <f>IFERROR(__xludf.DUMMYFUNCTION("""COMPUTED_VALUE"""),0.0)</f>
        <v>0</v>
      </c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>
      <c r="A16" s="117"/>
      <c r="B16" s="117"/>
      <c r="C16" s="116"/>
      <c r="D16" s="116"/>
      <c r="E16" s="116"/>
      <c r="F16" s="116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>
      <c r="A17" s="117"/>
      <c r="B17" s="135" t="str">
        <f>IFERROR(__xludf.DUMMYFUNCTION("""COMPUTED_VALUE"""),"Other Fees")</f>
        <v>Other Fees</v>
      </c>
      <c r="C17" s="136">
        <f>IFERROR(__xludf.DUMMYFUNCTION("""COMPUTED_VALUE"""),-1402.7)</f>
        <v>-1402.7</v>
      </c>
      <c r="D17" s="136">
        <f>IFERROR(__xludf.DUMMYFUNCTION("""COMPUTED_VALUE"""),-60.79)</f>
        <v>-60.79</v>
      </c>
      <c r="E17" s="136">
        <f>IFERROR(__xludf.DUMMYFUNCTION("""COMPUTED_VALUE"""),0.0)</f>
        <v>0</v>
      </c>
      <c r="F17" s="136">
        <f>IFERROR(__xludf.DUMMYFUNCTION("""COMPUTED_VALUE"""),0.0)</f>
        <v>0</v>
      </c>
      <c r="G17" s="137">
        <f>IFERROR(__xludf.DUMMYFUNCTION("""COMPUTED_VALUE"""),0.0)</f>
        <v>0</v>
      </c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>
      <c r="A18" s="117"/>
      <c r="B18" s="149" t="str">
        <f>IFERROR(__xludf.DUMMYFUNCTION("""COMPUTED_VALUE"""),"Shipping label")</f>
        <v>Shipping label</v>
      </c>
      <c r="C18" s="150">
        <f>IFERROR(__xludf.DUMMYFUNCTION("""COMPUTED_VALUE"""),-1402.7)</f>
        <v>-1402.7</v>
      </c>
      <c r="D18" s="150">
        <f>IFERROR(__xludf.DUMMYFUNCTION("""COMPUTED_VALUE"""),-60.79)</f>
        <v>-60.79</v>
      </c>
      <c r="E18" s="150">
        <f>IFERROR(__xludf.DUMMYFUNCTION("""COMPUTED_VALUE"""),0.0)</f>
        <v>0</v>
      </c>
      <c r="F18" s="150">
        <f>IFERROR(__xludf.DUMMYFUNCTION("""COMPUTED_VALUE"""),0.0)</f>
        <v>0</v>
      </c>
      <c r="G18" s="151">
        <f>IFERROR(__xludf.DUMMYFUNCTION("""COMPUTED_VALUE"""),0.0)</f>
        <v>0</v>
      </c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>
      <c r="A19" s="117"/>
      <c r="B19" s="117"/>
      <c r="C19" s="116"/>
      <c r="D19" s="116"/>
      <c r="E19" s="116"/>
      <c r="F19" s="116"/>
      <c r="G19" s="116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>
      <c r="A20" s="117"/>
      <c r="B20" s="123" t="str">
        <f>IFERROR(__xludf.DUMMYFUNCTION("""COMPUTED_VALUE"""),"Purchase Reconciliations")</f>
        <v>Purchase Reconciliations</v>
      </c>
      <c r="C20" s="139"/>
      <c r="D20" s="139"/>
      <c r="E20" s="139"/>
      <c r="F20" s="139"/>
      <c r="G20" s="140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>
      <c r="A21" s="117"/>
      <c r="B21" s="126" t="str">
        <f>IFERROR(__xludf.DUMMYFUNCTION("""COMPUTED_VALUE"""),"Keystone")</f>
        <v>Keystone</v>
      </c>
      <c r="C21" s="85">
        <f>IFERROR(__xludf.DUMMYFUNCTION("""COMPUTED_VALUE"""),64272.65000000004)</f>
        <v>64272.65</v>
      </c>
      <c r="D21" s="85">
        <f>IFERROR(__xludf.DUMMYFUNCTION("""COMPUTED_VALUE"""),5116.800000000001)</f>
        <v>5116.8</v>
      </c>
      <c r="E21" s="85">
        <f>IFERROR(__xludf.DUMMYFUNCTION("""COMPUTED_VALUE"""),752.2699999999999)</f>
        <v>752.27</v>
      </c>
      <c r="F21" s="85">
        <f>IFERROR(__xludf.DUMMYFUNCTION("""COMPUTED_VALUE"""),752.2699999999999)</f>
        <v>752.27</v>
      </c>
      <c r="G21" s="86">
        <f>IFERROR(__xludf.DUMMYFUNCTION("""COMPUTED_VALUE"""),1108.86)</f>
        <v>1108.86</v>
      </c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>
      <c r="A22" s="117"/>
      <c r="B22" s="141" t="str">
        <f>IFERROR(__xludf.DUMMYFUNCTION("""COMPUTED_VALUE"""),"TAAS")</f>
        <v>TAAS</v>
      </c>
      <c r="C22" s="142">
        <f>IFERROR(__xludf.DUMMYFUNCTION("""COMPUTED_VALUE"""),0.0)</f>
        <v>0</v>
      </c>
      <c r="D22" s="142">
        <f>IFERROR(__xludf.DUMMYFUNCTION("""COMPUTED_VALUE"""),0.0)</f>
        <v>0</v>
      </c>
      <c r="E22" s="142">
        <f>IFERROR(__xludf.DUMMYFUNCTION("""COMPUTED_VALUE"""),0.0)</f>
        <v>0</v>
      </c>
      <c r="F22" s="142">
        <f>IFERROR(__xludf.DUMMYFUNCTION("""COMPUTED_VALUE"""),0.0)</f>
        <v>0</v>
      </c>
      <c r="G22" s="143">
        <f>IFERROR(__xludf.DUMMYFUNCTION("""COMPUTED_VALUE"""),0.0)</f>
        <v>0</v>
      </c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>
      <c r="A23" s="117"/>
      <c r="B23" s="117"/>
      <c r="C23" s="116"/>
      <c r="D23" s="116"/>
      <c r="E23" s="116"/>
      <c r="F23" s="116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>
      <c r="A24" s="117"/>
      <c r="B24" s="118" t="str">
        <f>IFERROR(__xludf.DUMMYFUNCTION("""COMPUTED_VALUE"""),"Sales")</f>
        <v>Sales</v>
      </c>
      <c r="C24" s="4" t="str">
        <f>IFERROR(__xludf.DUMMYFUNCTION("""COMPUTED_VALUE"""),"Year to Date")</f>
        <v>Year to Date</v>
      </c>
      <c r="D24" s="4" t="str">
        <f>IFERROR(__xludf.DUMMYFUNCTION("""COMPUTED_VALUE"""),"Last Month")</f>
        <v>Last Month</v>
      </c>
      <c r="E24" s="4" t="str">
        <f>IFERROR(__xludf.DUMMYFUNCTION("""COMPUTED_VALUE"""),"Month to Date")</f>
        <v>Month to Date</v>
      </c>
      <c r="F24" s="5" t="str">
        <f>IFERROR(__xludf.DUMMYFUNCTION("""COMPUTED_VALUE"""),"This Week")</f>
        <v>This Week</v>
      </c>
      <c r="G24" s="6" t="str">
        <f>IFERROR(__xludf.DUMMYFUNCTION("""COMPUTED_VALUE"""),"Last Week")</f>
        <v>Last Week</v>
      </c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>
      <c r="A25" s="117"/>
      <c r="B25" s="119"/>
      <c r="C25" s="120">
        <f>IFERROR(__xludf.DUMMYFUNCTION("""COMPUTED_VALUE"""),2025.0)</f>
        <v>2025</v>
      </c>
      <c r="D25" s="121" t="str">
        <f>IFERROR(__xludf.DUMMYFUNCTION("""COMPUTED_VALUE"""),"November")</f>
        <v>November</v>
      </c>
      <c r="E25" s="121" t="str">
        <f>IFERROR(__xludf.DUMMYFUNCTION("""COMPUTED_VALUE"""),"December")</f>
        <v>December</v>
      </c>
      <c r="F25" s="122">
        <f>IFERROR(__xludf.DUMMYFUNCTION("""COMPUTED_VALUE"""),45999.0)</f>
        <v>45999</v>
      </c>
      <c r="G25" s="144">
        <f>IFERROR(__xludf.DUMMYFUNCTION("""COMPUTED_VALUE"""),45992.0)</f>
        <v>45992</v>
      </c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>
      <c r="A26" s="117"/>
      <c r="B26" s="138" t="str">
        <f>IFERROR(__xludf.DUMMYFUNCTION("""COMPUTED_VALUE"""),"All Vendors")</f>
        <v>All Vendors</v>
      </c>
      <c r="C26" s="124">
        <f>IFERROR(__xludf.DUMMYFUNCTION("""COMPUTED_VALUE"""),112488.70999999966)</f>
        <v>112488.71</v>
      </c>
      <c r="D26" s="124">
        <f>IFERROR(__xludf.DUMMYFUNCTION("""COMPUTED_VALUE"""),8729.17)</f>
        <v>8729.17</v>
      </c>
      <c r="E26" s="124">
        <f>IFERROR(__xludf.DUMMYFUNCTION("""COMPUTED_VALUE"""),1856.34)</f>
        <v>1856.34</v>
      </c>
      <c r="F26" s="124">
        <f>IFERROR(__xludf.DUMMYFUNCTION("""COMPUTED_VALUE"""),1856.34)</f>
        <v>1856.34</v>
      </c>
      <c r="G26" s="125">
        <f>IFERROR(__xludf.DUMMYFUNCTION("""COMPUTED_VALUE"""),1968.0400000000002)</f>
        <v>1968.04</v>
      </c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>
      <c r="A27" s="117"/>
      <c r="B27" s="133" t="str">
        <f>IFERROR(__xludf.DUMMYFUNCTION("""COMPUTED_VALUE"""),"Keystone")</f>
        <v>Keystone</v>
      </c>
      <c r="C27" s="128">
        <f>IFERROR(__xludf.DUMMYFUNCTION("""COMPUTED_VALUE"""),111131.86999999966)</f>
        <v>111131.87</v>
      </c>
      <c r="D27" s="128">
        <f>IFERROR(__xludf.DUMMYFUNCTION("""COMPUTED_VALUE"""),8729.17)</f>
        <v>8729.17</v>
      </c>
      <c r="E27" s="128">
        <f>IFERROR(__xludf.DUMMYFUNCTION("""COMPUTED_VALUE"""),1856.34)</f>
        <v>1856.34</v>
      </c>
      <c r="F27" s="128">
        <f>IFERROR(__xludf.DUMMYFUNCTION("""COMPUTED_VALUE"""),1856.34)</f>
        <v>1856.34</v>
      </c>
      <c r="G27" s="129">
        <f>IFERROR(__xludf.DUMMYFUNCTION("""COMPUTED_VALUE"""),1968.0400000000002)</f>
        <v>1968.04</v>
      </c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>
      <c r="A28" s="117"/>
      <c r="B28" s="133" t="str">
        <f>IFERROR(__xludf.DUMMYFUNCTION("""COMPUTED_VALUE"""),"TAAS")</f>
        <v>TAAS</v>
      </c>
      <c r="C28" s="128">
        <f>IFERROR(__xludf.DUMMYFUNCTION("""COMPUTED_VALUE"""),0.0)</f>
        <v>0</v>
      </c>
      <c r="D28" s="128">
        <f>IFERROR(__xludf.DUMMYFUNCTION("""COMPUTED_VALUE"""),0.0)</f>
        <v>0</v>
      </c>
      <c r="E28" s="128">
        <f>IFERROR(__xludf.DUMMYFUNCTION("""COMPUTED_VALUE"""),0.0)</f>
        <v>0</v>
      </c>
      <c r="F28" s="128">
        <f>IFERROR(__xludf.DUMMYFUNCTION("""COMPUTED_VALUE"""),0.0)</f>
        <v>0</v>
      </c>
      <c r="G28" s="129">
        <f>IFERROR(__xludf.DUMMYFUNCTION("""COMPUTED_VALUE"""),0.0)</f>
        <v>0</v>
      </c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>
      <c r="A29" s="117"/>
      <c r="B29" s="134" t="str">
        <f>IFERROR(__xludf.DUMMYFUNCTION("""COMPUTED_VALUE"""),"RR-Wally's")</f>
        <v>RR-Wally's</v>
      </c>
      <c r="C29" s="131">
        <f>IFERROR(__xludf.DUMMYFUNCTION("""COMPUTED_VALUE"""),1356.8400000000004)</f>
        <v>1356.84</v>
      </c>
      <c r="D29" s="131">
        <f>IFERROR(__xludf.DUMMYFUNCTION("""COMPUTED_VALUE"""),0.0)</f>
        <v>0</v>
      </c>
      <c r="E29" s="131">
        <f>IFERROR(__xludf.DUMMYFUNCTION("""COMPUTED_VALUE"""),0.0)</f>
        <v>0</v>
      </c>
      <c r="F29" s="131">
        <f>IFERROR(__xludf.DUMMYFUNCTION("""COMPUTED_VALUE"""),0.0)</f>
        <v>0</v>
      </c>
      <c r="G29" s="132">
        <f>IFERROR(__xludf.DUMMYFUNCTION("""COMPUTED_VALUE"""),0.0)</f>
        <v>0</v>
      </c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>
      <c r="A520" s="117"/>
      <c r="B520" s="117"/>
      <c r="C520" s="117"/>
      <c r="D520" s="117"/>
      <c r="E520" s="117"/>
      <c r="F520" s="117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>
      <c r="A521" s="117"/>
      <c r="B521" s="117"/>
      <c r="C521" s="117"/>
      <c r="D521" s="117"/>
      <c r="E521" s="117"/>
      <c r="F521" s="117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>
      <c r="A522" s="117"/>
      <c r="B522" s="117"/>
      <c r="C522" s="117"/>
      <c r="D522" s="117"/>
      <c r="E522" s="117"/>
      <c r="F522" s="117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>
      <c r="A523" s="117"/>
      <c r="B523" s="117"/>
      <c r="C523" s="117"/>
      <c r="D523" s="117"/>
      <c r="E523" s="117"/>
      <c r="F523" s="117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>
      <c r="A524" s="117"/>
      <c r="B524" s="117"/>
      <c r="C524" s="117"/>
      <c r="D524" s="117"/>
      <c r="E524" s="117"/>
      <c r="F524" s="117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>
      <c r="A525" s="117"/>
      <c r="B525" s="117"/>
      <c r="C525" s="117"/>
      <c r="D525" s="117"/>
      <c r="E525" s="117"/>
      <c r="F525" s="117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>
      <c r="A526" s="117"/>
      <c r="B526" s="117"/>
      <c r="C526" s="117"/>
      <c r="D526" s="117"/>
      <c r="E526" s="117"/>
      <c r="F526" s="117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>
      <c r="A527" s="117"/>
      <c r="B527" s="117"/>
      <c r="C527" s="117"/>
      <c r="D527" s="117"/>
      <c r="E527" s="117"/>
      <c r="F527" s="117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>
      <c r="A528" s="117"/>
      <c r="B528" s="117"/>
      <c r="C528" s="117"/>
      <c r="D528" s="117"/>
      <c r="E528" s="117"/>
      <c r="F528" s="117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>
      <c r="A529" s="117"/>
      <c r="B529" s="117"/>
      <c r="C529" s="117"/>
      <c r="D529" s="117"/>
      <c r="E529" s="117"/>
      <c r="F529" s="117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>
      <c r="A530" s="117"/>
      <c r="B530" s="117"/>
      <c r="C530" s="117"/>
      <c r="D530" s="117"/>
      <c r="E530" s="117"/>
      <c r="F530" s="117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>
      <c r="A531" s="117"/>
      <c r="B531" s="117"/>
      <c r="C531" s="117"/>
      <c r="D531" s="117"/>
      <c r="E531" s="117"/>
      <c r="F531" s="117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>
      <c r="A532" s="117"/>
      <c r="B532" s="117"/>
      <c r="C532" s="117"/>
      <c r="D532" s="117"/>
      <c r="E532" s="117"/>
      <c r="F532" s="117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>
      <c r="A533" s="117"/>
      <c r="B533" s="117"/>
      <c r="C533" s="117"/>
      <c r="D533" s="117"/>
      <c r="E533" s="117"/>
      <c r="F533" s="117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>
      <c r="A534" s="117"/>
      <c r="B534" s="117"/>
      <c r="C534" s="117"/>
      <c r="D534" s="117"/>
      <c r="E534" s="117"/>
      <c r="F534" s="117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>
      <c r="A535" s="117"/>
      <c r="B535" s="117"/>
      <c r="C535" s="117"/>
      <c r="D535" s="117"/>
      <c r="E535" s="117"/>
      <c r="F535" s="117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>
      <c r="A536" s="117"/>
      <c r="B536" s="117"/>
      <c r="C536" s="117"/>
      <c r="D536" s="117"/>
      <c r="E536" s="117"/>
      <c r="F536" s="117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>
      <c r="A537" s="117"/>
      <c r="B537" s="117"/>
      <c r="C537" s="117"/>
      <c r="D537" s="117"/>
      <c r="E537" s="117"/>
      <c r="F537" s="117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>
      <c r="A538" s="117"/>
      <c r="B538" s="117"/>
      <c r="C538" s="117"/>
      <c r="D538" s="117"/>
      <c r="E538" s="117"/>
      <c r="F538" s="117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>
      <c r="A539" s="117"/>
      <c r="B539" s="117"/>
      <c r="C539" s="117"/>
      <c r="D539" s="117"/>
      <c r="E539" s="117"/>
      <c r="F539" s="117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>
      <c r="A540" s="117"/>
      <c r="B540" s="117"/>
      <c r="C540" s="117"/>
      <c r="D540" s="117"/>
      <c r="E540" s="117"/>
      <c r="F540" s="117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>
      <c r="A541" s="117"/>
      <c r="B541" s="117"/>
      <c r="C541" s="117"/>
      <c r="D541" s="117"/>
      <c r="E541" s="117"/>
      <c r="F541" s="117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>
      <c r="A542" s="117"/>
      <c r="B542" s="117"/>
      <c r="C542" s="117"/>
      <c r="D542" s="117"/>
      <c r="E542" s="117"/>
      <c r="F542" s="117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>
      <c r="A543" s="117"/>
      <c r="B543" s="117"/>
      <c r="C543" s="117"/>
      <c r="D543" s="117"/>
      <c r="E543" s="117"/>
      <c r="F543" s="117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>
      <c r="A544" s="117"/>
      <c r="B544" s="117"/>
      <c r="C544" s="117"/>
      <c r="D544" s="117"/>
      <c r="E544" s="117"/>
      <c r="F544" s="117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>
      <c r="A545" s="117"/>
      <c r="B545" s="117"/>
      <c r="C545" s="117"/>
      <c r="D545" s="117"/>
      <c r="E545" s="117"/>
      <c r="F545" s="117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>
      <c r="A546" s="117"/>
      <c r="B546" s="117"/>
      <c r="C546" s="117"/>
      <c r="D546" s="117"/>
      <c r="E546" s="117"/>
      <c r="F546" s="117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>
      <c r="A547" s="117"/>
      <c r="B547" s="117"/>
      <c r="C547" s="117"/>
      <c r="D547" s="117"/>
      <c r="E547" s="117"/>
      <c r="F547" s="117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>
      <c r="A548" s="117"/>
      <c r="B548" s="117"/>
      <c r="C548" s="117"/>
      <c r="D548" s="117"/>
      <c r="E548" s="117"/>
      <c r="F548" s="117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>
      <c r="A549" s="117"/>
      <c r="B549" s="117"/>
      <c r="C549" s="117"/>
      <c r="D549" s="117"/>
      <c r="E549" s="117"/>
      <c r="F549" s="117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>
      <c r="A550" s="117"/>
      <c r="B550" s="117"/>
      <c r="C550" s="117"/>
      <c r="D550" s="117"/>
      <c r="E550" s="117"/>
      <c r="F550" s="117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>
      <c r="A551" s="117"/>
      <c r="B551" s="117"/>
      <c r="C551" s="117"/>
      <c r="D551" s="117"/>
      <c r="E551" s="117"/>
      <c r="F551" s="117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>
      <c r="A552" s="117"/>
      <c r="B552" s="117"/>
      <c r="C552" s="117"/>
      <c r="D552" s="117"/>
      <c r="E552" s="117"/>
      <c r="F552" s="117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>
      <c r="A553" s="117"/>
      <c r="B553" s="117"/>
      <c r="C553" s="117"/>
      <c r="D553" s="117"/>
      <c r="E553" s="117"/>
      <c r="F553" s="117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>
      <c r="A554" s="117"/>
      <c r="B554" s="117"/>
      <c r="C554" s="117"/>
      <c r="D554" s="117"/>
      <c r="E554" s="117"/>
      <c r="F554" s="117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>
      <c r="A555" s="117"/>
      <c r="B555" s="117"/>
      <c r="C555" s="117"/>
      <c r="D555" s="117"/>
      <c r="E555" s="117"/>
      <c r="F555" s="117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>
      <c r="A556" s="117"/>
      <c r="B556" s="117"/>
      <c r="C556" s="117"/>
      <c r="D556" s="117"/>
      <c r="E556" s="117"/>
      <c r="F556" s="117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>
      <c r="A557" s="117"/>
      <c r="B557" s="117"/>
      <c r="C557" s="117"/>
      <c r="D557" s="117"/>
      <c r="E557" s="117"/>
      <c r="F557" s="117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>
      <c r="A558" s="117"/>
      <c r="B558" s="117"/>
      <c r="C558" s="117"/>
      <c r="D558" s="117"/>
      <c r="E558" s="117"/>
      <c r="F558" s="117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</row>
    <row r="559">
      <c r="A559" s="117"/>
      <c r="B559" s="117"/>
      <c r="C559" s="117"/>
      <c r="D559" s="117"/>
      <c r="E559" s="117"/>
      <c r="F559" s="117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</row>
    <row r="560">
      <c r="A560" s="117"/>
      <c r="B560" s="117"/>
      <c r="C560" s="117"/>
      <c r="D560" s="117"/>
      <c r="E560" s="117"/>
      <c r="F560" s="117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</row>
    <row r="561">
      <c r="A561" s="117"/>
      <c r="B561" s="117"/>
      <c r="C561" s="117"/>
      <c r="D561" s="117"/>
      <c r="E561" s="117"/>
      <c r="F561" s="117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</row>
    <row r="562">
      <c r="A562" s="117"/>
      <c r="B562" s="117"/>
      <c r="C562" s="117"/>
      <c r="D562" s="117"/>
      <c r="E562" s="117"/>
      <c r="F562" s="117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</row>
    <row r="563">
      <c r="A563" s="117"/>
      <c r="B563" s="117"/>
      <c r="C563" s="117"/>
      <c r="D563" s="117"/>
      <c r="E563" s="117"/>
      <c r="F563" s="117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</row>
    <row r="564">
      <c r="A564" s="117"/>
      <c r="B564" s="117"/>
      <c r="C564" s="117"/>
      <c r="D564" s="117"/>
      <c r="E564" s="117"/>
      <c r="F564" s="117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</row>
    <row r="565">
      <c r="A565" s="117"/>
      <c r="B565" s="117"/>
      <c r="C565" s="117"/>
      <c r="D565" s="117"/>
      <c r="E565" s="117"/>
      <c r="F565" s="117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</row>
    <row r="566">
      <c r="A566" s="117"/>
      <c r="B566" s="117"/>
      <c r="C566" s="117"/>
      <c r="D566" s="117"/>
      <c r="E566" s="117"/>
      <c r="F566" s="117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</row>
    <row r="567">
      <c r="A567" s="117"/>
      <c r="B567" s="117"/>
      <c r="C567" s="117"/>
      <c r="D567" s="117"/>
      <c r="E567" s="117"/>
      <c r="F567" s="117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</row>
    <row r="568">
      <c r="A568" s="117"/>
      <c r="B568" s="117"/>
      <c r="C568" s="117"/>
      <c r="D568" s="117"/>
      <c r="E568" s="117"/>
      <c r="F568" s="117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</row>
    <row r="569">
      <c r="A569" s="117"/>
      <c r="B569" s="117"/>
      <c r="C569" s="117"/>
      <c r="D569" s="117"/>
      <c r="E569" s="117"/>
      <c r="F569" s="117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</row>
    <row r="570">
      <c r="A570" s="117"/>
      <c r="B570" s="117"/>
      <c r="C570" s="117"/>
      <c r="D570" s="117"/>
      <c r="E570" s="117"/>
      <c r="F570" s="117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</row>
    <row r="571">
      <c r="A571" s="117"/>
      <c r="B571" s="117"/>
      <c r="C571" s="117"/>
      <c r="D571" s="117"/>
      <c r="E571" s="117"/>
      <c r="F571" s="117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</row>
    <row r="572">
      <c r="A572" s="117"/>
      <c r="B572" s="117"/>
      <c r="C572" s="117"/>
      <c r="D572" s="117"/>
      <c r="E572" s="117"/>
      <c r="F572" s="117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</row>
    <row r="573">
      <c r="A573" s="117"/>
      <c r="B573" s="117"/>
      <c r="C573" s="117"/>
      <c r="D573" s="117"/>
      <c r="E573" s="117"/>
      <c r="F573" s="117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</row>
    <row r="574">
      <c r="A574" s="117"/>
      <c r="B574" s="117"/>
      <c r="C574" s="117"/>
      <c r="D574" s="117"/>
      <c r="E574" s="117"/>
      <c r="F574" s="117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</row>
    <row r="575">
      <c r="A575" s="117"/>
      <c r="B575" s="117"/>
      <c r="C575" s="117"/>
      <c r="D575" s="117"/>
      <c r="E575" s="117"/>
      <c r="F575" s="117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</row>
    <row r="576">
      <c r="A576" s="117"/>
      <c r="B576" s="117"/>
      <c r="C576" s="117"/>
      <c r="D576" s="117"/>
      <c r="E576" s="117"/>
      <c r="F576" s="117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</row>
    <row r="577">
      <c r="A577" s="117"/>
      <c r="B577" s="117"/>
      <c r="C577" s="117"/>
      <c r="D577" s="117"/>
      <c r="E577" s="117"/>
      <c r="F577" s="117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</row>
    <row r="578">
      <c r="A578" s="117"/>
      <c r="B578" s="117"/>
      <c r="C578" s="117"/>
      <c r="D578" s="117"/>
      <c r="E578" s="117"/>
      <c r="F578" s="117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</row>
    <row r="579">
      <c r="A579" s="117"/>
      <c r="B579" s="117"/>
      <c r="C579" s="117"/>
      <c r="D579" s="117"/>
      <c r="E579" s="117"/>
      <c r="F579" s="117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</row>
    <row r="580">
      <c r="A580" s="117"/>
      <c r="B580" s="117"/>
      <c r="C580" s="117"/>
      <c r="D580" s="117"/>
      <c r="E580" s="117"/>
      <c r="F580" s="117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</row>
    <row r="581">
      <c r="A581" s="117"/>
      <c r="B581" s="117"/>
      <c r="C581" s="117"/>
      <c r="D581" s="117"/>
      <c r="E581" s="117"/>
      <c r="F581" s="117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</row>
    <row r="582">
      <c r="A582" s="117"/>
      <c r="B582" s="117"/>
      <c r="C582" s="117"/>
      <c r="D582" s="117"/>
      <c r="E582" s="117"/>
      <c r="F582" s="117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</row>
    <row r="583">
      <c r="A583" s="117"/>
      <c r="B583" s="117"/>
      <c r="C583" s="117"/>
      <c r="D583" s="117"/>
      <c r="E583" s="117"/>
      <c r="F583" s="117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</row>
    <row r="584">
      <c r="A584" s="117"/>
      <c r="B584" s="117"/>
      <c r="C584" s="117"/>
      <c r="D584" s="117"/>
      <c r="E584" s="117"/>
      <c r="F584" s="117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</row>
    <row r="585">
      <c r="A585" s="117"/>
      <c r="B585" s="117"/>
      <c r="C585" s="117"/>
      <c r="D585" s="117"/>
      <c r="E585" s="117"/>
      <c r="F585" s="117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</row>
    <row r="586">
      <c r="A586" s="117"/>
      <c r="B586" s="117"/>
      <c r="C586" s="117"/>
      <c r="D586" s="117"/>
      <c r="E586" s="117"/>
      <c r="F586" s="117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</row>
    <row r="587">
      <c r="A587" s="117"/>
      <c r="B587" s="117"/>
      <c r="C587" s="117"/>
      <c r="D587" s="117"/>
      <c r="E587" s="117"/>
      <c r="F587" s="117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</row>
    <row r="588">
      <c r="A588" s="117"/>
      <c r="B588" s="117"/>
      <c r="C588" s="117"/>
      <c r="D588" s="117"/>
      <c r="E588" s="117"/>
      <c r="F588" s="117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</row>
    <row r="589">
      <c r="A589" s="117"/>
      <c r="B589" s="117"/>
      <c r="C589" s="117"/>
      <c r="D589" s="117"/>
      <c r="E589" s="117"/>
      <c r="F589" s="117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</row>
    <row r="590">
      <c r="A590" s="117"/>
      <c r="B590" s="117"/>
      <c r="C590" s="117"/>
      <c r="D590" s="117"/>
      <c r="E590" s="117"/>
      <c r="F590" s="117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</row>
    <row r="591">
      <c r="A591" s="117"/>
      <c r="B591" s="117"/>
      <c r="C591" s="117"/>
      <c r="D591" s="117"/>
      <c r="E591" s="117"/>
      <c r="F591" s="117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</row>
    <row r="592">
      <c r="A592" s="117"/>
      <c r="B592" s="117"/>
      <c r="C592" s="117"/>
      <c r="D592" s="117"/>
      <c r="E592" s="117"/>
      <c r="F592" s="117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</row>
    <row r="593">
      <c r="A593" s="117"/>
      <c r="B593" s="117"/>
      <c r="C593" s="117"/>
      <c r="D593" s="117"/>
      <c r="E593" s="117"/>
      <c r="F593" s="117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</row>
    <row r="594">
      <c r="A594" s="117"/>
      <c r="B594" s="117"/>
      <c r="C594" s="117"/>
      <c r="D594" s="117"/>
      <c r="E594" s="117"/>
      <c r="F594" s="117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</row>
    <row r="595">
      <c r="A595" s="117"/>
      <c r="B595" s="117"/>
      <c r="C595" s="117"/>
      <c r="D595" s="117"/>
      <c r="E595" s="117"/>
      <c r="F595" s="117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</row>
    <row r="596">
      <c r="A596" s="117"/>
      <c r="B596" s="117"/>
      <c r="C596" s="117"/>
      <c r="D596" s="117"/>
      <c r="E596" s="117"/>
      <c r="F596" s="117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</row>
    <row r="597">
      <c r="A597" s="117"/>
      <c r="B597" s="117"/>
      <c r="C597" s="117"/>
      <c r="D597" s="117"/>
      <c r="E597" s="117"/>
      <c r="F597" s="117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</row>
    <row r="598">
      <c r="A598" s="117"/>
      <c r="B598" s="117"/>
      <c r="C598" s="117"/>
      <c r="D598" s="117"/>
      <c r="E598" s="117"/>
      <c r="F598" s="117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</row>
    <row r="599">
      <c r="A599" s="117"/>
      <c r="B599" s="117"/>
      <c r="C599" s="117"/>
      <c r="D599" s="117"/>
      <c r="E599" s="117"/>
      <c r="F599" s="117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</row>
    <row r="600">
      <c r="A600" s="117"/>
      <c r="B600" s="117"/>
      <c r="C600" s="117"/>
      <c r="D600" s="117"/>
      <c r="E600" s="117"/>
      <c r="F600" s="117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</row>
    <row r="601">
      <c r="A601" s="117"/>
      <c r="B601" s="117"/>
      <c r="C601" s="117"/>
      <c r="D601" s="117"/>
      <c r="E601" s="117"/>
      <c r="F601" s="117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</row>
    <row r="602">
      <c r="A602" s="117"/>
      <c r="B602" s="117"/>
      <c r="C602" s="117"/>
      <c r="D602" s="117"/>
      <c r="E602" s="117"/>
      <c r="F602" s="117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</row>
    <row r="603">
      <c r="A603" s="117"/>
      <c r="B603" s="117"/>
      <c r="C603" s="117"/>
      <c r="D603" s="117"/>
      <c r="E603" s="117"/>
      <c r="F603" s="117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</row>
    <row r="604">
      <c r="A604" s="117"/>
      <c r="B604" s="117"/>
      <c r="C604" s="117"/>
      <c r="D604" s="117"/>
      <c r="E604" s="117"/>
      <c r="F604" s="117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</row>
    <row r="605">
      <c r="A605" s="117"/>
      <c r="B605" s="117"/>
      <c r="C605" s="117"/>
      <c r="D605" s="117"/>
      <c r="E605" s="117"/>
      <c r="F605" s="117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</row>
    <row r="606">
      <c r="A606" s="117"/>
      <c r="B606" s="117"/>
      <c r="C606" s="117"/>
      <c r="D606" s="117"/>
      <c r="E606" s="117"/>
      <c r="F606" s="117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</row>
    <row r="607">
      <c r="A607" s="117"/>
      <c r="B607" s="117"/>
      <c r="C607" s="117"/>
      <c r="D607" s="117"/>
      <c r="E607" s="117"/>
      <c r="F607" s="117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</row>
    <row r="608">
      <c r="A608" s="117"/>
      <c r="B608" s="117"/>
      <c r="C608" s="117"/>
      <c r="D608" s="117"/>
      <c r="E608" s="117"/>
      <c r="F608" s="117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</row>
    <row r="609">
      <c r="A609" s="117"/>
      <c r="B609" s="117"/>
      <c r="C609" s="117"/>
      <c r="D609" s="117"/>
      <c r="E609" s="117"/>
      <c r="F609" s="117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</row>
    <row r="610">
      <c r="A610" s="117"/>
      <c r="B610" s="117"/>
      <c r="C610" s="117"/>
      <c r="D610" s="117"/>
      <c r="E610" s="117"/>
      <c r="F610" s="117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</row>
    <row r="611">
      <c r="A611" s="117"/>
      <c r="B611" s="117"/>
      <c r="C611" s="117"/>
      <c r="D611" s="117"/>
      <c r="E611" s="117"/>
      <c r="F611" s="117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</row>
    <row r="612">
      <c r="A612" s="117"/>
      <c r="B612" s="117"/>
      <c r="C612" s="117"/>
      <c r="D612" s="117"/>
      <c r="E612" s="117"/>
      <c r="F612" s="117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</row>
    <row r="613">
      <c r="A613" s="117"/>
      <c r="B613" s="117"/>
      <c r="C613" s="117"/>
      <c r="D613" s="117"/>
      <c r="E613" s="117"/>
      <c r="F613" s="117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</row>
    <row r="614">
      <c r="A614" s="117"/>
      <c r="B614" s="117"/>
      <c r="C614" s="117"/>
      <c r="D614" s="117"/>
      <c r="E614" s="117"/>
      <c r="F614" s="117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</row>
    <row r="615">
      <c r="A615" s="117"/>
      <c r="B615" s="117"/>
      <c r="C615" s="117"/>
      <c r="D615" s="117"/>
      <c r="E615" s="117"/>
      <c r="F615" s="117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</row>
    <row r="616">
      <c r="A616" s="117"/>
      <c r="B616" s="117"/>
      <c r="C616" s="117"/>
      <c r="D616" s="117"/>
      <c r="E616" s="117"/>
      <c r="F616" s="117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</row>
    <row r="617">
      <c r="A617" s="117"/>
      <c r="B617" s="117"/>
      <c r="C617" s="117"/>
      <c r="D617" s="117"/>
      <c r="E617" s="117"/>
      <c r="F617" s="117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</row>
    <row r="618">
      <c r="A618" s="117"/>
      <c r="B618" s="117"/>
      <c r="C618" s="117"/>
      <c r="D618" s="117"/>
      <c r="E618" s="117"/>
      <c r="F618" s="117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</row>
    <row r="619">
      <c r="A619" s="117"/>
      <c r="B619" s="117"/>
      <c r="C619" s="117"/>
      <c r="D619" s="117"/>
      <c r="E619" s="117"/>
      <c r="F619" s="117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</row>
    <row r="620">
      <c r="A620" s="117"/>
      <c r="B620" s="117"/>
      <c r="C620" s="117"/>
      <c r="D620" s="117"/>
      <c r="E620" s="117"/>
      <c r="F620" s="117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</row>
    <row r="621">
      <c r="A621" s="117"/>
      <c r="B621" s="117"/>
      <c r="C621" s="117"/>
      <c r="D621" s="117"/>
      <c r="E621" s="117"/>
      <c r="F621" s="117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</row>
    <row r="622">
      <c r="A622" s="117"/>
      <c r="B622" s="117"/>
      <c r="C622" s="117"/>
      <c r="D622" s="117"/>
      <c r="E622" s="117"/>
      <c r="F622" s="117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</row>
    <row r="623">
      <c r="A623" s="117"/>
      <c r="B623" s="117"/>
      <c r="C623" s="117"/>
      <c r="D623" s="117"/>
      <c r="E623" s="117"/>
      <c r="F623" s="117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</row>
    <row r="624">
      <c r="A624" s="117"/>
      <c r="B624" s="117"/>
      <c r="C624" s="117"/>
      <c r="D624" s="117"/>
      <c r="E624" s="117"/>
      <c r="F624" s="117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</row>
    <row r="625">
      <c r="A625" s="117"/>
      <c r="B625" s="117"/>
      <c r="C625" s="117"/>
      <c r="D625" s="117"/>
      <c r="E625" s="117"/>
      <c r="F625" s="117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</row>
    <row r="626">
      <c r="A626" s="117"/>
      <c r="B626" s="117"/>
      <c r="C626" s="117"/>
      <c r="D626" s="117"/>
      <c r="E626" s="117"/>
      <c r="F626" s="117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</row>
    <row r="627">
      <c r="A627" s="117"/>
      <c r="B627" s="117"/>
      <c r="C627" s="117"/>
      <c r="D627" s="117"/>
      <c r="E627" s="117"/>
      <c r="F627" s="117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</row>
    <row r="628">
      <c r="A628" s="117"/>
      <c r="B628" s="117"/>
      <c r="C628" s="117"/>
      <c r="D628" s="117"/>
      <c r="E628" s="117"/>
      <c r="F628" s="117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</row>
    <row r="629">
      <c r="A629" s="117"/>
      <c r="B629" s="117"/>
      <c r="C629" s="117"/>
      <c r="D629" s="117"/>
      <c r="E629" s="117"/>
      <c r="F629" s="117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</row>
    <row r="630">
      <c r="A630" s="117"/>
      <c r="B630" s="117"/>
      <c r="C630" s="117"/>
      <c r="D630" s="117"/>
      <c r="E630" s="117"/>
      <c r="F630" s="117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</row>
    <row r="631">
      <c r="A631" s="117"/>
      <c r="B631" s="117"/>
      <c r="C631" s="117"/>
      <c r="D631" s="117"/>
      <c r="E631" s="117"/>
      <c r="F631" s="117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</row>
    <row r="632">
      <c r="A632" s="117"/>
      <c r="B632" s="117"/>
      <c r="C632" s="117"/>
      <c r="D632" s="117"/>
      <c r="E632" s="117"/>
      <c r="F632" s="117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</row>
    <row r="633">
      <c r="A633" s="117"/>
      <c r="B633" s="117"/>
      <c r="C633" s="117"/>
      <c r="D633" s="117"/>
      <c r="E633" s="117"/>
      <c r="F633" s="117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</row>
    <row r="634">
      <c r="A634" s="117"/>
      <c r="B634" s="117"/>
      <c r="C634" s="117"/>
      <c r="D634" s="117"/>
      <c r="E634" s="117"/>
      <c r="F634" s="117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</row>
    <row r="635">
      <c r="A635" s="117"/>
      <c r="B635" s="117"/>
      <c r="C635" s="117"/>
      <c r="D635" s="117"/>
      <c r="E635" s="117"/>
      <c r="F635" s="117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</row>
    <row r="636">
      <c r="A636" s="117"/>
      <c r="B636" s="117"/>
      <c r="C636" s="117"/>
      <c r="D636" s="117"/>
      <c r="E636" s="117"/>
      <c r="F636" s="117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</row>
    <row r="637">
      <c r="A637" s="117"/>
      <c r="B637" s="117"/>
      <c r="C637" s="117"/>
      <c r="D637" s="117"/>
      <c r="E637" s="117"/>
      <c r="F637" s="117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</row>
    <row r="638">
      <c r="A638" s="117"/>
      <c r="B638" s="117"/>
      <c r="C638" s="117"/>
      <c r="D638" s="117"/>
      <c r="E638" s="117"/>
      <c r="F638" s="117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</row>
    <row r="639">
      <c r="A639" s="117"/>
      <c r="B639" s="117"/>
      <c r="C639" s="117"/>
      <c r="D639" s="117"/>
      <c r="E639" s="117"/>
      <c r="F639" s="117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</row>
    <row r="640">
      <c r="A640" s="117"/>
      <c r="B640" s="117"/>
      <c r="C640" s="117"/>
      <c r="D640" s="117"/>
      <c r="E640" s="117"/>
      <c r="F640" s="117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</row>
    <row r="641">
      <c r="A641" s="117"/>
      <c r="B641" s="117"/>
      <c r="C641" s="117"/>
      <c r="D641" s="117"/>
      <c r="E641" s="117"/>
      <c r="F641" s="117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</row>
    <row r="642">
      <c r="A642" s="117"/>
      <c r="B642" s="117"/>
      <c r="C642" s="117"/>
      <c r="D642" s="117"/>
      <c r="E642" s="117"/>
      <c r="F642" s="117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</row>
    <row r="643">
      <c r="A643" s="117"/>
      <c r="B643" s="117"/>
      <c r="C643" s="117"/>
      <c r="D643" s="117"/>
      <c r="E643" s="117"/>
      <c r="F643" s="117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</row>
    <row r="644">
      <c r="A644" s="117"/>
      <c r="B644" s="117"/>
      <c r="C644" s="117"/>
      <c r="D644" s="117"/>
      <c r="E644" s="117"/>
      <c r="F644" s="117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</row>
    <row r="645">
      <c r="A645" s="117"/>
      <c r="B645" s="117"/>
      <c r="C645" s="117"/>
      <c r="D645" s="117"/>
      <c r="E645" s="117"/>
      <c r="F645" s="117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</row>
    <row r="646">
      <c r="A646" s="117"/>
      <c r="B646" s="117"/>
      <c r="C646" s="117"/>
      <c r="D646" s="117"/>
      <c r="E646" s="117"/>
      <c r="F646" s="117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</row>
    <row r="647">
      <c r="A647" s="117"/>
      <c r="B647" s="117"/>
      <c r="C647" s="117"/>
      <c r="D647" s="117"/>
      <c r="E647" s="117"/>
      <c r="F647" s="117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</row>
    <row r="648">
      <c r="A648" s="117"/>
      <c r="B648" s="117"/>
      <c r="C648" s="117"/>
      <c r="D648" s="117"/>
      <c r="E648" s="117"/>
      <c r="F648" s="117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</row>
    <row r="649">
      <c r="A649" s="117"/>
      <c r="B649" s="117"/>
      <c r="C649" s="117"/>
      <c r="D649" s="117"/>
      <c r="E649" s="117"/>
      <c r="F649" s="117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</row>
    <row r="650">
      <c r="A650" s="117"/>
      <c r="B650" s="117"/>
      <c r="C650" s="117"/>
      <c r="D650" s="117"/>
      <c r="E650" s="117"/>
      <c r="F650" s="117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</row>
    <row r="651">
      <c r="A651" s="117"/>
      <c r="B651" s="117"/>
      <c r="C651" s="117"/>
      <c r="D651" s="117"/>
      <c r="E651" s="117"/>
      <c r="F651" s="117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</row>
    <row r="652">
      <c r="A652" s="117"/>
      <c r="B652" s="117"/>
      <c r="C652" s="117"/>
      <c r="D652" s="117"/>
      <c r="E652" s="117"/>
      <c r="F652" s="117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</row>
    <row r="653">
      <c r="A653" s="117"/>
      <c r="B653" s="117"/>
      <c r="C653" s="117"/>
      <c r="D653" s="117"/>
      <c r="E653" s="117"/>
      <c r="F653" s="117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</row>
    <row r="654">
      <c r="A654" s="117"/>
      <c r="B654" s="117"/>
      <c r="C654" s="117"/>
      <c r="D654" s="117"/>
      <c r="E654" s="117"/>
      <c r="F654" s="117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</row>
    <row r="655">
      <c r="A655" s="117"/>
      <c r="B655" s="117"/>
      <c r="C655" s="117"/>
      <c r="D655" s="117"/>
      <c r="E655" s="117"/>
      <c r="F655" s="117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</row>
    <row r="656">
      <c r="A656" s="117"/>
      <c r="B656" s="117"/>
      <c r="C656" s="117"/>
      <c r="D656" s="117"/>
      <c r="E656" s="117"/>
      <c r="F656" s="117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</row>
    <row r="657">
      <c r="A657" s="117"/>
      <c r="B657" s="117"/>
      <c r="C657" s="117"/>
      <c r="D657" s="117"/>
      <c r="E657" s="117"/>
      <c r="F657" s="117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</row>
    <row r="658">
      <c r="A658" s="117"/>
      <c r="B658" s="117"/>
      <c r="C658" s="117"/>
      <c r="D658" s="117"/>
      <c r="E658" s="117"/>
      <c r="F658" s="117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</row>
    <row r="659">
      <c r="A659" s="117"/>
      <c r="B659" s="117"/>
      <c r="C659" s="117"/>
      <c r="D659" s="117"/>
      <c r="E659" s="117"/>
      <c r="F659" s="117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</row>
    <row r="660">
      <c r="A660" s="117"/>
      <c r="B660" s="117"/>
      <c r="C660" s="117"/>
      <c r="D660" s="117"/>
      <c r="E660" s="117"/>
      <c r="F660" s="117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</row>
    <row r="661">
      <c r="A661" s="117"/>
      <c r="B661" s="117"/>
      <c r="C661" s="117"/>
      <c r="D661" s="117"/>
      <c r="E661" s="117"/>
      <c r="F661" s="117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17"/>
      <c r="Y661" s="117"/>
      <c r="Z661" s="117"/>
    </row>
    <row r="662">
      <c r="A662" s="117"/>
      <c r="B662" s="117"/>
      <c r="C662" s="117"/>
      <c r="D662" s="117"/>
      <c r="E662" s="117"/>
      <c r="F662" s="117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</row>
    <row r="663">
      <c r="A663" s="117"/>
      <c r="B663" s="117"/>
      <c r="C663" s="117"/>
      <c r="D663" s="117"/>
      <c r="E663" s="117"/>
      <c r="F663" s="117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</row>
    <row r="664">
      <c r="A664" s="117"/>
      <c r="B664" s="117"/>
      <c r="C664" s="117"/>
      <c r="D664" s="117"/>
      <c r="E664" s="117"/>
      <c r="F664" s="117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</row>
    <row r="665">
      <c r="A665" s="117"/>
      <c r="B665" s="117"/>
      <c r="C665" s="117"/>
      <c r="D665" s="117"/>
      <c r="E665" s="117"/>
      <c r="F665" s="117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</row>
    <row r="666">
      <c r="A666" s="117"/>
      <c r="B666" s="117"/>
      <c r="C666" s="117"/>
      <c r="D666" s="117"/>
      <c r="E666" s="117"/>
      <c r="F666" s="117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</row>
    <row r="667">
      <c r="A667" s="117"/>
      <c r="B667" s="117"/>
      <c r="C667" s="117"/>
      <c r="D667" s="117"/>
      <c r="E667" s="117"/>
      <c r="F667" s="117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</row>
    <row r="668">
      <c r="A668" s="117"/>
      <c r="B668" s="117"/>
      <c r="C668" s="117"/>
      <c r="D668" s="117"/>
      <c r="E668" s="117"/>
      <c r="F668" s="117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</row>
    <row r="669">
      <c r="A669" s="117"/>
      <c r="B669" s="117"/>
      <c r="C669" s="117"/>
      <c r="D669" s="117"/>
      <c r="E669" s="117"/>
      <c r="F669" s="117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</row>
    <row r="670">
      <c r="A670" s="117"/>
      <c r="B670" s="117"/>
      <c r="C670" s="117"/>
      <c r="D670" s="117"/>
      <c r="E670" s="117"/>
      <c r="F670" s="117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</row>
    <row r="671">
      <c r="A671" s="117"/>
      <c r="B671" s="117"/>
      <c r="C671" s="117"/>
      <c r="D671" s="117"/>
      <c r="E671" s="117"/>
      <c r="F671" s="117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</row>
    <row r="672">
      <c r="A672" s="117"/>
      <c r="B672" s="117"/>
      <c r="C672" s="117"/>
      <c r="D672" s="117"/>
      <c r="E672" s="117"/>
      <c r="F672" s="117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</row>
    <row r="673">
      <c r="A673" s="117"/>
      <c r="B673" s="117"/>
      <c r="C673" s="117"/>
      <c r="D673" s="117"/>
      <c r="E673" s="117"/>
      <c r="F673" s="117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17"/>
      <c r="Y673" s="117"/>
      <c r="Z673" s="117"/>
    </row>
    <row r="674">
      <c r="A674" s="117"/>
      <c r="B674" s="117"/>
      <c r="C674" s="117"/>
      <c r="D674" s="117"/>
      <c r="E674" s="117"/>
      <c r="F674" s="117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</row>
    <row r="675">
      <c r="A675" s="117"/>
      <c r="B675" s="117"/>
      <c r="C675" s="117"/>
      <c r="D675" s="117"/>
      <c r="E675" s="117"/>
      <c r="F675" s="117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</row>
    <row r="676">
      <c r="A676" s="117"/>
      <c r="B676" s="117"/>
      <c r="C676" s="117"/>
      <c r="D676" s="117"/>
      <c r="E676" s="117"/>
      <c r="F676" s="117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</row>
    <row r="677">
      <c r="A677" s="117"/>
      <c r="B677" s="117"/>
      <c r="C677" s="117"/>
      <c r="D677" s="117"/>
      <c r="E677" s="117"/>
      <c r="F677" s="117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</row>
    <row r="678">
      <c r="A678" s="117"/>
      <c r="B678" s="117"/>
      <c r="C678" s="117"/>
      <c r="D678" s="117"/>
      <c r="E678" s="117"/>
      <c r="F678" s="117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</row>
    <row r="679">
      <c r="A679" s="117"/>
      <c r="B679" s="117"/>
      <c r="C679" s="117"/>
      <c r="D679" s="117"/>
      <c r="E679" s="117"/>
      <c r="F679" s="117"/>
      <c r="G679" s="117"/>
      <c r="H679" s="117"/>
      <c r="I679" s="11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</row>
    <row r="680">
      <c r="A680" s="117"/>
      <c r="B680" s="117"/>
      <c r="C680" s="117"/>
      <c r="D680" s="117"/>
      <c r="E680" s="117"/>
      <c r="F680" s="117"/>
      <c r="G680" s="117"/>
      <c r="H680" s="117"/>
      <c r="I680" s="117"/>
      <c r="J680" s="117"/>
      <c r="K680" s="117"/>
      <c r="L680" s="117"/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</row>
    <row r="681">
      <c r="A681" s="117"/>
      <c r="B681" s="117"/>
      <c r="C681" s="117"/>
      <c r="D681" s="117"/>
      <c r="E681" s="117"/>
      <c r="F681" s="117"/>
      <c r="G681" s="117"/>
      <c r="H681" s="117"/>
      <c r="I681" s="117"/>
      <c r="J681" s="117"/>
      <c r="K681" s="117"/>
      <c r="L681" s="117"/>
      <c r="M681" s="117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</row>
    <row r="682">
      <c r="A682" s="117"/>
      <c r="B682" s="117"/>
      <c r="C682" s="117"/>
      <c r="D682" s="117"/>
      <c r="E682" s="117"/>
      <c r="F682" s="117"/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</row>
    <row r="683">
      <c r="A683" s="117"/>
      <c r="B683" s="117"/>
      <c r="C683" s="117"/>
      <c r="D683" s="117"/>
      <c r="E683" s="117"/>
      <c r="F683" s="117"/>
      <c r="G683" s="117"/>
      <c r="H683" s="117"/>
      <c r="I683" s="117"/>
      <c r="J683" s="117"/>
      <c r="K683" s="117"/>
      <c r="L683" s="117"/>
      <c r="M683" s="117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</row>
    <row r="684">
      <c r="A684" s="117"/>
      <c r="B684" s="117"/>
      <c r="C684" s="117"/>
      <c r="D684" s="117"/>
      <c r="E684" s="117"/>
      <c r="F684" s="117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</row>
    <row r="685">
      <c r="A685" s="117"/>
      <c r="B685" s="117"/>
      <c r="C685" s="117"/>
      <c r="D685" s="117"/>
      <c r="E685" s="117"/>
      <c r="F685" s="117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17"/>
      <c r="Y685" s="117"/>
      <c r="Z685" s="117"/>
    </row>
    <row r="686">
      <c r="A686" s="117"/>
      <c r="B686" s="117"/>
      <c r="C686" s="117"/>
      <c r="D686" s="117"/>
      <c r="E686" s="117"/>
      <c r="F686" s="117"/>
      <c r="G686" s="117"/>
      <c r="H686" s="117"/>
      <c r="I686" s="117"/>
      <c r="J686" s="117"/>
      <c r="K686" s="117"/>
      <c r="L686" s="117"/>
      <c r="M686" s="117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</row>
    <row r="687">
      <c r="A687" s="117"/>
      <c r="B687" s="117"/>
      <c r="C687" s="117"/>
      <c r="D687" s="117"/>
      <c r="E687" s="117"/>
      <c r="F687" s="117"/>
      <c r="G687" s="117"/>
      <c r="H687" s="117"/>
      <c r="I687" s="117"/>
      <c r="J687" s="117"/>
      <c r="K687" s="117"/>
      <c r="L687" s="117"/>
      <c r="M687" s="117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</row>
    <row r="688">
      <c r="A688" s="117"/>
      <c r="B688" s="117"/>
      <c r="C688" s="117"/>
      <c r="D688" s="117"/>
      <c r="E688" s="117"/>
      <c r="F688" s="117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</row>
    <row r="689">
      <c r="A689" s="117"/>
      <c r="B689" s="117"/>
      <c r="C689" s="117"/>
      <c r="D689" s="117"/>
      <c r="E689" s="117"/>
      <c r="F689" s="117"/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</row>
    <row r="690">
      <c r="A690" s="117"/>
      <c r="B690" s="117"/>
      <c r="C690" s="117"/>
      <c r="D690" s="117"/>
      <c r="E690" s="117"/>
      <c r="F690" s="117"/>
      <c r="G690" s="117"/>
      <c r="H690" s="117"/>
      <c r="I690" s="11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</row>
    <row r="691">
      <c r="A691" s="117"/>
      <c r="B691" s="117"/>
      <c r="C691" s="117"/>
      <c r="D691" s="117"/>
      <c r="E691" s="117"/>
      <c r="F691" s="117"/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</row>
    <row r="692">
      <c r="A692" s="117"/>
      <c r="B692" s="117"/>
      <c r="C692" s="117"/>
      <c r="D692" s="117"/>
      <c r="E692" s="117"/>
      <c r="F692" s="117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</row>
    <row r="693">
      <c r="A693" s="117"/>
      <c r="B693" s="117"/>
      <c r="C693" s="117"/>
      <c r="D693" s="117"/>
      <c r="E693" s="117"/>
      <c r="F693" s="117"/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</row>
    <row r="694">
      <c r="A694" s="117"/>
      <c r="B694" s="117"/>
      <c r="C694" s="117"/>
      <c r="D694" s="117"/>
      <c r="E694" s="117"/>
      <c r="F694" s="117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</row>
    <row r="695">
      <c r="A695" s="117"/>
      <c r="B695" s="117"/>
      <c r="C695" s="117"/>
      <c r="D695" s="117"/>
      <c r="E695" s="117"/>
      <c r="F695" s="117"/>
      <c r="G695" s="117"/>
      <c r="H695" s="117"/>
      <c r="I695" s="117"/>
      <c r="J695" s="117"/>
      <c r="K695" s="117"/>
      <c r="L695" s="117"/>
      <c r="M695" s="117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</row>
    <row r="696">
      <c r="A696" s="117"/>
      <c r="B696" s="117"/>
      <c r="C696" s="117"/>
      <c r="D696" s="117"/>
      <c r="E696" s="117"/>
      <c r="F696" s="117"/>
      <c r="G696" s="117"/>
      <c r="H696" s="117"/>
      <c r="I696" s="11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</row>
    <row r="697">
      <c r="A697" s="117"/>
      <c r="B697" s="117"/>
      <c r="C697" s="117"/>
      <c r="D697" s="117"/>
      <c r="E697" s="117"/>
      <c r="F697" s="117"/>
      <c r="G697" s="117"/>
      <c r="H697" s="117"/>
      <c r="I697" s="117"/>
      <c r="J697" s="117"/>
      <c r="K697" s="117"/>
      <c r="L697" s="117"/>
      <c r="M697" s="117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</row>
    <row r="698">
      <c r="A698" s="117"/>
      <c r="B698" s="117"/>
      <c r="C698" s="117"/>
      <c r="D698" s="117"/>
      <c r="E698" s="117"/>
      <c r="F698" s="117"/>
      <c r="G698" s="117"/>
      <c r="H698" s="117"/>
      <c r="I698" s="117"/>
      <c r="J698" s="117"/>
      <c r="K698" s="117"/>
      <c r="L698" s="117"/>
      <c r="M698" s="117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</row>
    <row r="699">
      <c r="A699" s="117"/>
      <c r="B699" s="117"/>
      <c r="C699" s="117"/>
      <c r="D699" s="117"/>
      <c r="E699" s="117"/>
      <c r="F699" s="117"/>
      <c r="G699" s="117"/>
      <c r="H699" s="117"/>
      <c r="I699" s="11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</row>
    <row r="700">
      <c r="A700" s="117"/>
      <c r="B700" s="117"/>
      <c r="C700" s="117"/>
      <c r="D700" s="117"/>
      <c r="E700" s="117"/>
      <c r="F700" s="117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</row>
    <row r="701">
      <c r="A701" s="117"/>
      <c r="B701" s="117"/>
      <c r="C701" s="117"/>
      <c r="D701" s="117"/>
      <c r="E701" s="117"/>
      <c r="F701" s="117"/>
      <c r="G701" s="117"/>
      <c r="H701" s="117"/>
      <c r="I701" s="117"/>
      <c r="J701" s="117"/>
      <c r="K701" s="117"/>
      <c r="L701" s="117"/>
      <c r="M701" s="117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</row>
    <row r="702">
      <c r="A702" s="117"/>
      <c r="B702" s="117"/>
      <c r="C702" s="117"/>
      <c r="D702" s="117"/>
      <c r="E702" s="117"/>
      <c r="F702" s="117"/>
      <c r="G702" s="117"/>
      <c r="H702" s="117"/>
      <c r="I702" s="117"/>
      <c r="J702" s="117"/>
      <c r="K702" s="117"/>
      <c r="L702" s="117"/>
      <c r="M702" s="117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</row>
    <row r="703">
      <c r="A703" s="117"/>
      <c r="B703" s="117"/>
      <c r="C703" s="117"/>
      <c r="D703" s="117"/>
      <c r="E703" s="117"/>
      <c r="F703" s="117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</row>
    <row r="704">
      <c r="A704" s="117"/>
      <c r="B704" s="117"/>
      <c r="C704" s="117"/>
      <c r="D704" s="117"/>
      <c r="E704" s="117"/>
      <c r="F704" s="117"/>
      <c r="G704" s="117"/>
      <c r="H704" s="117"/>
      <c r="I704" s="11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</row>
    <row r="705">
      <c r="A705" s="117"/>
      <c r="B705" s="117"/>
      <c r="C705" s="117"/>
      <c r="D705" s="117"/>
      <c r="E705" s="117"/>
      <c r="F705" s="117"/>
      <c r="G705" s="117"/>
      <c r="H705" s="117"/>
      <c r="I705" s="117"/>
      <c r="J705" s="117"/>
      <c r="K705" s="117"/>
      <c r="L705" s="117"/>
      <c r="M705" s="117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</row>
    <row r="706">
      <c r="A706" s="117"/>
      <c r="B706" s="117"/>
      <c r="C706" s="117"/>
      <c r="D706" s="117"/>
      <c r="E706" s="117"/>
      <c r="F706" s="117"/>
      <c r="G706" s="117"/>
      <c r="H706" s="117"/>
      <c r="I706" s="117"/>
      <c r="J706" s="117"/>
      <c r="K706" s="117"/>
      <c r="L706" s="117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</row>
    <row r="707">
      <c r="A707" s="117"/>
      <c r="B707" s="117"/>
      <c r="C707" s="117"/>
      <c r="D707" s="117"/>
      <c r="E707" s="117"/>
      <c r="F707" s="117"/>
      <c r="G707" s="117"/>
      <c r="H707" s="117"/>
      <c r="I707" s="117"/>
      <c r="J707" s="117"/>
      <c r="K707" s="117"/>
      <c r="L707" s="117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</row>
    <row r="708">
      <c r="A708" s="117"/>
      <c r="B708" s="117"/>
      <c r="C708" s="117"/>
      <c r="D708" s="117"/>
      <c r="E708" s="117"/>
      <c r="F708" s="117"/>
      <c r="G708" s="117"/>
      <c r="H708" s="117"/>
      <c r="I708" s="117"/>
      <c r="J708" s="117"/>
      <c r="K708" s="117"/>
      <c r="L708" s="117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</row>
    <row r="709">
      <c r="A709" s="117"/>
      <c r="B709" s="117"/>
      <c r="C709" s="117"/>
      <c r="D709" s="117"/>
      <c r="E709" s="117"/>
      <c r="F709" s="117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</row>
    <row r="710">
      <c r="A710" s="117"/>
      <c r="B710" s="117"/>
      <c r="C710" s="117"/>
      <c r="D710" s="117"/>
      <c r="E710" s="117"/>
      <c r="F710" s="117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</row>
    <row r="711">
      <c r="A711" s="117"/>
      <c r="B711" s="117"/>
      <c r="C711" s="117"/>
      <c r="D711" s="117"/>
      <c r="E711" s="117"/>
      <c r="F711" s="117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</row>
    <row r="712">
      <c r="A712" s="117"/>
      <c r="B712" s="117"/>
      <c r="C712" s="117"/>
      <c r="D712" s="117"/>
      <c r="E712" s="117"/>
      <c r="F712" s="117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</row>
    <row r="713">
      <c r="A713" s="117"/>
      <c r="B713" s="117"/>
      <c r="C713" s="117"/>
      <c r="D713" s="117"/>
      <c r="E713" s="117"/>
      <c r="F713" s="117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</row>
    <row r="714">
      <c r="A714" s="117"/>
      <c r="B714" s="117"/>
      <c r="C714" s="117"/>
      <c r="D714" s="117"/>
      <c r="E714" s="117"/>
      <c r="F714" s="117"/>
      <c r="G714" s="117"/>
      <c r="H714" s="117"/>
      <c r="I714" s="117"/>
      <c r="J714" s="117"/>
      <c r="K714" s="117"/>
      <c r="L714" s="117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</row>
    <row r="715">
      <c r="A715" s="117"/>
      <c r="B715" s="117"/>
      <c r="C715" s="117"/>
      <c r="D715" s="117"/>
      <c r="E715" s="117"/>
      <c r="F715" s="117"/>
      <c r="G715" s="117"/>
      <c r="H715" s="117"/>
      <c r="I715" s="117"/>
      <c r="J715" s="117"/>
      <c r="K715" s="117"/>
      <c r="L715" s="117"/>
      <c r="M715" s="117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</row>
    <row r="716">
      <c r="A716" s="117"/>
      <c r="B716" s="117"/>
      <c r="C716" s="117"/>
      <c r="D716" s="117"/>
      <c r="E716" s="117"/>
      <c r="F716" s="117"/>
      <c r="G716" s="117"/>
      <c r="H716" s="117"/>
      <c r="I716" s="117"/>
      <c r="J716" s="117"/>
      <c r="K716" s="117"/>
      <c r="L716" s="117"/>
      <c r="M716" s="117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</row>
    <row r="717">
      <c r="A717" s="117"/>
      <c r="B717" s="117"/>
      <c r="C717" s="117"/>
      <c r="D717" s="117"/>
      <c r="E717" s="117"/>
      <c r="F717" s="117"/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</row>
    <row r="718">
      <c r="A718" s="117"/>
      <c r="B718" s="117"/>
      <c r="C718" s="117"/>
      <c r="D718" s="117"/>
      <c r="E718" s="117"/>
      <c r="F718" s="117"/>
      <c r="G718" s="117"/>
      <c r="H718" s="117"/>
      <c r="I718" s="117"/>
      <c r="J718" s="117"/>
      <c r="K718" s="117"/>
      <c r="L718" s="117"/>
      <c r="M718" s="117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</row>
    <row r="719">
      <c r="A719" s="117"/>
      <c r="B719" s="117"/>
      <c r="C719" s="117"/>
      <c r="D719" s="117"/>
      <c r="E719" s="117"/>
      <c r="F719" s="117"/>
      <c r="G719" s="117"/>
      <c r="H719" s="117"/>
      <c r="I719" s="117"/>
      <c r="J719" s="117"/>
      <c r="K719" s="117"/>
      <c r="L719" s="117"/>
      <c r="M719" s="117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</row>
    <row r="720">
      <c r="A720" s="117"/>
      <c r="B720" s="117"/>
      <c r="C720" s="117"/>
      <c r="D720" s="117"/>
      <c r="E720" s="117"/>
      <c r="F720" s="117"/>
      <c r="G720" s="117"/>
      <c r="H720" s="117"/>
      <c r="I720" s="117"/>
      <c r="J720" s="117"/>
      <c r="K720" s="117"/>
      <c r="L720" s="117"/>
      <c r="M720" s="117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</row>
    <row r="721">
      <c r="A721" s="117"/>
      <c r="B721" s="117"/>
      <c r="C721" s="117"/>
      <c r="D721" s="117"/>
      <c r="E721" s="117"/>
      <c r="F721" s="117"/>
      <c r="G721" s="117"/>
      <c r="H721" s="117"/>
      <c r="I721" s="117"/>
      <c r="J721" s="117"/>
      <c r="K721" s="117"/>
      <c r="L721" s="117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</row>
    <row r="722">
      <c r="A722" s="117"/>
      <c r="B722" s="117"/>
      <c r="C722" s="117"/>
      <c r="D722" s="117"/>
      <c r="E722" s="117"/>
      <c r="F722" s="117"/>
      <c r="G722" s="117"/>
      <c r="H722" s="117"/>
      <c r="I722" s="117"/>
      <c r="J722" s="117"/>
      <c r="K722" s="117"/>
      <c r="L722" s="117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</row>
    <row r="723">
      <c r="A723" s="117"/>
      <c r="B723" s="117"/>
      <c r="C723" s="117"/>
      <c r="D723" s="117"/>
      <c r="E723" s="117"/>
      <c r="F723" s="117"/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</row>
    <row r="724">
      <c r="A724" s="117"/>
      <c r="B724" s="117"/>
      <c r="C724" s="117"/>
      <c r="D724" s="117"/>
      <c r="E724" s="117"/>
      <c r="F724" s="117"/>
      <c r="G724" s="117"/>
      <c r="H724" s="117"/>
      <c r="I724" s="117"/>
      <c r="J724" s="117"/>
      <c r="K724" s="117"/>
      <c r="L724" s="117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</row>
    <row r="725">
      <c r="A725" s="117"/>
      <c r="B725" s="117"/>
      <c r="C725" s="117"/>
      <c r="D725" s="117"/>
      <c r="E725" s="117"/>
      <c r="F725" s="117"/>
      <c r="G725" s="117"/>
      <c r="H725" s="117"/>
      <c r="I725" s="117"/>
      <c r="J725" s="117"/>
      <c r="K725" s="117"/>
      <c r="L725" s="117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</row>
    <row r="726">
      <c r="A726" s="117"/>
      <c r="B726" s="117"/>
      <c r="C726" s="117"/>
      <c r="D726" s="117"/>
      <c r="E726" s="117"/>
      <c r="F726" s="117"/>
      <c r="G726" s="117"/>
      <c r="H726" s="117"/>
      <c r="I726" s="117"/>
      <c r="J726" s="117"/>
      <c r="K726" s="117"/>
      <c r="L726" s="117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</row>
    <row r="727">
      <c r="A727" s="117"/>
      <c r="B727" s="117"/>
      <c r="C727" s="117"/>
      <c r="D727" s="117"/>
      <c r="E727" s="117"/>
      <c r="F727" s="117"/>
      <c r="G727" s="117"/>
      <c r="H727" s="117"/>
      <c r="I727" s="117"/>
      <c r="J727" s="117"/>
      <c r="K727" s="117"/>
      <c r="L727" s="117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</row>
    <row r="728">
      <c r="A728" s="117"/>
      <c r="B728" s="117"/>
      <c r="C728" s="117"/>
      <c r="D728" s="117"/>
      <c r="E728" s="117"/>
      <c r="F728" s="117"/>
      <c r="G728" s="117"/>
      <c r="H728" s="117"/>
      <c r="I728" s="117"/>
      <c r="J728" s="117"/>
      <c r="K728" s="117"/>
      <c r="L728" s="117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</row>
    <row r="729">
      <c r="A729" s="117"/>
      <c r="B729" s="117"/>
      <c r="C729" s="117"/>
      <c r="D729" s="117"/>
      <c r="E729" s="117"/>
      <c r="F729" s="117"/>
      <c r="G729" s="117"/>
      <c r="H729" s="117"/>
      <c r="I729" s="117"/>
      <c r="J729" s="117"/>
      <c r="K729" s="117"/>
      <c r="L729" s="117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</row>
    <row r="730">
      <c r="A730" s="117"/>
      <c r="B730" s="117"/>
      <c r="C730" s="117"/>
      <c r="D730" s="117"/>
      <c r="E730" s="117"/>
      <c r="F730" s="117"/>
      <c r="G730" s="117"/>
      <c r="H730" s="117"/>
      <c r="I730" s="117"/>
      <c r="J730" s="117"/>
      <c r="K730" s="117"/>
      <c r="L730" s="117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</row>
    <row r="731">
      <c r="A731" s="117"/>
      <c r="B731" s="117"/>
      <c r="C731" s="117"/>
      <c r="D731" s="117"/>
      <c r="E731" s="117"/>
      <c r="F731" s="117"/>
      <c r="G731" s="117"/>
      <c r="H731" s="117"/>
      <c r="I731" s="117"/>
      <c r="J731" s="117"/>
      <c r="K731" s="117"/>
      <c r="L731" s="117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</row>
    <row r="732">
      <c r="A732" s="117"/>
      <c r="B732" s="117"/>
      <c r="C732" s="117"/>
      <c r="D732" s="117"/>
      <c r="E732" s="117"/>
      <c r="F732" s="117"/>
      <c r="G732" s="117"/>
      <c r="H732" s="117"/>
      <c r="I732" s="117"/>
      <c r="J732" s="117"/>
      <c r="K732" s="117"/>
      <c r="L732" s="117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</row>
    <row r="733">
      <c r="A733" s="117"/>
      <c r="B733" s="117"/>
      <c r="C733" s="117"/>
      <c r="D733" s="117"/>
      <c r="E733" s="117"/>
      <c r="F733" s="117"/>
      <c r="G733" s="117"/>
      <c r="H733" s="117"/>
      <c r="I733" s="117"/>
      <c r="J733" s="117"/>
      <c r="K733" s="117"/>
      <c r="L733" s="117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</row>
    <row r="734">
      <c r="A734" s="117"/>
      <c r="B734" s="117"/>
      <c r="C734" s="117"/>
      <c r="D734" s="117"/>
      <c r="E734" s="117"/>
      <c r="F734" s="117"/>
      <c r="G734" s="117"/>
      <c r="H734" s="117"/>
      <c r="I734" s="117"/>
      <c r="J734" s="117"/>
      <c r="K734" s="117"/>
      <c r="L734" s="117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</row>
    <row r="735">
      <c r="A735" s="117"/>
      <c r="B735" s="117"/>
      <c r="C735" s="117"/>
      <c r="D735" s="117"/>
      <c r="E735" s="117"/>
      <c r="F735" s="117"/>
      <c r="G735" s="117"/>
      <c r="H735" s="117"/>
      <c r="I735" s="117"/>
      <c r="J735" s="117"/>
      <c r="K735" s="117"/>
      <c r="L735" s="117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</row>
    <row r="736">
      <c r="A736" s="117"/>
      <c r="B736" s="117"/>
      <c r="C736" s="117"/>
      <c r="D736" s="117"/>
      <c r="E736" s="117"/>
      <c r="F736" s="117"/>
      <c r="G736" s="117"/>
      <c r="H736" s="117"/>
      <c r="I736" s="117"/>
      <c r="J736" s="117"/>
      <c r="K736" s="117"/>
      <c r="L736" s="117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</row>
    <row r="737">
      <c r="A737" s="117"/>
      <c r="B737" s="117"/>
      <c r="C737" s="117"/>
      <c r="D737" s="117"/>
      <c r="E737" s="117"/>
      <c r="F737" s="117"/>
      <c r="G737" s="117"/>
      <c r="H737" s="117"/>
      <c r="I737" s="117"/>
      <c r="J737" s="117"/>
      <c r="K737" s="117"/>
      <c r="L737" s="117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</row>
    <row r="738">
      <c r="A738" s="117"/>
      <c r="B738" s="117"/>
      <c r="C738" s="117"/>
      <c r="D738" s="117"/>
      <c r="E738" s="117"/>
      <c r="F738" s="117"/>
      <c r="G738" s="117"/>
      <c r="H738" s="117"/>
      <c r="I738" s="117"/>
      <c r="J738" s="117"/>
      <c r="K738" s="117"/>
      <c r="L738" s="117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</row>
    <row r="739">
      <c r="A739" s="117"/>
      <c r="B739" s="117"/>
      <c r="C739" s="117"/>
      <c r="D739" s="117"/>
      <c r="E739" s="117"/>
      <c r="F739" s="117"/>
      <c r="G739" s="117"/>
      <c r="H739" s="117"/>
      <c r="I739" s="117"/>
      <c r="J739" s="117"/>
      <c r="K739" s="117"/>
      <c r="L739" s="117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</row>
    <row r="740">
      <c r="A740" s="117"/>
      <c r="B740" s="117"/>
      <c r="C740" s="117"/>
      <c r="D740" s="117"/>
      <c r="E740" s="117"/>
      <c r="F740" s="117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</row>
    <row r="741">
      <c r="A741" s="117"/>
      <c r="B741" s="117"/>
      <c r="C741" s="117"/>
      <c r="D741" s="117"/>
      <c r="E741" s="117"/>
      <c r="F741" s="117"/>
      <c r="G741" s="117"/>
      <c r="H741" s="117"/>
      <c r="I741" s="117"/>
      <c r="J741" s="117"/>
      <c r="K741" s="117"/>
      <c r="L741" s="117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</row>
    <row r="742">
      <c r="A742" s="117"/>
      <c r="B742" s="117"/>
      <c r="C742" s="117"/>
      <c r="D742" s="117"/>
      <c r="E742" s="117"/>
      <c r="F742" s="117"/>
      <c r="G742" s="117"/>
      <c r="H742" s="117"/>
      <c r="I742" s="117"/>
      <c r="J742" s="117"/>
      <c r="K742" s="117"/>
      <c r="L742" s="117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</row>
    <row r="743">
      <c r="A743" s="117"/>
      <c r="B743" s="117"/>
      <c r="C743" s="117"/>
      <c r="D743" s="117"/>
      <c r="E743" s="117"/>
      <c r="F743" s="117"/>
      <c r="G743" s="117"/>
      <c r="H743" s="117"/>
      <c r="I743" s="117"/>
      <c r="J743" s="117"/>
      <c r="K743" s="117"/>
      <c r="L743" s="117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</row>
    <row r="744">
      <c r="A744" s="117"/>
      <c r="B744" s="117"/>
      <c r="C744" s="117"/>
      <c r="D744" s="117"/>
      <c r="E744" s="117"/>
      <c r="F744" s="117"/>
      <c r="G744" s="117"/>
      <c r="H744" s="117"/>
      <c r="I744" s="117"/>
      <c r="J744" s="117"/>
      <c r="K744" s="117"/>
      <c r="L744" s="117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</row>
    <row r="745">
      <c r="A745" s="117"/>
      <c r="B745" s="117"/>
      <c r="C745" s="117"/>
      <c r="D745" s="117"/>
      <c r="E745" s="117"/>
      <c r="F745" s="117"/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</row>
    <row r="746">
      <c r="A746" s="117"/>
      <c r="B746" s="117"/>
      <c r="C746" s="117"/>
      <c r="D746" s="117"/>
      <c r="E746" s="117"/>
      <c r="F746" s="117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</row>
    <row r="747">
      <c r="A747" s="117"/>
      <c r="B747" s="117"/>
      <c r="C747" s="117"/>
      <c r="D747" s="117"/>
      <c r="E747" s="117"/>
      <c r="F747" s="117"/>
      <c r="G747" s="117"/>
      <c r="H747" s="117"/>
      <c r="I747" s="117"/>
      <c r="J747" s="117"/>
      <c r="K747" s="117"/>
      <c r="L747" s="117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</row>
    <row r="748">
      <c r="A748" s="117"/>
      <c r="B748" s="117"/>
      <c r="C748" s="117"/>
      <c r="D748" s="117"/>
      <c r="E748" s="117"/>
      <c r="F748" s="117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</row>
    <row r="749">
      <c r="A749" s="117"/>
      <c r="B749" s="117"/>
      <c r="C749" s="117"/>
      <c r="D749" s="117"/>
      <c r="E749" s="117"/>
      <c r="F749" s="117"/>
      <c r="G749" s="117"/>
      <c r="H749" s="117"/>
      <c r="I749" s="117"/>
      <c r="J749" s="117"/>
      <c r="K749" s="117"/>
      <c r="L749" s="117"/>
      <c r="M749" s="117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</row>
    <row r="750">
      <c r="A750" s="117"/>
      <c r="B750" s="117"/>
      <c r="C750" s="117"/>
      <c r="D750" s="117"/>
      <c r="E750" s="117"/>
      <c r="F750" s="117"/>
      <c r="G750" s="117"/>
      <c r="H750" s="117"/>
      <c r="I750" s="117"/>
      <c r="J750" s="117"/>
      <c r="K750" s="117"/>
      <c r="L750" s="117"/>
      <c r="M750" s="117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</row>
    <row r="751">
      <c r="A751" s="117"/>
      <c r="B751" s="117"/>
      <c r="C751" s="117"/>
      <c r="D751" s="117"/>
      <c r="E751" s="117"/>
      <c r="F751" s="117"/>
      <c r="G751" s="117"/>
      <c r="H751" s="117"/>
      <c r="I751" s="117"/>
      <c r="J751" s="117"/>
      <c r="K751" s="117"/>
      <c r="L751" s="117"/>
      <c r="M751" s="117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</row>
    <row r="752">
      <c r="A752" s="117"/>
      <c r="B752" s="117"/>
      <c r="C752" s="117"/>
      <c r="D752" s="117"/>
      <c r="E752" s="117"/>
      <c r="F752" s="117"/>
      <c r="G752" s="117"/>
      <c r="H752" s="117"/>
      <c r="I752" s="117"/>
      <c r="J752" s="117"/>
      <c r="K752" s="117"/>
      <c r="L752" s="117"/>
      <c r="M752" s="117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</row>
    <row r="753">
      <c r="A753" s="117"/>
      <c r="B753" s="117"/>
      <c r="C753" s="117"/>
      <c r="D753" s="117"/>
      <c r="E753" s="117"/>
      <c r="F753" s="117"/>
      <c r="G753" s="117"/>
      <c r="H753" s="117"/>
      <c r="I753" s="117"/>
      <c r="J753" s="117"/>
      <c r="K753" s="117"/>
      <c r="L753" s="117"/>
      <c r="M753" s="117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</row>
    <row r="754">
      <c r="A754" s="117"/>
      <c r="B754" s="117"/>
      <c r="C754" s="117"/>
      <c r="D754" s="117"/>
      <c r="E754" s="117"/>
      <c r="F754" s="117"/>
      <c r="G754" s="117"/>
      <c r="H754" s="117"/>
      <c r="I754" s="117"/>
      <c r="J754" s="117"/>
      <c r="K754" s="117"/>
      <c r="L754" s="117"/>
      <c r="M754" s="117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</row>
    <row r="755">
      <c r="A755" s="117"/>
      <c r="B755" s="117"/>
      <c r="C755" s="117"/>
      <c r="D755" s="117"/>
      <c r="E755" s="117"/>
      <c r="F755" s="117"/>
      <c r="G755" s="117"/>
      <c r="H755" s="117"/>
      <c r="I755" s="117"/>
      <c r="J755" s="117"/>
      <c r="K755" s="117"/>
      <c r="L755" s="117"/>
      <c r="M755" s="117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</row>
    <row r="756">
      <c r="A756" s="117"/>
      <c r="B756" s="117"/>
      <c r="C756" s="117"/>
      <c r="D756" s="117"/>
      <c r="E756" s="117"/>
      <c r="F756" s="117"/>
      <c r="G756" s="117"/>
      <c r="H756" s="117"/>
      <c r="I756" s="117"/>
      <c r="J756" s="117"/>
      <c r="K756" s="117"/>
      <c r="L756" s="117"/>
      <c r="M756" s="117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</row>
    <row r="757">
      <c r="A757" s="117"/>
      <c r="B757" s="117"/>
      <c r="C757" s="117"/>
      <c r="D757" s="117"/>
      <c r="E757" s="117"/>
      <c r="F757" s="117"/>
      <c r="G757" s="117"/>
      <c r="H757" s="117"/>
      <c r="I757" s="117"/>
      <c r="J757" s="117"/>
      <c r="K757" s="117"/>
      <c r="L757" s="117"/>
      <c r="M757" s="117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17"/>
      <c r="Y757" s="117"/>
      <c r="Z757" s="117"/>
    </row>
    <row r="758">
      <c r="A758" s="117"/>
      <c r="B758" s="117"/>
      <c r="C758" s="117"/>
      <c r="D758" s="117"/>
      <c r="E758" s="117"/>
      <c r="F758" s="117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</row>
    <row r="759">
      <c r="A759" s="117"/>
      <c r="B759" s="117"/>
      <c r="C759" s="117"/>
      <c r="D759" s="117"/>
      <c r="E759" s="117"/>
      <c r="F759" s="117"/>
      <c r="G759" s="117"/>
      <c r="H759" s="117"/>
      <c r="I759" s="117"/>
      <c r="J759" s="117"/>
      <c r="K759" s="117"/>
      <c r="L759" s="117"/>
      <c r="M759" s="117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17"/>
      <c r="Y759" s="117"/>
      <c r="Z759" s="117"/>
    </row>
    <row r="760">
      <c r="A760" s="117"/>
      <c r="B760" s="117"/>
      <c r="C760" s="117"/>
      <c r="D760" s="117"/>
      <c r="E760" s="117"/>
      <c r="F760" s="117"/>
      <c r="G760" s="117"/>
      <c r="H760" s="117"/>
      <c r="I760" s="117"/>
      <c r="J760" s="117"/>
      <c r="K760" s="117"/>
      <c r="L760" s="117"/>
      <c r="M760" s="117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</row>
    <row r="761">
      <c r="A761" s="117"/>
      <c r="B761" s="117"/>
      <c r="C761" s="117"/>
      <c r="D761" s="117"/>
      <c r="E761" s="117"/>
      <c r="F761" s="117"/>
      <c r="G761" s="117"/>
      <c r="H761" s="117"/>
      <c r="I761" s="117"/>
      <c r="J761" s="117"/>
      <c r="K761" s="117"/>
      <c r="L761" s="117"/>
      <c r="M761" s="117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17"/>
      <c r="Y761" s="117"/>
      <c r="Z761" s="117"/>
    </row>
    <row r="762">
      <c r="A762" s="117"/>
      <c r="B762" s="117"/>
      <c r="C762" s="117"/>
      <c r="D762" s="117"/>
      <c r="E762" s="117"/>
      <c r="F762" s="117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17"/>
      <c r="Y762" s="117"/>
      <c r="Z762" s="117"/>
    </row>
    <row r="763">
      <c r="A763" s="117"/>
      <c r="B763" s="117"/>
      <c r="C763" s="117"/>
      <c r="D763" s="117"/>
      <c r="E763" s="117"/>
      <c r="F763" s="117"/>
      <c r="G763" s="117"/>
      <c r="H763" s="117"/>
      <c r="I763" s="117"/>
      <c r="J763" s="117"/>
      <c r="K763" s="117"/>
      <c r="L763" s="117"/>
      <c r="M763" s="117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</row>
    <row r="764">
      <c r="A764" s="117"/>
      <c r="B764" s="117"/>
      <c r="C764" s="117"/>
      <c r="D764" s="117"/>
      <c r="E764" s="117"/>
      <c r="F764" s="117"/>
      <c r="G764" s="117"/>
      <c r="H764" s="117"/>
      <c r="I764" s="117"/>
      <c r="J764" s="117"/>
      <c r="K764" s="117"/>
      <c r="L764" s="117"/>
      <c r="M764" s="117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17"/>
      <c r="Y764" s="117"/>
      <c r="Z764" s="117"/>
    </row>
    <row r="765">
      <c r="A765" s="117"/>
      <c r="B765" s="117"/>
      <c r="C765" s="117"/>
      <c r="D765" s="117"/>
      <c r="E765" s="117"/>
      <c r="F765" s="117"/>
      <c r="G765" s="117"/>
      <c r="H765" s="117"/>
      <c r="I765" s="117"/>
      <c r="J765" s="117"/>
      <c r="K765" s="117"/>
      <c r="L765" s="117"/>
      <c r="M765" s="117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17"/>
      <c r="Y765" s="117"/>
      <c r="Z765" s="117"/>
    </row>
    <row r="766">
      <c r="A766" s="117"/>
      <c r="B766" s="117"/>
      <c r="C766" s="117"/>
      <c r="D766" s="117"/>
      <c r="E766" s="117"/>
      <c r="F766" s="117"/>
      <c r="G766" s="117"/>
      <c r="H766" s="117"/>
      <c r="I766" s="117"/>
      <c r="J766" s="117"/>
      <c r="K766" s="117"/>
      <c r="L766" s="117"/>
      <c r="M766" s="117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</row>
    <row r="767">
      <c r="A767" s="117"/>
      <c r="B767" s="117"/>
      <c r="C767" s="117"/>
      <c r="D767" s="117"/>
      <c r="E767" s="117"/>
      <c r="F767" s="117"/>
      <c r="G767" s="117"/>
      <c r="H767" s="117"/>
      <c r="I767" s="117"/>
      <c r="J767" s="117"/>
      <c r="K767" s="117"/>
      <c r="L767" s="117"/>
      <c r="M767" s="117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</row>
    <row r="768">
      <c r="A768" s="117"/>
      <c r="B768" s="117"/>
      <c r="C768" s="117"/>
      <c r="D768" s="117"/>
      <c r="E768" s="117"/>
      <c r="F768" s="117"/>
      <c r="G768" s="117"/>
      <c r="H768" s="117"/>
      <c r="I768" s="117"/>
      <c r="J768" s="117"/>
      <c r="K768" s="117"/>
      <c r="L768" s="117"/>
      <c r="M768" s="117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</row>
    <row r="769">
      <c r="A769" s="117"/>
      <c r="B769" s="117"/>
      <c r="C769" s="117"/>
      <c r="D769" s="117"/>
      <c r="E769" s="117"/>
      <c r="F769" s="117"/>
      <c r="G769" s="117"/>
      <c r="H769" s="117"/>
      <c r="I769" s="117"/>
      <c r="J769" s="117"/>
      <c r="K769" s="117"/>
      <c r="L769" s="117"/>
      <c r="M769" s="117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17"/>
      <c r="Y769" s="117"/>
      <c r="Z769" s="117"/>
    </row>
    <row r="770">
      <c r="A770" s="117"/>
      <c r="B770" s="117"/>
      <c r="C770" s="117"/>
      <c r="D770" s="117"/>
      <c r="E770" s="117"/>
      <c r="F770" s="117"/>
      <c r="G770" s="117"/>
      <c r="H770" s="117"/>
      <c r="I770" s="117"/>
      <c r="J770" s="117"/>
      <c r="K770" s="117"/>
      <c r="L770" s="117"/>
      <c r="M770" s="117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</row>
    <row r="771">
      <c r="A771" s="117"/>
      <c r="B771" s="117"/>
      <c r="C771" s="117"/>
      <c r="D771" s="117"/>
      <c r="E771" s="117"/>
      <c r="F771" s="117"/>
      <c r="G771" s="117"/>
      <c r="H771" s="117"/>
      <c r="I771" s="117"/>
      <c r="J771" s="117"/>
      <c r="K771" s="117"/>
      <c r="L771" s="117"/>
      <c r="M771" s="117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</row>
    <row r="772">
      <c r="A772" s="117"/>
      <c r="B772" s="117"/>
      <c r="C772" s="117"/>
      <c r="D772" s="117"/>
      <c r="E772" s="117"/>
      <c r="F772" s="117"/>
      <c r="G772" s="117"/>
      <c r="H772" s="117"/>
      <c r="I772" s="117"/>
      <c r="J772" s="117"/>
      <c r="K772" s="117"/>
      <c r="L772" s="117"/>
      <c r="M772" s="117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</row>
    <row r="773">
      <c r="A773" s="117"/>
      <c r="B773" s="117"/>
      <c r="C773" s="117"/>
      <c r="D773" s="117"/>
      <c r="E773" s="117"/>
      <c r="F773" s="117"/>
      <c r="G773" s="117"/>
      <c r="H773" s="117"/>
      <c r="I773" s="117"/>
      <c r="J773" s="117"/>
      <c r="K773" s="117"/>
      <c r="L773" s="117"/>
      <c r="M773" s="117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</row>
    <row r="774">
      <c r="A774" s="117"/>
      <c r="B774" s="117"/>
      <c r="C774" s="117"/>
      <c r="D774" s="117"/>
      <c r="E774" s="117"/>
      <c r="F774" s="117"/>
      <c r="G774" s="117"/>
      <c r="H774" s="117"/>
      <c r="I774" s="117"/>
      <c r="J774" s="117"/>
      <c r="K774" s="117"/>
      <c r="L774" s="117"/>
      <c r="M774" s="117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</row>
    <row r="775">
      <c r="A775" s="117"/>
      <c r="B775" s="117"/>
      <c r="C775" s="117"/>
      <c r="D775" s="117"/>
      <c r="E775" s="117"/>
      <c r="F775" s="117"/>
      <c r="G775" s="117"/>
      <c r="H775" s="117"/>
      <c r="I775" s="117"/>
      <c r="J775" s="117"/>
      <c r="K775" s="117"/>
      <c r="L775" s="117"/>
      <c r="M775" s="117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</row>
    <row r="776">
      <c r="A776" s="117"/>
      <c r="B776" s="117"/>
      <c r="C776" s="117"/>
      <c r="D776" s="117"/>
      <c r="E776" s="117"/>
      <c r="F776" s="117"/>
      <c r="G776" s="117"/>
      <c r="H776" s="117"/>
      <c r="I776" s="117"/>
      <c r="J776" s="117"/>
      <c r="K776" s="117"/>
      <c r="L776" s="117"/>
      <c r="M776" s="117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</row>
    <row r="777">
      <c r="A777" s="117"/>
      <c r="B777" s="117"/>
      <c r="C777" s="117"/>
      <c r="D777" s="117"/>
      <c r="E777" s="117"/>
      <c r="F777" s="117"/>
      <c r="G777" s="117"/>
      <c r="H777" s="117"/>
      <c r="I777" s="117"/>
      <c r="J777" s="117"/>
      <c r="K777" s="117"/>
      <c r="L777" s="117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</row>
    <row r="778">
      <c r="A778" s="117"/>
      <c r="B778" s="117"/>
      <c r="C778" s="117"/>
      <c r="D778" s="117"/>
      <c r="E778" s="117"/>
      <c r="F778" s="117"/>
      <c r="G778" s="117"/>
      <c r="H778" s="117"/>
      <c r="I778" s="117"/>
      <c r="J778" s="117"/>
      <c r="K778" s="117"/>
      <c r="L778" s="117"/>
      <c r="M778" s="117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</row>
    <row r="779">
      <c r="A779" s="117"/>
      <c r="B779" s="117"/>
      <c r="C779" s="117"/>
      <c r="D779" s="117"/>
      <c r="E779" s="117"/>
      <c r="F779" s="117"/>
      <c r="G779" s="117"/>
      <c r="H779" s="117"/>
      <c r="I779" s="117"/>
      <c r="J779" s="117"/>
      <c r="K779" s="117"/>
      <c r="L779" s="117"/>
      <c r="M779" s="117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</row>
    <row r="780">
      <c r="A780" s="117"/>
      <c r="B780" s="117"/>
      <c r="C780" s="117"/>
      <c r="D780" s="117"/>
      <c r="E780" s="117"/>
      <c r="F780" s="117"/>
      <c r="G780" s="117"/>
      <c r="H780" s="117"/>
      <c r="I780" s="117"/>
      <c r="J780" s="117"/>
      <c r="K780" s="117"/>
      <c r="L780" s="117"/>
      <c r="M780" s="117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</row>
    <row r="781">
      <c r="A781" s="117"/>
      <c r="B781" s="117"/>
      <c r="C781" s="117"/>
      <c r="D781" s="117"/>
      <c r="E781" s="117"/>
      <c r="F781" s="117"/>
      <c r="G781" s="117"/>
      <c r="H781" s="117"/>
      <c r="I781" s="117"/>
      <c r="J781" s="117"/>
      <c r="K781" s="117"/>
      <c r="L781" s="117"/>
      <c r="M781" s="117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17"/>
      <c r="Y781" s="117"/>
      <c r="Z781" s="117"/>
    </row>
    <row r="782">
      <c r="A782" s="117"/>
      <c r="B782" s="117"/>
      <c r="C782" s="117"/>
      <c r="D782" s="117"/>
      <c r="E782" s="117"/>
      <c r="F782" s="117"/>
      <c r="G782" s="117"/>
      <c r="H782" s="117"/>
      <c r="I782" s="117"/>
      <c r="J782" s="117"/>
      <c r="K782" s="117"/>
      <c r="L782" s="117"/>
      <c r="M782" s="117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</row>
    <row r="783">
      <c r="A783" s="117"/>
      <c r="B783" s="117"/>
      <c r="C783" s="117"/>
      <c r="D783" s="117"/>
      <c r="E783" s="117"/>
      <c r="F783" s="117"/>
      <c r="G783" s="117"/>
      <c r="H783" s="117"/>
      <c r="I783" s="117"/>
      <c r="J783" s="117"/>
      <c r="K783" s="117"/>
      <c r="L783" s="117"/>
      <c r="M783" s="117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</row>
    <row r="784">
      <c r="A784" s="117"/>
      <c r="B784" s="117"/>
      <c r="C784" s="117"/>
      <c r="D784" s="117"/>
      <c r="E784" s="117"/>
      <c r="F784" s="117"/>
      <c r="G784" s="117"/>
      <c r="H784" s="117"/>
      <c r="I784" s="117"/>
      <c r="J784" s="117"/>
      <c r="K784" s="117"/>
      <c r="L784" s="117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</row>
    <row r="785">
      <c r="A785" s="117"/>
      <c r="B785" s="117"/>
      <c r="C785" s="117"/>
      <c r="D785" s="117"/>
      <c r="E785" s="117"/>
      <c r="F785" s="117"/>
      <c r="G785" s="117"/>
      <c r="H785" s="117"/>
      <c r="I785" s="117"/>
      <c r="J785" s="117"/>
      <c r="K785" s="117"/>
      <c r="L785" s="117"/>
      <c r="M785" s="117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</row>
    <row r="786">
      <c r="A786" s="117"/>
      <c r="B786" s="117"/>
      <c r="C786" s="117"/>
      <c r="D786" s="117"/>
      <c r="E786" s="117"/>
      <c r="F786" s="117"/>
      <c r="G786" s="117"/>
      <c r="H786" s="117"/>
      <c r="I786" s="117"/>
      <c r="J786" s="117"/>
      <c r="K786" s="117"/>
      <c r="L786" s="117"/>
      <c r="M786" s="117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</row>
    <row r="787">
      <c r="A787" s="117"/>
      <c r="B787" s="117"/>
      <c r="C787" s="117"/>
      <c r="D787" s="117"/>
      <c r="E787" s="117"/>
      <c r="F787" s="117"/>
      <c r="G787" s="117"/>
      <c r="H787" s="117"/>
      <c r="I787" s="117"/>
      <c r="J787" s="117"/>
      <c r="K787" s="117"/>
      <c r="L787" s="117"/>
      <c r="M787" s="117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</row>
    <row r="788">
      <c r="A788" s="117"/>
      <c r="B788" s="117"/>
      <c r="C788" s="117"/>
      <c r="D788" s="117"/>
      <c r="E788" s="117"/>
      <c r="F788" s="117"/>
      <c r="G788" s="117"/>
      <c r="H788" s="117"/>
      <c r="I788" s="117"/>
      <c r="J788" s="117"/>
      <c r="K788" s="117"/>
      <c r="L788" s="117"/>
      <c r="M788" s="117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</row>
    <row r="789">
      <c r="A789" s="117"/>
      <c r="B789" s="117"/>
      <c r="C789" s="117"/>
      <c r="D789" s="117"/>
      <c r="E789" s="117"/>
      <c r="F789" s="117"/>
      <c r="G789" s="117"/>
      <c r="H789" s="117"/>
      <c r="I789" s="117"/>
      <c r="J789" s="117"/>
      <c r="K789" s="117"/>
      <c r="L789" s="117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</row>
    <row r="790">
      <c r="A790" s="117"/>
      <c r="B790" s="117"/>
      <c r="C790" s="117"/>
      <c r="D790" s="117"/>
      <c r="E790" s="117"/>
      <c r="F790" s="117"/>
      <c r="G790" s="117"/>
      <c r="H790" s="117"/>
      <c r="I790" s="117"/>
      <c r="J790" s="117"/>
      <c r="K790" s="117"/>
      <c r="L790" s="117"/>
      <c r="M790" s="117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</row>
    <row r="791">
      <c r="A791" s="117"/>
      <c r="B791" s="117"/>
      <c r="C791" s="117"/>
      <c r="D791" s="117"/>
      <c r="E791" s="117"/>
      <c r="F791" s="117"/>
      <c r="G791" s="117"/>
      <c r="H791" s="117"/>
      <c r="I791" s="117"/>
      <c r="J791" s="117"/>
      <c r="K791" s="117"/>
      <c r="L791" s="117"/>
      <c r="M791" s="117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</row>
    <row r="792">
      <c r="A792" s="117"/>
      <c r="B792" s="117"/>
      <c r="C792" s="117"/>
      <c r="D792" s="117"/>
      <c r="E792" s="117"/>
      <c r="F792" s="117"/>
      <c r="G792" s="117"/>
      <c r="H792" s="117"/>
      <c r="I792" s="117"/>
      <c r="J792" s="117"/>
      <c r="K792" s="117"/>
      <c r="L792" s="117"/>
      <c r="M792" s="117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</row>
    <row r="793">
      <c r="A793" s="117"/>
      <c r="B793" s="117"/>
      <c r="C793" s="117"/>
      <c r="D793" s="117"/>
      <c r="E793" s="117"/>
      <c r="F793" s="117"/>
      <c r="G793" s="117"/>
      <c r="H793" s="117"/>
      <c r="I793" s="117"/>
      <c r="J793" s="117"/>
      <c r="K793" s="117"/>
      <c r="L793" s="117"/>
      <c r="M793" s="117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  <c r="Y793" s="117"/>
      <c r="Z793" s="117"/>
    </row>
    <row r="794">
      <c r="A794" s="117"/>
      <c r="B794" s="117"/>
      <c r="C794" s="117"/>
      <c r="D794" s="117"/>
      <c r="E794" s="117"/>
      <c r="F794" s="117"/>
      <c r="G794" s="117"/>
      <c r="H794" s="117"/>
      <c r="I794" s="117"/>
      <c r="J794" s="117"/>
      <c r="K794" s="117"/>
      <c r="L794" s="117"/>
      <c r="M794" s="117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</row>
    <row r="795">
      <c r="A795" s="117"/>
      <c r="B795" s="117"/>
      <c r="C795" s="117"/>
      <c r="D795" s="117"/>
      <c r="E795" s="117"/>
      <c r="F795" s="117"/>
      <c r="G795" s="117"/>
      <c r="H795" s="117"/>
      <c r="I795" s="117"/>
      <c r="J795" s="117"/>
      <c r="K795" s="117"/>
      <c r="L795" s="117"/>
      <c r="M795" s="117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</row>
    <row r="796">
      <c r="A796" s="117"/>
      <c r="B796" s="117"/>
      <c r="C796" s="117"/>
      <c r="D796" s="117"/>
      <c r="E796" s="117"/>
      <c r="F796" s="117"/>
      <c r="G796" s="117"/>
      <c r="H796" s="117"/>
      <c r="I796" s="117"/>
      <c r="J796" s="117"/>
      <c r="K796" s="117"/>
      <c r="L796" s="117"/>
      <c r="M796" s="117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</row>
    <row r="797">
      <c r="A797" s="117"/>
      <c r="B797" s="117"/>
      <c r="C797" s="117"/>
      <c r="D797" s="117"/>
      <c r="E797" s="117"/>
      <c r="F797" s="117"/>
      <c r="G797" s="117"/>
      <c r="H797" s="117"/>
      <c r="I797" s="117"/>
      <c r="J797" s="117"/>
      <c r="K797" s="117"/>
      <c r="L797" s="117"/>
      <c r="M797" s="117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</row>
    <row r="798">
      <c r="A798" s="117"/>
      <c r="B798" s="117"/>
      <c r="C798" s="117"/>
      <c r="D798" s="117"/>
      <c r="E798" s="117"/>
      <c r="F798" s="117"/>
      <c r="G798" s="117"/>
      <c r="H798" s="117"/>
      <c r="I798" s="117"/>
      <c r="J798" s="117"/>
      <c r="K798" s="117"/>
      <c r="L798" s="117"/>
      <c r="M798" s="117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</row>
    <row r="799">
      <c r="A799" s="117"/>
      <c r="B799" s="117"/>
      <c r="C799" s="117"/>
      <c r="D799" s="117"/>
      <c r="E799" s="117"/>
      <c r="F799" s="117"/>
      <c r="G799" s="117"/>
      <c r="H799" s="117"/>
      <c r="I799" s="117"/>
      <c r="J799" s="117"/>
      <c r="K799" s="117"/>
      <c r="L799" s="117"/>
      <c r="M799" s="117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</row>
    <row r="800">
      <c r="A800" s="117"/>
      <c r="B800" s="117"/>
      <c r="C800" s="117"/>
      <c r="D800" s="117"/>
      <c r="E800" s="117"/>
      <c r="F800" s="117"/>
      <c r="G800" s="117"/>
      <c r="H800" s="117"/>
      <c r="I800" s="117"/>
      <c r="J800" s="117"/>
      <c r="K800" s="117"/>
      <c r="L800" s="117"/>
      <c r="M800" s="117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</row>
    <row r="801">
      <c r="A801" s="117"/>
      <c r="B801" s="117"/>
      <c r="C801" s="117"/>
      <c r="D801" s="117"/>
      <c r="E801" s="117"/>
      <c r="F801" s="117"/>
      <c r="G801" s="117"/>
      <c r="H801" s="117"/>
      <c r="I801" s="117"/>
      <c r="J801" s="117"/>
      <c r="K801" s="117"/>
      <c r="L801" s="117"/>
      <c r="M801" s="117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</row>
    <row r="802">
      <c r="A802" s="117"/>
      <c r="B802" s="117"/>
      <c r="C802" s="117"/>
      <c r="D802" s="117"/>
      <c r="E802" s="117"/>
      <c r="F802" s="117"/>
      <c r="G802" s="117"/>
      <c r="H802" s="117"/>
      <c r="I802" s="117"/>
      <c r="J802" s="117"/>
      <c r="K802" s="117"/>
      <c r="L802" s="117"/>
      <c r="M802" s="117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</row>
    <row r="803">
      <c r="A803" s="117"/>
      <c r="B803" s="117"/>
      <c r="C803" s="117"/>
      <c r="D803" s="117"/>
      <c r="E803" s="117"/>
      <c r="F803" s="117"/>
      <c r="G803" s="117"/>
      <c r="H803" s="117"/>
      <c r="I803" s="117"/>
      <c r="J803" s="117"/>
      <c r="K803" s="117"/>
      <c r="L803" s="117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</row>
    <row r="804">
      <c r="A804" s="117"/>
      <c r="B804" s="117"/>
      <c r="C804" s="117"/>
      <c r="D804" s="117"/>
      <c r="E804" s="117"/>
      <c r="F804" s="117"/>
      <c r="G804" s="117"/>
      <c r="H804" s="117"/>
      <c r="I804" s="117"/>
      <c r="J804" s="117"/>
      <c r="K804" s="117"/>
      <c r="L804" s="117"/>
      <c r="M804" s="117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</row>
    <row r="805">
      <c r="A805" s="117"/>
      <c r="B805" s="117"/>
      <c r="C805" s="117"/>
      <c r="D805" s="117"/>
      <c r="E805" s="117"/>
      <c r="F805" s="117"/>
      <c r="G805" s="117"/>
      <c r="H805" s="117"/>
      <c r="I805" s="117"/>
      <c r="J805" s="117"/>
      <c r="K805" s="117"/>
      <c r="L805" s="117"/>
      <c r="M805" s="117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17"/>
      <c r="Y805" s="117"/>
      <c r="Z805" s="117"/>
    </row>
    <row r="806">
      <c r="A806" s="117"/>
      <c r="B806" s="117"/>
      <c r="C806" s="117"/>
      <c r="D806" s="117"/>
      <c r="E806" s="117"/>
      <c r="F806" s="117"/>
      <c r="G806" s="117"/>
      <c r="H806" s="117"/>
      <c r="I806" s="117"/>
      <c r="J806" s="117"/>
      <c r="K806" s="117"/>
      <c r="L806" s="117"/>
      <c r="M806" s="117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</row>
    <row r="807">
      <c r="A807" s="117"/>
      <c r="B807" s="117"/>
      <c r="C807" s="117"/>
      <c r="D807" s="117"/>
      <c r="E807" s="117"/>
      <c r="F807" s="117"/>
      <c r="G807" s="117"/>
      <c r="H807" s="117"/>
      <c r="I807" s="117"/>
      <c r="J807" s="117"/>
      <c r="K807" s="117"/>
      <c r="L807" s="117"/>
      <c r="M807" s="117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</row>
    <row r="808">
      <c r="A808" s="117"/>
      <c r="B808" s="117"/>
      <c r="C808" s="117"/>
      <c r="D808" s="117"/>
      <c r="E808" s="117"/>
      <c r="F808" s="117"/>
      <c r="G808" s="117"/>
      <c r="H808" s="117"/>
      <c r="I808" s="117"/>
      <c r="J808" s="117"/>
      <c r="K808" s="117"/>
      <c r="L808" s="117"/>
      <c r="M808" s="117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</row>
    <row r="809">
      <c r="A809" s="117"/>
      <c r="B809" s="117"/>
      <c r="C809" s="117"/>
      <c r="D809" s="117"/>
      <c r="E809" s="117"/>
      <c r="F809" s="117"/>
      <c r="G809" s="117"/>
      <c r="H809" s="117"/>
      <c r="I809" s="117"/>
      <c r="J809" s="117"/>
      <c r="K809" s="117"/>
      <c r="L809" s="117"/>
      <c r="M809" s="117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</row>
    <row r="810">
      <c r="A810" s="117"/>
      <c r="B810" s="117"/>
      <c r="C810" s="117"/>
      <c r="D810" s="117"/>
      <c r="E810" s="117"/>
      <c r="F810" s="117"/>
      <c r="G810" s="117"/>
      <c r="H810" s="117"/>
      <c r="I810" s="117"/>
      <c r="J810" s="117"/>
      <c r="K810" s="117"/>
      <c r="L810" s="117"/>
      <c r="M810" s="117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</row>
    <row r="811">
      <c r="A811" s="117"/>
      <c r="B811" s="117"/>
      <c r="C811" s="117"/>
      <c r="D811" s="117"/>
      <c r="E811" s="117"/>
      <c r="F811" s="117"/>
      <c r="G811" s="117"/>
      <c r="H811" s="117"/>
      <c r="I811" s="117"/>
      <c r="J811" s="117"/>
      <c r="K811" s="117"/>
      <c r="L811" s="117"/>
      <c r="M811" s="117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17"/>
      <c r="Y811" s="117"/>
      <c r="Z811" s="117"/>
    </row>
    <row r="812">
      <c r="A812" s="117"/>
      <c r="B812" s="117"/>
      <c r="C812" s="117"/>
      <c r="D812" s="117"/>
      <c r="E812" s="117"/>
      <c r="F812" s="117"/>
      <c r="G812" s="117"/>
      <c r="H812" s="117"/>
      <c r="I812" s="117"/>
      <c r="J812" s="117"/>
      <c r="K812" s="117"/>
      <c r="L812" s="117"/>
      <c r="M812" s="117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</row>
    <row r="813">
      <c r="A813" s="117"/>
      <c r="B813" s="117"/>
      <c r="C813" s="117"/>
      <c r="D813" s="117"/>
      <c r="E813" s="117"/>
      <c r="F813" s="117"/>
      <c r="G813" s="117"/>
      <c r="H813" s="117"/>
      <c r="I813" s="117"/>
      <c r="J813" s="117"/>
      <c r="K813" s="117"/>
      <c r="L813" s="117"/>
      <c r="M813" s="117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</row>
    <row r="814">
      <c r="A814" s="117"/>
      <c r="B814" s="117"/>
      <c r="C814" s="117"/>
      <c r="D814" s="117"/>
      <c r="E814" s="117"/>
      <c r="F814" s="117"/>
      <c r="G814" s="117"/>
      <c r="H814" s="117"/>
      <c r="I814" s="117"/>
      <c r="J814" s="117"/>
      <c r="K814" s="117"/>
      <c r="L814" s="117"/>
      <c r="M814" s="117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17"/>
      <c r="Y814" s="117"/>
      <c r="Z814" s="117"/>
    </row>
    <row r="815">
      <c r="A815" s="117"/>
      <c r="B815" s="117"/>
      <c r="C815" s="117"/>
      <c r="D815" s="117"/>
      <c r="E815" s="117"/>
      <c r="F815" s="117"/>
      <c r="G815" s="117"/>
      <c r="H815" s="117"/>
      <c r="I815" s="117"/>
      <c r="J815" s="117"/>
      <c r="K815" s="117"/>
      <c r="L815" s="117"/>
      <c r="M815" s="117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</row>
    <row r="816">
      <c r="A816" s="117"/>
      <c r="B816" s="117"/>
      <c r="C816" s="117"/>
      <c r="D816" s="117"/>
      <c r="E816" s="117"/>
      <c r="F816" s="117"/>
      <c r="G816" s="117"/>
      <c r="H816" s="117"/>
      <c r="I816" s="117"/>
      <c r="J816" s="117"/>
      <c r="K816" s="117"/>
      <c r="L816" s="117"/>
      <c r="M816" s="117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</row>
    <row r="817">
      <c r="A817" s="117"/>
      <c r="B817" s="117"/>
      <c r="C817" s="117"/>
      <c r="D817" s="117"/>
      <c r="E817" s="117"/>
      <c r="F817" s="117"/>
      <c r="G817" s="117"/>
      <c r="H817" s="117"/>
      <c r="I817" s="117"/>
      <c r="J817" s="117"/>
      <c r="K817" s="117"/>
      <c r="L817" s="117"/>
      <c r="M817" s="117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17"/>
      <c r="Y817" s="117"/>
      <c r="Z817" s="117"/>
    </row>
    <row r="818">
      <c r="A818" s="117"/>
      <c r="B818" s="117"/>
      <c r="C818" s="117"/>
      <c r="D818" s="117"/>
      <c r="E818" s="117"/>
      <c r="F818" s="117"/>
      <c r="G818" s="117"/>
      <c r="H818" s="117"/>
      <c r="I818" s="117"/>
      <c r="J818" s="117"/>
      <c r="K818" s="117"/>
      <c r="L818" s="117"/>
      <c r="M818" s="117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</row>
    <row r="819">
      <c r="A819" s="117"/>
      <c r="B819" s="117"/>
      <c r="C819" s="117"/>
      <c r="D819" s="117"/>
      <c r="E819" s="117"/>
      <c r="F819" s="117"/>
      <c r="G819" s="117"/>
      <c r="H819" s="117"/>
      <c r="I819" s="117"/>
      <c r="J819" s="117"/>
      <c r="K819" s="117"/>
      <c r="L819" s="117"/>
      <c r="M819" s="117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</row>
    <row r="820">
      <c r="A820" s="117"/>
      <c r="B820" s="117"/>
      <c r="C820" s="117"/>
      <c r="D820" s="117"/>
      <c r="E820" s="117"/>
      <c r="F820" s="117"/>
      <c r="G820" s="117"/>
      <c r="H820" s="117"/>
      <c r="I820" s="117"/>
      <c r="J820" s="117"/>
      <c r="K820" s="117"/>
      <c r="L820" s="117"/>
      <c r="M820" s="117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</row>
    <row r="821">
      <c r="A821" s="117"/>
      <c r="B821" s="117"/>
      <c r="C821" s="117"/>
      <c r="D821" s="117"/>
      <c r="E821" s="117"/>
      <c r="F821" s="117"/>
      <c r="G821" s="117"/>
      <c r="H821" s="117"/>
      <c r="I821" s="117"/>
      <c r="J821" s="117"/>
      <c r="K821" s="117"/>
      <c r="L821" s="117"/>
      <c r="M821" s="117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</row>
    <row r="822">
      <c r="A822" s="117"/>
      <c r="B822" s="117"/>
      <c r="C822" s="117"/>
      <c r="D822" s="117"/>
      <c r="E822" s="117"/>
      <c r="F822" s="117"/>
      <c r="G822" s="117"/>
      <c r="H822" s="117"/>
      <c r="I822" s="117"/>
      <c r="J822" s="117"/>
      <c r="K822" s="117"/>
      <c r="L822" s="117"/>
      <c r="M822" s="117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</row>
    <row r="823">
      <c r="A823" s="117"/>
      <c r="B823" s="117"/>
      <c r="C823" s="117"/>
      <c r="D823" s="117"/>
      <c r="E823" s="117"/>
      <c r="F823" s="117"/>
      <c r="G823" s="117"/>
      <c r="H823" s="117"/>
      <c r="I823" s="117"/>
      <c r="J823" s="117"/>
      <c r="K823" s="117"/>
      <c r="L823" s="117"/>
      <c r="M823" s="117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</row>
    <row r="824">
      <c r="A824" s="117"/>
      <c r="B824" s="117"/>
      <c r="C824" s="117"/>
      <c r="D824" s="117"/>
      <c r="E824" s="117"/>
      <c r="F824" s="117"/>
      <c r="G824" s="117"/>
      <c r="H824" s="117"/>
      <c r="I824" s="117"/>
      <c r="J824" s="117"/>
      <c r="K824" s="117"/>
      <c r="L824" s="117"/>
      <c r="M824" s="117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</row>
    <row r="825">
      <c r="A825" s="117"/>
      <c r="B825" s="117"/>
      <c r="C825" s="117"/>
      <c r="D825" s="117"/>
      <c r="E825" s="117"/>
      <c r="F825" s="117"/>
      <c r="G825" s="117"/>
      <c r="H825" s="117"/>
      <c r="I825" s="117"/>
      <c r="J825" s="117"/>
      <c r="K825" s="117"/>
      <c r="L825" s="117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</row>
    <row r="826">
      <c r="A826" s="117"/>
      <c r="B826" s="117"/>
      <c r="C826" s="117"/>
      <c r="D826" s="117"/>
      <c r="E826" s="117"/>
      <c r="F826" s="117"/>
      <c r="G826" s="117"/>
      <c r="H826" s="117"/>
      <c r="I826" s="117"/>
      <c r="J826" s="117"/>
      <c r="K826" s="117"/>
      <c r="L826" s="117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</row>
    <row r="827">
      <c r="A827" s="117"/>
      <c r="B827" s="117"/>
      <c r="C827" s="117"/>
      <c r="D827" s="117"/>
      <c r="E827" s="117"/>
      <c r="F827" s="117"/>
      <c r="G827" s="117"/>
      <c r="H827" s="117"/>
      <c r="I827" s="117"/>
      <c r="J827" s="117"/>
      <c r="K827" s="117"/>
      <c r="L827" s="117"/>
      <c r="M827" s="117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</row>
    <row r="828">
      <c r="A828" s="117"/>
      <c r="B828" s="117"/>
      <c r="C828" s="117"/>
      <c r="D828" s="117"/>
      <c r="E828" s="117"/>
      <c r="F828" s="117"/>
      <c r="G828" s="117"/>
      <c r="H828" s="117"/>
      <c r="I828" s="117"/>
      <c r="J828" s="117"/>
      <c r="K828" s="117"/>
      <c r="L828" s="117"/>
      <c r="M828" s="117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</row>
    <row r="829">
      <c r="A829" s="117"/>
      <c r="B829" s="117"/>
      <c r="C829" s="117"/>
      <c r="D829" s="117"/>
      <c r="E829" s="117"/>
      <c r="F829" s="117"/>
      <c r="G829" s="117"/>
      <c r="H829" s="117"/>
      <c r="I829" s="117"/>
      <c r="J829" s="117"/>
      <c r="K829" s="117"/>
      <c r="L829" s="117"/>
      <c r="M829" s="117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17"/>
      <c r="Y829" s="117"/>
      <c r="Z829" s="117"/>
    </row>
    <row r="830">
      <c r="A830" s="117"/>
      <c r="B830" s="117"/>
      <c r="C830" s="117"/>
      <c r="D830" s="117"/>
      <c r="E830" s="117"/>
      <c r="F830" s="117"/>
      <c r="G830" s="117"/>
      <c r="H830" s="117"/>
      <c r="I830" s="117"/>
      <c r="J830" s="117"/>
      <c r="K830" s="117"/>
      <c r="L830" s="117"/>
      <c r="M830" s="117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</row>
    <row r="831">
      <c r="A831" s="117"/>
      <c r="B831" s="117"/>
      <c r="C831" s="117"/>
      <c r="D831" s="117"/>
      <c r="E831" s="117"/>
      <c r="F831" s="117"/>
      <c r="G831" s="117"/>
      <c r="H831" s="117"/>
      <c r="I831" s="117"/>
      <c r="J831" s="117"/>
      <c r="K831" s="117"/>
      <c r="L831" s="117"/>
      <c r="M831" s="117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</row>
    <row r="832">
      <c r="A832" s="117"/>
      <c r="B832" s="117"/>
      <c r="C832" s="117"/>
      <c r="D832" s="117"/>
      <c r="E832" s="117"/>
      <c r="F832" s="117"/>
      <c r="G832" s="117"/>
      <c r="H832" s="117"/>
      <c r="I832" s="117"/>
      <c r="J832" s="117"/>
      <c r="K832" s="117"/>
      <c r="L832" s="117"/>
      <c r="M832" s="117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</row>
    <row r="833">
      <c r="A833" s="117"/>
      <c r="B833" s="117"/>
      <c r="C833" s="117"/>
      <c r="D833" s="117"/>
      <c r="E833" s="117"/>
      <c r="F833" s="117"/>
      <c r="G833" s="117"/>
      <c r="H833" s="117"/>
      <c r="I833" s="117"/>
      <c r="J833" s="117"/>
      <c r="K833" s="117"/>
      <c r="L833" s="117"/>
      <c r="M833" s="117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</row>
    <row r="834">
      <c r="A834" s="117"/>
      <c r="B834" s="117"/>
      <c r="C834" s="117"/>
      <c r="D834" s="117"/>
      <c r="E834" s="117"/>
      <c r="F834" s="117"/>
      <c r="G834" s="117"/>
      <c r="H834" s="117"/>
      <c r="I834" s="117"/>
      <c r="J834" s="117"/>
      <c r="K834" s="117"/>
      <c r="L834" s="117"/>
      <c r="M834" s="117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</row>
    <row r="835">
      <c r="A835" s="117"/>
      <c r="B835" s="117"/>
      <c r="C835" s="117"/>
      <c r="D835" s="117"/>
      <c r="E835" s="117"/>
      <c r="F835" s="117"/>
      <c r="G835" s="117"/>
      <c r="H835" s="117"/>
      <c r="I835" s="117"/>
      <c r="J835" s="117"/>
      <c r="K835" s="117"/>
      <c r="L835" s="117"/>
      <c r="M835" s="117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</row>
    <row r="836">
      <c r="A836" s="117"/>
      <c r="B836" s="117"/>
      <c r="C836" s="117"/>
      <c r="D836" s="117"/>
      <c r="E836" s="117"/>
      <c r="F836" s="117"/>
      <c r="G836" s="117"/>
      <c r="H836" s="117"/>
      <c r="I836" s="117"/>
      <c r="J836" s="117"/>
      <c r="K836" s="117"/>
      <c r="L836" s="117"/>
      <c r="M836" s="117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</row>
    <row r="837">
      <c r="A837" s="117"/>
      <c r="B837" s="117"/>
      <c r="C837" s="117"/>
      <c r="D837" s="117"/>
      <c r="E837" s="117"/>
      <c r="F837" s="117"/>
      <c r="G837" s="117"/>
      <c r="H837" s="117"/>
      <c r="I837" s="117"/>
      <c r="J837" s="117"/>
      <c r="K837" s="117"/>
      <c r="L837" s="117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</row>
    <row r="838">
      <c r="A838" s="117"/>
      <c r="B838" s="117"/>
      <c r="C838" s="117"/>
      <c r="D838" s="117"/>
      <c r="E838" s="117"/>
      <c r="F838" s="117"/>
      <c r="G838" s="117"/>
      <c r="H838" s="117"/>
      <c r="I838" s="117"/>
      <c r="J838" s="117"/>
      <c r="K838" s="117"/>
      <c r="L838" s="117"/>
      <c r="M838" s="117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</row>
    <row r="839">
      <c r="A839" s="117"/>
      <c r="B839" s="117"/>
      <c r="C839" s="117"/>
      <c r="D839" s="117"/>
      <c r="E839" s="117"/>
      <c r="F839" s="117"/>
      <c r="G839" s="117"/>
      <c r="H839" s="117"/>
      <c r="I839" s="117"/>
      <c r="J839" s="117"/>
      <c r="K839" s="117"/>
      <c r="L839" s="117"/>
      <c r="M839" s="117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</row>
    <row r="840">
      <c r="A840" s="117"/>
      <c r="B840" s="117"/>
      <c r="C840" s="117"/>
      <c r="D840" s="117"/>
      <c r="E840" s="117"/>
      <c r="F840" s="117"/>
      <c r="G840" s="117"/>
      <c r="H840" s="117"/>
      <c r="I840" s="117"/>
      <c r="J840" s="117"/>
      <c r="K840" s="117"/>
      <c r="L840" s="117"/>
      <c r="M840" s="117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</row>
    <row r="841">
      <c r="A841" s="117"/>
      <c r="B841" s="117"/>
      <c r="C841" s="117"/>
      <c r="D841" s="117"/>
      <c r="E841" s="117"/>
      <c r="F841" s="117"/>
      <c r="G841" s="117"/>
      <c r="H841" s="117"/>
      <c r="I841" s="117"/>
      <c r="J841" s="117"/>
      <c r="K841" s="117"/>
      <c r="L841" s="117"/>
      <c r="M841" s="117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17"/>
      <c r="Y841" s="117"/>
      <c r="Z841" s="117"/>
    </row>
    <row r="842">
      <c r="A842" s="117"/>
      <c r="B842" s="117"/>
      <c r="C842" s="117"/>
      <c r="D842" s="117"/>
      <c r="E842" s="117"/>
      <c r="F842" s="117"/>
      <c r="G842" s="117"/>
      <c r="H842" s="117"/>
      <c r="I842" s="117"/>
      <c r="J842" s="117"/>
      <c r="K842" s="117"/>
      <c r="L842" s="117"/>
      <c r="M842" s="117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</row>
    <row r="843">
      <c r="A843" s="117"/>
      <c r="B843" s="117"/>
      <c r="C843" s="117"/>
      <c r="D843" s="117"/>
      <c r="E843" s="117"/>
      <c r="F843" s="117"/>
      <c r="G843" s="117"/>
      <c r="H843" s="117"/>
      <c r="I843" s="117"/>
      <c r="J843" s="117"/>
      <c r="K843" s="117"/>
      <c r="L843" s="117"/>
      <c r="M843" s="117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</row>
    <row r="844">
      <c r="A844" s="117"/>
      <c r="B844" s="117"/>
      <c r="C844" s="117"/>
      <c r="D844" s="117"/>
      <c r="E844" s="117"/>
      <c r="F844" s="117"/>
      <c r="G844" s="117"/>
      <c r="H844" s="117"/>
      <c r="I844" s="117"/>
      <c r="J844" s="117"/>
      <c r="K844" s="117"/>
      <c r="L844" s="117"/>
      <c r="M844" s="117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</row>
    <row r="845">
      <c r="A845" s="117"/>
      <c r="B845" s="117"/>
      <c r="C845" s="117"/>
      <c r="D845" s="117"/>
      <c r="E845" s="117"/>
      <c r="F845" s="117"/>
      <c r="G845" s="117"/>
      <c r="H845" s="117"/>
      <c r="I845" s="117"/>
      <c r="J845" s="117"/>
      <c r="K845" s="117"/>
      <c r="L845" s="117"/>
      <c r="M845" s="117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</row>
    <row r="846">
      <c r="A846" s="117"/>
      <c r="B846" s="117"/>
      <c r="C846" s="117"/>
      <c r="D846" s="117"/>
      <c r="E846" s="117"/>
      <c r="F846" s="117"/>
      <c r="G846" s="117"/>
      <c r="H846" s="117"/>
      <c r="I846" s="117"/>
      <c r="J846" s="117"/>
      <c r="K846" s="117"/>
      <c r="L846" s="117"/>
      <c r="M846" s="117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</row>
    <row r="847">
      <c r="A847" s="117"/>
      <c r="B847" s="117"/>
      <c r="C847" s="117"/>
      <c r="D847" s="117"/>
      <c r="E847" s="117"/>
      <c r="F847" s="117"/>
      <c r="G847" s="117"/>
      <c r="H847" s="117"/>
      <c r="I847" s="117"/>
      <c r="J847" s="117"/>
      <c r="K847" s="117"/>
      <c r="L847" s="117"/>
      <c r="M847" s="117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</row>
    <row r="848">
      <c r="A848" s="117"/>
      <c r="B848" s="117"/>
      <c r="C848" s="117"/>
      <c r="D848" s="117"/>
      <c r="E848" s="117"/>
      <c r="F848" s="117"/>
      <c r="G848" s="117"/>
      <c r="H848" s="117"/>
      <c r="I848" s="117"/>
      <c r="J848" s="117"/>
      <c r="K848" s="117"/>
      <c r="L848" s="117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</row>
    <row r="849">
      <c r="A849" s="117"/>
      <c r="B849" s="117"/>
      <c r="C849" s="117"/>
      <c r="D849" s="117"/>
      <c r="E849" s="117"/>
      <c r="F849" s="117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</row>
    <row r="850">
      <c r="A850" s="117"/>
      <c r="B850" s="117"/>
      <c r="C850" s="117"/>
      <c r="D850" s="117"/>
      <c r="E850" s="117"/>
      <c r="F850" s="117"/>
      <c r="G850" s="117"/>
      <c r="H850" s="117"/>
      <c r="I850" s="117"/>
      <c r="J850" s="117"/>
      <c r="K850" s="117"/>
      <c r="L850" s="117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</row>
    <row r="851">
      <c r="A851" s="117"/>
      <c r="B851" s="117"/>
      <c r="C851" s="117"/>
      <c r="D851" s="117"/>
      <c r="E851" s="117"/>
      <c r="F851" s="117"/>
      <c r="G851" s="117"/>
      <c r="H851" s="117"/>
      <c r="I851" s="117"/>
      <c r="J851" s="117"/>
      <c r="K851" s="117"/>
      <c r="L851" s="117"/>
      <c r="M851" s="117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</row>
    <row r="852">
      <c r="A852" s="117"/>
      <c r="B852" s="117"/>
      <c r="C852" s="117"/>
      <c r="D852" s="117"/>
      <c r="E852" s="117"/>
      <c r="F852" s="117"/>
      <c r="G852" s="117"/>
      <c r="H852" s="117"/>
      <c r="I852" s="117"/>
      <c r="J852" s="117"/>
      <c r="K852" s="117"/>
      <c r="L852" s="117"/>
      <c r="M852" s="117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</row>
    <row r="853">
      <c r="A853" s="117"/>
      <c r="B853" s="117"/>
      <c r="C853" s="117"/>
      <c r="D853" s="117"/>
      <c r="E853" s="117"/>
      <c r="F853" s="117"/>
      <c r="G853" s="117"/>
      <c r="H853" s="117"/>
      <c r="I853" s="117"/>
      <c r="J853" s="117"/>
      <c r="K853" s="117"/>
      <c r="L853" s="117"/>
      <c r="M853" s="117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17"/>
      <c r="Y853" s="117"/>
      <c r="Z853" s="117"/>
    </row>
    <row r="854">
      <c r="A854" s="117"/>
      <c r="B854" s="117"/>
      <c r="C854" s="117"/>
      <c r="D854" s="117"/>
      <c r="E854" s="117"/>
      <c r="F854" s="117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</row>
    <row r="855">
      <c r="A855" s="117"/>
      <c r="B855" s="117"/>
      <c r="C855" s="117"/>
      <c r="D855" s="117"/>
      <c r="E855" s="117"/>
      <c r="F855" s="117"/>
      <c r="G855" s="117"/>
      <c r="H855" s="117"/>
      <c r="I855" s="117"/>
      <c r="J855" s="117"/>
      <c r="K855" s="117"/>
      <c r="L855" s="117"/>
      <c r="M855" s="117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</row>
    <row r="856">
      <c r="A856" s="117"/>
      <c r="B856" s="117"/>
      <c r="C856" s="117"/>
      <c r="D856" s="117"/>
      <c r="E856" s="117"/>
      <c r="F856" s="117"/>
      <c r="G856" s="117"/>
      <c r="H856" s="117"/>
      <c r="I856" s="117"/>
      <c r="J856" s="117"/>
      <c r="K856" s="117"/>
      <c r="L856" s="117"/>
      <c r="M856" s="117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</row>
    <row r="857">
      <c r="A857" s="117"/>
      <c r="B857" s="117"/>
      <c r="C857" s="117"/>
      <c r="D857" s="117"/>
      <c r="E857" s="117"/>
      <c r="F857" s="117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</row>
    <row r="858">
      <c r="A858" s="117"/>
      <c r="B858" s="117"/>
      <c r="C858" s="117"/>
      <c r="D858" s="117"/>
      <c r="E858" s="117"/>
      <c r="F858" s="117"/>
      <c r="G858" s="117"/>
      <c r="H858" s="117"/>
      <c r="I858" s="11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</row>
    <row r="859">
      <c r="A859" s="117"/>
      <c r="B859" s="117"/>
      <c r="C859" s="117"/>
      <c r="D859" s="117"/>
      <c r="E859" s="117"/>
      <c r="F859" s="117"/>
      <c r="G859" s="117"/>
      <c r="H859" s="117"/>
      <c r="I859" s="11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</row>
    <row r="860">
      <c r="A860" s="117"/>
      <c r="B860" s="117"/>
      <c r="C860" s="117"/>
      <c r="D860" s="117"/>
      <c r="E860" s="117"/>
      <c r="F860" s="117"/>
      <c r="G860" s="117"/>
      <c r="H860" s="117"/>
      <c r="I860" s="117"/>
      <c r="J860" s="117"/>
      <c r="K860" s="117"/>
      <c r="L860" s="117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</row>
    <row r="861">
      <c r="A861" s="117"/>
      <c r="B861" s="117"/>
      <c r="C861" s="117"/>
      <c r="D861" s="117"/>
      <c r="E861" s="117"/>
      <c r="F861" s="117"/>
      <c r="G861" s="117"/>
      <c r="H861" s="117"/>
      <c r="I861" s="117"/>
      <c r="J861" s="117"/>
      <c r="K861" s="117"/>
      <c r="L861" s="117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</row>
    <row r="862">
      <c r="A862" s="117"/>
      <c r="B862" s="117"/>
      <c r="C862" s="117"/>
      <c r="D862" s="117"/>
      <c r="E862" s="117"/>
      <c r="F862" s="117"/>
      <c r="G862" s="117"/>
      <c r="H862" s="117"/>
      <c r="I862" s="117"/>
      <c r="J862" s="117"/>
      <c r="K862" s="117"/>
      <c r="L862" s="117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  <c r="Y862" s="117"/>
      <c r="Z862" s="117"/>
    </row>
    <row r="863">
      <c r="A863" s="117"/>
      <c r="B863" s="117"/>
      <c r="C863" s="117"/>
      <c r="D863" s="117"/>
      <c r="E863" s="117"/>
      <c r="F863" s="117"/>
      <c r="G863" s="117"/>
      <c r="H863" s="117"/>
      <c r="I863" s="117"/>
      <c r="J863" s="117"/>
      <c r="K863" s="117"/>
      <c r="L863" s="117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</row>
    <row r="864">
      <c r="A864" s="117"/>
      <c r="B864" s="117"/>
      <c r="C864" s="117"/>
      <c r="D864" s="117"/>
      <c r="E864" s="117"/>
      <c r="F864" s="117"/>
      <c r="G864" s="117"/>
      <c r="H864" s="117"/>
      <c r="I864" s="117"/>
      <c r="J864" s="117"/>
      <c r="K864" s="117"/>
      <c r="L864" s="117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</row>
    <row r="865">
      <c r="A865" s="117"/>
      <c r="B865" s="117"/>
      <c r="C865" s="117"/>
      <c r="D865" s="117"/>
      <c r="E865" s="117"/>
      <c r="F865" s="117"/>
      <c r="G865" s="117"/>
      <c r="H865" s="117"/>
      <c r="I865" s="117"/>
      <c r="J865" s="117"/>
      <c r="K865" s="117"/>
      <c r="L865" s="117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  <c r="Y865" s="117"/>
      <c r="Z865" s="117"/>
    </row>
    <row r="866">
      <c r="A866" s="117"/>
      <c r="B866" s="117"/>
      <c r="C866" s="117"/>
      <c r="D866" s="117"/>
      <c r="E866" s="117"/>
      <c r="F866" s="117"/>
      <c r="G866" s="117"/>
      <c r="H866" s="117"/>
      <c r="I866" s="117"/>
      <c r="J866" s="117"/>
      <c r="K866" s="117"/>
      <c r="L866" s="117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</row>
    <row r="867">
      <c r="A867" s="117"/>
      <c r="B867" s="117"/>
      <c r="C867" s="117"/>
      <c r="D867" s="117"/>
      <c r="E867" s="117"/>
      <c r="F867" s="117"/>
      <c r="G867" s="117"/>
      <c r="H867" s="117"/>
      <c r="I867" s="117"/>
      <c r="J867" s="117"/>
      <c r="K867" s="117"/>
      <c r="L867" s="117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</row>
    <row r="868">
      <c r="A868" s="117"/>
      <c r="B868" s="117"/>
      <c r="C868" s="117"/>
      <c r="D868" s="117"/>
      <c r="E868" s="117"/>
      <c r="F868" s="117"/>
      <c r="G868" s="117"/>
      <c r="H868" s="117"/>
      <c r="I868" s="117"/>
      <c r="J868" s="117"/>
      <c r="K868" s="117"/>
      <c r="L868" s="117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</row>
    <row r="869">
      <c r="A869" s="117"/>
      <c r="B869" s="117"/>
      <c r="C869" s="117"/>
      <c r="D869" s="117"/>
      <c r="E869" s="117"/>
      <c r="F869" s="117"/>
      <c r="G869" s="117"/>
      <c r="H869" s="117"/>
      <c r="I869" s="117"/>
      <c r="J869" s="117"/>
      <c r="K869" s="117"/>
      <c r="L869" s="117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</row>
    <row r="870">
      <c r="A870" s="117"/>
      <c r="B870" s="117"/>
      <c r="C870" s="117"/>
      <c r="D870" s="117"/>
      <c r="E870" s="117"/>
      <c r="F870" s="117"/>
      <c r="G870" s="117"/>
      <c r="H870" s="117"/>
      <c r="I870" s="117"/>
      <c r="J870" s="117"/>
      <c r="K870" s="117"/>
      <c r="L870" s="117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</row>
    <row r="871">
      <c r="A871" s="117"/>
      <c r="B871" s="117"/>
      <c r="C871" s="117"/>
      <c r="D871" s="117"/>
      <c r="E871" s="117"/>
      <c r="F871" s="117"/>
      <c r="G871" s="117"/>
      <c r="H871" s="117"/>
      <c r="I871" s="117"/>
      <c r="J871" s="117"/>
      <c r="K871" s="117"/>
      <c r="L871" s="117"/>
      <c r="M871" s="117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</row>
    <row r="872">
      <c r="A872" s="117"/>
      <c r="B872" s="117"/>
      <c r="C872" s="117"/>
      <c r="D872" s="117"/>
      <c r="E872" s="117"/>
      <c r="F872" s="117"/>
      <c r="G872" s="117"/>
      <c r="H872" s="117"/>
      <c r="I872" s="117"/>
      <c r="J872" s="117"/>
      <c r="K872" s="117"/>
      <c r="L872" s="117"/>
      <c r="M872" s="117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</row>
    <row r="873">
      <c r="A873" s="117"/>
      <c r="B873" s="117"/>
      <c r="C873" s="117"/>
      <c r="D873" s="117"/>
      <c r="E873" s="117"/>
      <c r="F873" s="117"/>
      <c r="G873" s="117"/>
      <c r="H873" s="117"/>
      <c r="I873" s="117"/>
      <c r="J873" s="117"/>
      <c r="K873" s="117"/>
      <c r="L873" s="117"/>
      <c r="M873" s="117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</row>
    <row r="874">
      <c r="A874" s="117"/>
      <c r="B874" s="117"/>
      <c r="C874" s="117"/>
      <c r="D874" s="117"/>
      <c r="E874" s="117"/>
      <c r="F874" s="117"/>
      <c r="G874" s="117"/>
      <c r="H874" s="117"/>
      <c r="I874" s="117"/>
      <c r="J874" s="117"/>
      <c r="K874" s="117"/>
      <c r="L874" s="117"/>
      <c r="M874" s="117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</row>
    <row r="875">
      <c r="A875" s="117"/>
      <c r="B875" s="117"/>
      <c r="C875" s="117"/>
      <c r="D875" s="117"/>
      <c r="E875" s="117"/>
      <c r="F875" s="117"/>
      <c r="G875" s="117"/>
      <c r="H875" s="117"/>
      <c r="I875" s="117"/>
      <c r="J875" s="117"/>
      <c r="K875" s="117"/>
      <c r="L875" s="117"/>
      <c r="M875" s="117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</row>
    <row r="876">
      <c r="A876" s="117"/>
      <c r="B876" s="117"/>
      <c r="C876" s="117"/>
      <c r="D876" s="117"/>
      <c r="E876" s="117"/>
      <c r="F876" s="117"/>
      <c r="G876" s="117"/>
      <c r="H876" s="117"/>
      <c r="I876" s="117"/>
      <c r="J876" s="117"/>
      <c r="K876" s="117"/>
      <c r="L876" s="117"/>
      <c r="M876" s="117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</row>
    <row r="877">
      <c r="A877" s="117"/>
      <c r="B877" s="117"/>
      <c r="C877" s="117"/>
      <c r="D877" s="117"/>
      <c r="E877" s="117"/>
      <c r="F877" s="117"/>
      <c r="G877" s="117"/>
      <c r="H877" s="117"/>
      <c r="I877" s="117"/>
      <c r="J877" s="117"/>
      <c r="K877" s="117"/>
      <c r="L877" s="117"/>
      <c r="M877" s="117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17"/>
      <c r="Y877" s="117"/>
      <c r="Z877" s="117"/>
    </row>
    <row r="878">
      <c r="A878" s="117"/>
      <c r="B878" s="117"/>
      <c r="C878" s="117"/>
      <c r="D878" s="117"/>
      <c r="E878" s="117"/>
      <c r="F878" s="117"/>
      <c r="G878" s="117"/>
      <c r="H878" s="117"/>
      <c r="I878" s="117"/>
      <c r="J878" s="117"/>
      <c r="K878" s="117"/>
      <c r="L878" s="117"/>
      <c r="M878" s="117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</row>
    <row r="879">
      <c r="A879" s="117"/>
      <c r="B879" s="117"/>
      <c r="C879" s="117"/>
      <c r="D879" s="117"/>
      <c r="E879" s="117"/>
      <c r="F879" s="117"/>
      <c r="G879" s="117"/>
      <c r="H879" s="117"/>
      <c r="I879" s="117"/>
      <c r="J879" s="117"/>
      <c r="K879" s="117"/>
      <c r="L879" s="117"/>
      <c r="M879" s="117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</row>
    <row r="880">
      <c r="A880" s="117"/>
      <c r="B880" s="117"/>
      <c r="C880" s="117"/>
      <c r="D880" s="117"/>
      <c r="E880" s="117"/>
      <c r="F880" s="117"/>
      <c r="G880" s="117"/>
      <c r="H880" s="117"/>
      <c r="I880" s="117"/>
      <c r="J880" s="117"/>
      <c r="K880" s="117"/>
      <c r="L880" s="117"/>
      <c r="M880" s="117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</row>
    <row r="881">
      <c r="A881" s="117"/>
      <c r="B881" s="117"/>
      <c r="C881" s="117"/>
      <c r="D881" s="117"/>
      <c r="E881" s="117"/>
      <c r="F881" s="117"/>
      <c r="G881" s="117"/>
      <c r="H881" s="117"/>
      <c r="I881" s="117"/>
      <c r="J881" s="117"/>
      <c r="K881" s="117"/>
      <c r="L881" s="117"/>
      <c r="M881" s="117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</row>
    <row r="882">
      <c r="A882" s="117"/>
      <c r="B882" s="117"/>
      <c r="C882" s="117"/>
      <c r="D882" s="117"/>
      <c r="E882" s="117"/>
      <c r="F882" s="117"/>
      <c r="G882" s="117"/>
      <c r="H882" s="117"/>
      <c r="I882" s="117"/>
      <c r="J882" s="117"/>
      <c r="K882" s="117"/>
      <c r="L882" s="117"/>
      <c r="M882" s="117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</row>
    <row r="883">
      <c r="A883" s="117"/>
      <c r="B883" s="117"/>
      <c r="C883" s="117"/>
      <c r="D883" s="117"/>
      <c r="E883" s="117"/>
      <c r="F883" s="117"/>
      <c r="G883" s="117"/>
      <c r="H883" s="117"/>
      <c r="I883" s="117"/>
      <c r="J883" s="117"/>
      <c r="K883" s="117"/>
      <c r="L883" s="117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</row>
    <row r="884">
      <c r="A884" s="117"/>
      <c r="B884" s="117"/>
      <c r="C884" s="117"/>
      <c r="D884" s="117"/>
      <c r="E884" s="117"/>
      <c r="F884" s="117"/>
      <c r="G884" s="117"/>
      <c r="H884" s="117"/>
      <c r="I884" s="117"/>
      <c r="J884" s="117"/>
      <c r="K884" s="117"/>
      <c r="L884" s="117"/>
      <c r="M884" s="117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</row>
    <row r="885">
      <c r="A885" s="117"/>
      <c r="B885" s="117"/>
      <c r="C885" s="117"/>
      <c r="D885" s="117"/>
      <c r="E885" s="117"/>
      <c r="F885" s="117"/>
      <c r="G885" s="117"/>
      <c r="H885" s="117"/>
      <c r="I885" s="117"/>
      <c r="J885" s="117"/>
      <c r="K885" s="117"/>
      <c r="L885" s="117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</row>
    <row r="886">
      <c r="A886" s="117"/>
      <c r="B886" s="117"/>
      <c r="C886" s="117"/>
      <c r="D886" s="117"/>
      <c r="E886" s="117"/>
      <c r="F886" s="117"/>
      <c r="G886" s="117"/>
      <c r="H886" s="117"/>
      <c r="I886" s="117"/>
      <c r="J886" s="117"/>
      <c r="K886" s="117"/>
      <c r="L886" s="117"/>
      <c r="M886" s="117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</row>
    <row r="887">
      <c r="A887" s="117"/>
      <c r="B887" s="117"/>
      <c r="C887" s="117"/>
      <c r="D887" s="117"/>
      <c r="E887" s="117"/>
      <c r="F887" s="117"/>
      <c r="G887" s="117"/>
      <c r="H887" s="117"/>
      <c r="I887" s="117"/>
      <c r="J887" s="117"/>
      <c r="K887" s="117"/>
      <c r="L887" s="117"/>
      <c r="M887" s="117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</row>
    <row r="888">
      <c r="A888" s="117"/>
      <c r="B888" s="117"/>
      <c r="C888" s="117"/>
      <c r="D888" s="117"/>
      <c r="E888" s="117"/>
      <c r="F888" s="117"/>
      <c r="G888" s="117"/>
      <c r="H888" s="117"/>
      <c r="I888" s="117"/>
      <c r="J888" s="117"/>
      <c r="K888" s="117"/>
      <c r="L888" s="117"/>
      <c r="M888" s="117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</row>
    <row r="889">
      <c r="A889" s="117"/>
      <c r="B889" s="117"/>
      <c r="C889" s="117"/>
      <c r="D889" s="117"/>
      <c r="E889" s="117"/>
      <c r="F889" s="117"/>
      <c r="G889" s="117"/>
      <c r="H889" s="117"/>
      <c r="I889" s="117"/>
      <c r="J889" s="117"/>
      <c r="K889" s="117"/>
      <c r="L889" s="117"/>
      <c r="M889" s="117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17"/>
      <c r="Y889" s="117"/>
      <c r="Z889" s="117"/>
    </row>
    <row r="890">
      <c r="A890" s="117"/>
      <c r="B890" s="117"/>
      <c r="C890" s="117"/>
      <c r="D890" s="117"/>
      <c r="E890" s="117"/>
      <c r="F890" s="117"/>
      <c r="G890" s="117"/>
      <c r="H890" s="117"/>
      <c r="I890" s="117"/>
      <c r="J890" s="117"/>
      <c r="K890" s="117"/>
      <c r="L890" s="117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</row>
    <row r="891">
      <c r="A891" s="117"/>
      <c r="B891" s="117"/>
      <c r="C891" s="117"/>
      <c r="D891" s="117"/>
      <c r="E891" s="117"/>
      <c r="F891" s="117"/>
      <c r="G891" s="117"/>
      <c r="H891" s="117"/>
      <c r="I891" s="117"/>
      <c r="J891" s="117"/>
      <c r="K891" s="117"/>
      <c r="L891" s="117"/>
      <c r="M891" s="117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</row>
    <row r="892">
      <c r="A892" s="117"/>
      <c r="B892" s="117"/>
      <c r="C892" s="117"/>
      <c r="D892" s="117"/>
      <c r="E892" s="117"/>
      <c r="F892" s="117"/>
      <c r="G892" s="117"/>
      <c r="H892" s="117"/>
      <c r="I892" s="117"/>
      <c r="J892" s="117"/>
      <c r="K892" s="117"/>
      <c r="L892" s="117"/>
      <c r="M892" s="117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</row>
    <row r="893">
      <c r="A893" s="117"/>
      <c r="B893" s="117"/>
      <c r="C893" s="117"/>
      <c r="D893" s="117"/>
      <c r="E893" s="117"/>
      <c r="F893" s="117"/>
      <c r="G893" s="117"/>
      <c r="H893" s="117"/>
      <c r="I893" s="117"/>
      <c r="J893" s="117"/>
      <c r="K893" s="117"/>
      <c r="L893" s="117"/>
      <c r="M893" s="117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</row>
    <row r="894">
      <c r="A894" s="117"/>
      <c r="B894" s="117"/>
      <c r="C894" s="117"/>
      <c r="D894" s="117"/>
      <c r="E894" s="117"/>
      <c r="F894" s="117"/>
      <c r="G894" s="117"/>
      <c r="H894" s="117"/>
      <c r="I894" s="117"/>
      <c r="J894" s="117"/>
      <c r="K894" s="117"/>
      <c r="L894" s="117"/>
      <c r="M894" s="117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</row>
    <row r="895">
      <c r="A895" s="117"/>
      <c r="B895" s="117"/>
      <c r="C895" s="117"/>
      <c r="D895" s="117"/>
      <c r="E895" s="117"/>
      <c r="F895" s="117"/>
      <c r="G895" s="117"/>
      <c r="H895" s="117"/>
      <c r="I895" s="117"/>
      <c r="J895" s="117"/>
      <c r="K895" s="117"/>
      <c r="L895" s="117"/>
      <c r="M895" s="117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</row>
    <row r="896">
      <c r="A896" s="117"/>
      <c r="B896" s="117"/>
      <c r="C896" s="117"/>
      <c r="D896" s="117"/>
      <c r="E896" s="117"/>
      <c r="F896" s="117"/>
      <c r="G896" s="117"/>
      <c r="H896" s="117"/>
      <c r="I896" s="117"/>
      <c r="J896" s="117"/>
      <c r="K896" s="117"/>
      <c r="L896" s="117"/>
      <c r="M896" s="117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</row>
    <row r="897">
      <c r="A897" s="117"/>
      <c r="B897" s="117"/>
      <c r="C897" s="117"/>
      <c r="D897" s="117"/>
      <c r="E897" s="117"/>
      <c r="F897" s="117"/>
      <c r="G897" s="117"/>
      <c r="H897" s="117"/>
      <c r="I897" s="117"/>
      <c r="J897" s="117"/>
      <c r="K897" s="117"/>
      <c r="L897" s="117"/>
      <c r="M897" s="117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</row>
    <row r="898">
      <c r="A898" s="117"/>
      <c r="B898" s="117"/>
      <c r="C898" s="117"/>
      <c r="D898" s="117"/>
      <c r="E898" s="117"/>
      <c r="F898" s="117"/>
      <c r="G898" s="117"/>
      <c r="H898" s="117"/>
      <c r="I898" s="117"/>
      <c r="J898" s="117"/>
      <c r="K898" s="117"/>
      <c r="L898" s="117"/>
      <c r="M898" s="117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</row>
    <row r="899">
      <c r="A899" s="117"/>
      <c r="B899" s="117"/>
      <c r="C899" s="117"/>
      <c r="D899" s="117"/>
      <c r="E899" s="117"/>
      <c r="F899" s="117"/>
      <c r="G899" s="117"/>
      <c r="H899" s="117"/>
      <c r="I899" s="117"/>
      <c r="J899" s="117"/>
      <c r="K899" s="117"/>
      <c r="L899" s="117"/>
      <c r="M899" s="117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</row>
    <row r="900">
      <c r="A900" s="117"/>
      <c r="B900" s="117"/>
      <c r="C900" s="117"/>
      <c r="D900" s="117"/>
      <c r="E900" s="117"/>
      <c r="F900" s="117"/>
      <c r="G900" s="117"/>
      <c r="H900" s="117"/>
      <c r="I900" s="117"/>
      <c r="J900" s="117"/>
      <c r="K900" s="117"/>
      <c r="L900" s="117"/>
      <c r="M900" s="117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</row>
    <row r="901">
      <c r="A901" s="117"/>
      <c r="B901" s="117"/>
      <c r="C901" s="117"/>
      <c r="D901" s="117"/>
      <c r="E901" s="117"/>
      <c r="F901" s="117"/>
      <c r="G901" s="117"/>
      <c r="H901" s="117"/>
      <c r="I901" s="117"/>
      <c r="J901" s="117"/>
      <c r="K901" s="117"/>
      <c r="L901" s="117"/>
      <c r="M901" s="117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  <c r="X901" s="117"/>
      <c r="Y901" s="117"/>
      <c r="Z901" s="117"/>
    </row>
    <row r="902">
      <c r="A902" s="117"/>
      <c r="B902" s="117"/>
      <c r="C902" s="117"/>
      <c r="D902" s="117"/>
      <c r="E902" s="117"/>
      <c r="F902" s="117"/>
      <c r="G902" s="117"/>
      <c r="H902" s="117"/>
      <c r="I902" s="117"/>
      <c r="J902" s="117"/>
      <c r="K902" s="117"/>
      <c r="L902" s="117"/>
      <c r="M902" s="117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</row>
    <row r="903">
      <c r="A903" s="117"/>
      <c r="B903" s="117"/>
      <c r="C903" s="117"/>
      <c r="D903" s="117"/>
      <c r="E903" s="117"/>
      <c r="F903" s="117"/>
      <c r="G903" s="117"/>
      <c r="H903" s="117"/>
      <c r="I903" s="117"/>
      <c r="J903" s="117"/>
      <c r="K903" s="117"/>
      <c r="L903" s="117"/>
      <c r="M903" s="117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</row>
    <row r="904">
      <c r="A904" s="117"/>
      <c r="B904" s="117"/>
      <c r="C904" s="117"/>
      <c r="D904" s="117"/>
      <c r="E904" s="117"/>
      <c r="F904" s="117"/>
      <c r="G904" s="117"/>
      <c r="H904" s="117"/>
      <c r="I904" s="117"/>
      <c r="J904" s="117"/>
      <c r="K904" s="117"/>
      <c r="L904" s="117"/>
      <c r="M904" s="117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</row>
    <row r="905">
      <c r="A905" s="117"/>
      <c r="B905" s="117"/>
      <c r="C905" s="117"/>
      <c r="D905" s="117"/>
      <c r="E905" s="117"/>
      <c r="F905" s="117"/>
      <c r="G905" s="117"/>
      <c r="H905" s="117"/>
      <c r="I905" s="117"/>
      <c r="J905" s="117"/>
      <c r="K905" s="117"/>
      <c r="L905" s="117"/>
      <c r="M905" s="117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</row>
    <row r="906">
      <c r="A906" s="117"/>
      <c r="B906" s="117"/>
      <c r="C906" s="117"/>
      <c r="D906" s="117"/>
      <c r="E906" s="117"/>
      <c r="F906" s="117"/>
      <c r="G906" s="117"/>
      <c r="H906" s="117"/>
      <c r="I906" s="117"/>
      <c r="J906" s="117"/>
      <c r="K906" s="117"/>
      <c r="L906" s="117"/>
      <c r="M906" s="117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</row>
    <row r="907">
      <c r="A907" s="117"/>
      <c r="B907" s="117"/>
      <c r="C907" s="117"/>
      <c r="D907" s="117"/>
      <c r="E907" s="117"/>
      <c r="F907" s="117"/>
      <c r="G907" s="117"/>
      <c r="H907" s="117"/>
      <c r="I907" s="117"/>
      <c r="J907" s="117"/>
      <c r="K907" s="117"/>
      <c r="L907" s="117"/>
      <c r="M907" s="117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</row>
    <row r="908">
      <c r="A908" s="117"/>
      <c r="B908" s="117"/>
      <c r="C908" s="117"/>
      <c r="D908" s="117"/>
      <c r="E908" s="117"/>
      <c r="F908" s="117"/>
      <c r="G908" s="117"/>
      <c r="H908" s="117"/>
      <c r="I908" s="117"/>
      <c r="J908" s="117"/>
      <c r="K908" s="117"/>
      <c r="L908" s="117"/>
      <c r="M908" s="117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</row>
    <row r="909">
      <c r="A909" s="117"/>
      <c r="B909" s="117"/>
      <c r="C909" s="117"/>
      <c r="D909" s="117"/>
      <c r="E909" s="117"/>
      <c r="F909" s="117"/>
      <c r="G909" s="117"/>
      <c r="H909" s="117"/>
      <c r="I909" s="117"/>
      <c r="J909" s="117"/>
      <c r="K909" s="117"/>
      <c r="L909" s="117"/>
      <c r="M909" s="117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</row>
    <row r="910">
      <c r="A910" s="117"/>
      <c r="B910" s="117"/>
      <c r="C910" s="117"/>
      <c r="D910" s="117"/>
      <c r="E910" s="117"/>
      <c r="F910" s="117"/>
      <c r="G910" s="117"/>
      <c r="H910" s="117"/>
      <c r="I910" s="117"/>
      <c r="J910" s="117"/>
      <c r="K910" s="117"/>
      <c r="L910" s="117"/>
      <c r="M910" s="117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</row>
    <row r="911">
      <c r="A911" s="117"/>
      <c r="B911" s="117"/>
      <c r="C911" s="117"/>
      <c r="D911" s="117"/>
      <c r="E911" s="117"/>
      <c r="F911" s="117"/>
      <c r="G911" s="117"/>
      <c r="H911" s="117"/>
      <c r="I911" s="117"/>
      <c r="J911" s="117"/>
      <c r="K911" s="117"/>
      <c r="L911" s="117"/>
      <c r="M911" s="117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</row>
    <row r="912">
      <c r="A912" s="117"/>
      <c r="B912" s="117"/>
      <c r="C912" s="117"/>
      <c r="D912" s="117"/>
      <c r="E912" s="117"/>
      <c r="F912" s="117"/>
      <c r="G912" s="117"/>
      <c r="H912" s="117"/>
      <c r="I912" s="117"/>
      <c r="J912" s="117"/>
      <c r="K912" s="117"/>
      <c r="L912" s="117"/>
      <c r="M912" s="117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</row>
    <row r="913">
      <c r="A913" s="117"/>
      <c r="B913" s="117"/>
      <c r="C913" s="117"/>
      <c r="D913" s="117"/>
      <c r="E913" s="117"/>
      <c r="F913" s="117"/>
      <c r="G913" s="117"/>
      <c r="H913" s="117"/>
      <c r="I913" s="117"/>
      <c r="J913" s="117"/>
      <c r="K913" s="117"/>
      <c r="L913" s="117"/>
      <c r="M913" s="117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  <c r="X913" s="117"/>
      <c r="Y913" s="117"/>
      <c r="Z913" s="117"/>
    </row>
    <row r="914">
      <c r="A914" s="117"/>
      <c r="B914" s="117"/>
      <c r="C914" s="117"/>
      <c r="D914" s="117"/>
      <c r="E914" s="117"/>
      <c r="F914" s="117"/>
      <c r="G914" s="117"/>
      <c r="H914" s="117"/>
      <c r="I914" s="117"/>
      <c r="J914" s="117"/>
      <c r="K914" s="117"/>
      <c r="L914" s="117"/>
      <c r="M914" s="117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  <c r="X914" s="117"/>
      <c r="Y914" s="117"/>
      <c r="Z914" s="117"/>
    </row>
    <row r="915">
      <c r="A915" s="117"/>
      <c r="B915" s="117"/>
      <c r="C915" s="117"/>
      <c r="D915" s="117"/>
      <c r="E915" s="117"/>
      <c r="F915" s="117"/>
      <c r="G915" s="117"/>
      <c r="H915" s="117"/>
      <c r="I915" s="117"/>
      <c r="J915" s="117"/>
      <c r="K915" s="117"/>
      <c r="L915" s="117"/>
      <c r="M915" s="117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</row>
    <row r="916">
      <c r="A916" s="117"/>
      <c r="B916" s="117"/>
      <c r="C916" s="117"/>
      <c r="D916" s="117"/>
      <c r="E916" s="117"/>
      <c r="F916" s="117"/>
      <c r="G916" s="117"/>
      <c r="H916" s="117"/>
      <c r="I916" s="117"/>
      <c r="J916" s="117"/>
      <c r="K916" s="117"/>
      <c r="L916" s="117"/>
      <c r="M916" s="117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  <c r="X916" s="117"/>
      <c r="Y916" s="117"/>
      <c r="Z916" s="117"/>
    </row>
    <row r="917">
      <c r="A917" s="117"/>
      <c r="B917" s="117"/>
      <c r="C917" s="117"/>
      <c r="D917" s="117"/>
      <c r="E917" s="117"/>
      <c r="F917" s="117"/>
      <c r="G917" s="117"/>
      <c r="H917" s="117"/>
      <c r="I917" s="117"/>
      <c r="J917" s="117"/>
      <c r="K917" s="117"/>
      <c r="L917" s="117"/>
      <c r="M917" s="117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</row>
    <row r="918">
      <c r="A918" s="117"/>
      <c r="B918" s="117"/>
      <c r="C918" s="117"/>
      <c r="D918" s="117"/>
      <c r="E918" s="117"/>
      <c r="F918" s="117"/>
      <c r="G918" s="117"/>
      <c r="H918" s="117"/>
      <c r="I918" s="117"/>
      <c r="J918" s="117"/>
      <c r="K918" s="117"/>
      <c r="L918" s="117"/>
      <c r="M918" s="117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</row>
    <row r="919">
      <c r="A919" s="117"/>
      <c r="B919" s="117"/>
      <c r="C919" s="117"/>
      <c r="D919" s="117"/>
      <c r="E919" s="117"/>
      <c r="F919" s="117"/>
      <c r="G919" s="117"/>
      <c r="H919" s="117"/>
      <c r="I919" s="117"/>
      <c r="J919" s="117"/>
      <c r="K919" s="117"/>
      <c r="L919" s="117"/>
      <c r="M919" s="117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</row>
    <row r="920">
      <c r="A920" s="117"/>
      <c r="B920" s="117"/>
      <c r="C920" s="117"/>
      <c r="D920" s="117"/>
      <c r="E920" s="117"/>
      <c r="F920" s="117"/>
      <c r="G920" s="117"/>
      <c r="H920" s="117"/>
      <c r="I920" s="117"/>
      <c r="J920" s="117"/>
      <c r="K920" s="117"/>
      <c r="L920" s="117"/>
      <c r="M920" s="117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</row>
    <row r="921">
      <c r="A921" s="117"/>
      <c r="B921" s="117"/>
      <c r="C921" s="117"/>
      <c r="D921" s="117"/>
      <c r="E921" s="117"/>
      <c r="F921" s="117"/>
      <c r="G921" s="117"/>
      <c r="H921" s="117"/>
      <c r="I921" s="117"/>
      <c r="J921" s="117"/>
      <c r="K921" s="117"/>
      <c r="L921" s="117"/>
      <c r="M921" s="117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</row>
    <row r="922">
      <c r="A922" s="117"/>
      <c r="B922" s="117"/>
      <c r="C922" s="117"/>
      <c r="D922" s="117"/>
      <c r="E922" s="117"/>
      <c r="F922" s="117"/>
      <c r="G922" s="117"/>
      <c r="H922" s="117"/>
      <c r="I922" s="117"/>
      <c r="J922" s="117"/>
      <c r="K922" s="117"/>
      <c r="L922" s="117"/>
      <c r="M922" s="117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</row>
    <row r="923">
      <c r="A923" s="117"/>
      <c r="B923" s="117"/>
      <c r="C923" s="117"/>
      <c r="D923" s="117"/>
      <c r="E923" s="117"/>
      <c r="F923" s="117"/>
      <c r="G923" s="117"/>
      <c r="H923" s="117"/>
      <c r="I923" s="117"/>
      <c r="J923" s="117"/>
      <c r="K923" s="117"/>
      <c r="L923" s="117"/>
      <c r="M923" s="117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</row>
    <row r="924">
      <c r="A924" s="117"/>
      <c r="B924" s="117"/>
      <c r="C924" s="117"/>
      <c r="D924" s="117"/>
      <c r="E924" s="117"/>
      <c r="F924" s="117"/>
      <c r="G924" s="117"/>
      <c r="H924" s="117"/>
      <c r="I924" s="117"/>
      <c r="J924" s="117"/>
      <c r="K924" s="117"/>
      <c r="L924" s="117"/>
      <c r="M924" s="117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</row>
    <row r="925">
      <c r="A925" s="117"/>
      <c r="B925" s="117"/>
      <c r="C925" s="117"/>
      <c r="D925" s="117"/>
      <c r="E925" s="117"/>
      <c r="F925" s="117"/>
      <c r="G925" s="117"/>
      <c r="H925" s="117"/>
      <c r="I925" s="117"/>
      <c r="J925" s="117"/>
      <c r="K925" s="117"/>
      <c r="L925" s="117"/>
      <c r="M925" s="117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  <c r="X925" s="117"/>
      <c r="Y925" s="117"/>
      <c r="Z925" s="117"/>
    </row>
    <row r="926">
      <c r="A926" s="117"/>
      <c r="B926" s="117"/>
      <c r="C926" s="117"/>
      <c r="D926" s="117"/>
      <c r="E926" s="117"/>
      <c r="F926" s="117"/>
      <c r="G926" s="117"/>
      <c r="H926" s="117"/>
      <c r="I926" s="117"/>
      <c r="J926" s="117"/>
      <c r="K926" s="117"/>
      <c r="L926" s="117"/>
      <c r="M926" s="117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</row>
    <row r="927">
      <c r="A927" s="117"/>
      <c r="B927" s="117"/>
      <c r="C927" s="117"/>
      <c r="D927" s="117"/>
      <c r="E927" s="117"/>
      <c r="F927" s="117"/>
      <c r="G927" s="117"/>
      <c r="H927" s="117"/>
      <c r="I927" s="117"/>
      <c r="J927" s="117"/>
      <c r="K927" s="117"/>
      <c r="L927" s="117"/>
      <c r="M927" s="117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</row>
    <row r="928">
      <c r="A928" s="117"/>
      <c r="B928" s="117"/>
      <c r="C928" s="117"/>
      <c r="D928" s="117"/>
      <c r="E928" s="117"/>
      <c r="F928" s="117"/>
      <c r="G928" s="117"/>
      <c r="H928" s="117"/>
      <c r="I928" s="117"/>
      <c r="J928" s="117"/>
      <c r="K928" s="117"/>
      <c r="L928" s="117"/>
      <c r="M928" s="117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</row>
    <row r="929">
      <c r="A929" s="117"/>
      <c r="B929" s="117"/>
      <c r="C929" s="117"/>
      <c r="D929" s="117"/>
      <c r="E929" s="117"/>
      <c r="F929" s="117"/>
      <c r="G929" s="117"/>
      <c r="H929" s="117"/>
      <c r="I929" s="117"/>
      <c r="J929" s="117"/>
      <c r="K929" s="117"/>
      <c r="L929" s="117"/>
      <c r="M929" s="117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</row>
    <row r="930">
      <c r="A930" s="117"/>
      <c r="B930" s="117"/>
      <c r="C930" s="117"/>
      <c r="D930" s="117"/>
      <c r="E930" s="117"/>
      <c r="F930" s="117"/>
      <c r="G930" s="117"/>
      <c r="H930" s="117"/>
      <c r="I930" s="117"/>
      <c r="J930" s="117"/>
      <c r="K930" s="117"/>
      <c r="L930" s="117"/>
      <c r="M930" s="117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</row>
    <row r="931">
      <c r="A931" s="117"/>
      <c r="B931" s="117"/>
      <c r="C931" s="117"/>
      <c r="D931" s="117"/>
      <c r="E931" s="117"/>
      <c r="F931" s="117"/>
      <c r="G931" s="117"/>
      <c r="H931" s="117"/>
      <c r="I931" s="117"/>
      <c r="J931" s="117"/>
      <c r="K931" s="117"/>
      <c r="L931" s="117"/>
      <c r="M931" s="117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</row>
    <row r="932">
      <c r="A932" s="117"/>
      <c r="B932" s="117"/>
      <c r="C932" s="117"/>
      <c r="D932" s="117"/>
      <c r="E932" s="117"/>
      <c r="F932" s="117"/>
      <c r="G932" s="117"/>
      <c r="H932" s="117"/>
      <c r="I932" s="117"/>
      <c r="J932" s="117"/>
      <c r="K932" s="117"/>
      <c r="L932" s="117"/>
      <c r="M932" s="117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</row>
    <row r="933">
      <c r="A933" s="117"/>
      <c r="B933" s="117"/>
      <c r="C933" s="117"/>
      <c r="D933" s="117"/>
      <c r="E933" s="117"/>
      <c r="F933" s="117"/>
      <c r="G933" s="117"/>
      <c r="H933" s="117"/>
      <c r="I933" s="117"/>
      <c r="J933" s="117"/>
      <c r="K933" s="117"/>
      <c r="L933" s="117"/>
      <c r="M933" s="117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</row>
    <row r="934">
      <c r="A934" s="117"/>
      <c r="B934" s="117"/>
      <c r="C934" s="117"/>
      <c r="D934" s="117"/>
      <c r="E934" s="117"/>
      <c r="F934" s="117"/>
      <c r="G934" s="117"/>
      <c r="H934" s="117"/>
      <c r="I934" s="117"/>
      <c r="J934" s="117"/>
      <c r="K934" s="117"/>
      <c r="L934" s="117"/>
      <c r="M934" s="117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</row>
    <row r="935">
      <c r="A935" s="117"/>
      <c r="B935" s="117"/>
      <c r="C935" s="117"/>
      <c r="D935" s="117"/>
      <c r="E935" s="117"/>
      <c r="F935" s="117"/>
      <c r="G935" s="117"/>
      <c r="H935" s="117"/>
      <c r="I935" s="117"/>
      <c r="J935" s="117"/>
      <c r="K935" s="117"/>
      <c r="L935" s="117"/>
      <c r="M935" s="117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</row>
    <row r="936">
      <c r="A936" s="117"/>
      <c r="B936" s="117"/>
      <c r="C936" s="117"/>
      <c r="D936" s="117"/>
      <c r="E936" s="117"/>
      <c r="F936" s="117"/>
      <c r="G936" s="117"/>
      <c r="H936" s="117"/>
      <c r="I936" s="117"/>
      <c r="J936" s="117"/>
      <c r="K936" s="117"/>
      <c r="L936" s="117"/>
      <c r="M936" s="117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</row>
    <row r="937">
      <c r="A937" s="117"/>
      <c r="B937" s="117"/>
      <c r="C937" s="117"/>
      <c r="D937" s="117"/>
      <c r="E937" s="117"/>
      <c r="F937" s="117"/>
      <c r="G937" s="117"/>
      <c r="H937" s="117"/>
      <c r="I937" s="117"/>
      <c r="J937" s="117"/>
      <c r="K937" s="117"/>
      <c r="L937" s="117"/>
      <c r="M937" s="117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  <c r="X937" s="117"/>
      <c r="Y937" s="117"/>
      <c r="Z937" s="117"/>
    </row>
    <row r="938">
      <c r="A938" s="117"/>
      <c r="B938" s="117"/>
      <c r="C938" s="117"/>
      <c r="D938" s="117"/>
      <c r="E938" s="117"/>
      <c r="F938" s="117"/>
      <c r="G938" s="117"/>
      <c r="H938" s="117"/>
      <c r="I938" s="117"/>
      <c r="J938" s="117"/>
      <c r="K938" s="117"/>
      <c r="L938" s="117"/>
      <c r="M938" s="117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</row>
    <row r="939">
      <c r="A939" s="117"/>
      <c r="B939" s="117"/>
      <c r="C939" s="117"/>
      <c r="D939" s="117"/>
      <c r="E939" s="117"/>
      <c r="F939" s="117"/>
      <c r="G939" s="117"/>
      <c r="H939" s="117"/>
      <c r="I939" s="117"/>
      <c r="J939" s="117"/>
      <c r="K939" s="117"/>
      <c r="L939" s="117"/>
      <c r="M939" s="117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</row>
    <row r="940">
      <c r="A940" s="117"/>
      <c r="B940" s="117"/>
      <c r="C940" s="117"/>
      <c r="D940" s="117"/>
      <c r="E940" s="117"/>
      <c r="F940" s="117"/>
      <c r="G940" s="117"/>
      <c r="H940" s="117"/>
      <c r="I940" s="117"/>
      <c r="J940" s="117"/>
      <c r="K940" s="117"/>
      <c r="L940" s="117"/>
      <c r="M940" s="117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</row>
    <row r="941">
      <c r="A941" s="117"/>
      <c r="B941" s="117"/>
      <c r="C941" s="117"/>
      <c r="D941" s="117"/>
      <c r="E941" s="117"/>
      <c r="F941" s="117"/>
      <c r="G941" s="117"/>
      <c r="H941" s="117"/>
      <c r="I941" s="117"/>
      <c r="J941" s="117"/>
      <c r="K941" s="117"/>
      <c r="L941" s="117"/>
      <c r="M941" s="117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</row>
    <row r="942">
      <c r="A942" s="117"/>
      <c r="B942" s="117"/>
      <c r="C942" s="117"/>
      <c r="D942" s="117"/>
      <c r="E942" s="117"/>
      <c r="F942" s="117"/>
      <c r="G942" s="117"/>
      <c r="H942" s="117"/>
      <c r="I942" s="117"/>
      <c r="J942" s="117"/>
      <c r="K942" s="117"/>
      <c r="L942" s="117"/>
      <c r="M942" s="117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</row>
    <row r="943">
      <c r="A943" s="117"/>
      <c r="B943" s="117"/>
      <c r="C943" s="117"/>
      <c r="D943" s="117"/>
      <c r="E943" s="117"/>
      <c r="F943" s="117"/>
      <c r="G943" s="117"/>
      <c r="H943" s="117"/>
      <c r="I943" s="117"/>
      <c r="J943" s="117"/>
      <c r="K943" s="117"/>
      <c r="L943" s="117"/>
      <c r="M943" s="117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</row>
    <row r="944">
      <c r="A944" s="117"/>
      <c r="B944" s="117"/>
      <c r="C944" s="117"/>
      <c r="D944" s="117"/>
      <c r="E944" s="117"/>
      <c r="F944" s="117"/>
      <c r="G944" s="117"/>
      <c r="H944" s="117"/>
      <c r="I944" s="117"/>
      <c r="J944" s="117"/>
      <c r="K944" s="117"/>
      <c r="L944" s="117"/>
      <c r="M944" s="117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</row>
    <row r="945">
      <c r="A945" s="117"/>
      <c r="B945" s="117"/>
      <c r="C945" s="117"/>
      <c r="D945" s="117"/>
      <c r="E945" s="117"/>
      <c r="F945" s="117"/>
      <c r="G945" s="117"/>
      <c r="H945" s="117"/>
      <c r="I945" s="117"/>
      <c r="J945" s="117"/>
      <c r="K945" s="117"/>
      <c r="L945" s="117"/>
      <c r="M945" s="117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</row>
    <row r="946">
      <c r="A946" s="117"/>
      <c r="B946" s="117"/>
      <c r="C946" s="117"/>
      <c r="D946" s="117"/>
      <c r="E946" s="117"/>
      <c r="F946" s="117"/>
      <c r="G946" s="117"/>
      <c r="H946" s="117"/>
      <c r="I946" s="117"/>
      <c r="J946" s="117"/>
      <c r="K946" s="117"/>
      <c r="L946" s="117"/>
      <c r="M946" s="117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</row>
    <row r="947">
      <c r="A947" s="117"/>
      <c r="B947" s="117"/>
      <c r="C947" s="117"/>
      <c r="D947" s="117"/>
      <c r="E947" s="117"/>
      <c r="F947" s="117"/>
      <c r="G947" s="117"/>
      <c r="H947" s="117"/>
      <c r="I947" s="117"/>
      <c r="J947" s="117"/>
      <c r="K947" s="117"/>
      <c r="L947" s="117"/>
      <c r="M947" s="117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</row>
    <row r="948">
      <c r="A948" s="117"/>
      <c r="B948" s="117"/>
      <c r="C948" s="117"/>
      <c r="D948" s="117"/>
      <c r="E948" s="117"/>
      <c r="F948" s="117"/>
      <c r="G948" s="117"/>
      <c r="H948" s="117"/>
      <c r="I948" s="117"/>
      <c r="J948" s="117"/>
      <c r="K948" s="117"/>
      <c r="L948" s="117"/>
      <c r="M948" s="117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</row>
    <row r="949">
      <c r="A949" s="117"/>
      <c r="B949" s="117"/>
      <c r="C949" s="117"/>
      <c r="D949" s="117"/>
      <c r="E949" s="117"/>
      <c r="F949" s="117"/>
      <c r="G949" s="117"/>
      <c r="H949" s="117"/>
      <c r="I949" s="117"/>
      <c r="J949" s="117"/>
      <c r="K949" s="117"/>
      <c r="L949" s="117"/>
      <c r="M949" s="117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  <c r="X949" s="117"/>
      <c r="Y949" s="117"/>
      <c r="Z949" s="117"/>
    </row>
    <row r="950">
      <c r="A950" s="117"/>
      <c r="B950" s="117"/>
      <c r="C950" s="117"/>
      <c r="D950" s="117"/>
      <c r="E950" s="117"/>
      <c r="F950" s="117"/>
      <c r="G950" s="117"/>
      <c r="H950" s="117"/>
      <c r="I950" s="117"/>
      <c r="J950" s="117"/>
      <c r="K950" s="117"/>
      <c r="L950" s="117"/>
      <c r="M950" s="117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</row>
    <row r="951">
      <c r="A951" s="117"/>
      <c r="B951" s="117"/>
      <c r="C951" s="117"/>
      <c r="D951" s="117"/>
      <c r="E951" s="117"/>
      <c r="F951" s="117"/>
      <c r="G951" s="117"/>
      <c r="H951" s="117"/>
      <c r="I951" s="117"/>
      <c r="J951" s="117"/>
      <c r="K951" s="117"/>
      <c r="L951" s="117"/>
      <c r="M951" s="117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</row>
    <row r="952">
      <c r="A952" s="117"/>
      <c r="B952" s="117"/>
      <c r="C952" s="117"/>
      <c r="D952" s="117"/>
      <c r="E952" s="117"/>
      <c r="F952" s="117"/>
      <c r="G952" s="117"/>
      <c r="H952" s="117"/>
      <c r="I952" s="117"/>
      <c r="J952" s="117"/>
      <c r="K952" s="117"/>
      <c r="L952" s="117"/>
      <c r="M952" s="117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</row>
    <row r="953">
      <c r="A953" s="117"/>
      <c r="B953" s="117"/>
      <c r="C953" s="117"/>
      <c r="D953" s="117"/>
      <c r="E953" s="117"/>
      <c r="F953" s="117"/>
      <c r="G953" s="117"/>
      <c r="H953" s="117"/>
      <c r="I953" s="117"/>
      <c r="J953" s="117"/>
      <c r="K953" s="117"/>
      <c r="L953" s="117"/>
      <c r="M953" s="117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  <c r="X953" s="117"/>
      <c r="Y953" s="117"/>
      <c r="Z953" s="117"/>
    </row>
    <row r="954">
      <c r="A954" s="117"/>
      <c r="B954" s="117"/>
      <c r="C954" s="117"/>
      <c r="D954" s="117"/>
      <c r="E954" s="117"/>
      <c r="F954" s="117"/>
      <c r="G954" s="117"/>
      <c r="H954" s="117"/>
      <c r="I954" s="117"/>
      <c r="J954" s="117"/>
      <c r="K954" s="117"/>
      <c r="L954" s="117"/>
      <c r="M954" s="117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  <c r="X954" s="117"/>
      <c r="Y954" s="117"/>
      <c r="Z954" s="117"/>
    </row>
    <row r="955">
      <c r="A955" s="117"/>
      <c r="B955" s="117"/>
      <c r="C955" s="117"/>
      <c r="D955" s="117"/>
      <c r="E955" s="117"/>
      <c r="F955" s="117"/>
      <c r="G955" s="117"/>
      <c r="H955" s="117"/>
      <c r="I955" s="117"/>
      <c r="J955" s="117"/>
      <c r="K955" s="117"/>
      <c r="L955" s="117"/>
      <c r="M955" s="117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  <c r="X955" s="117"/>
      <c r="Y955" s="117"/>
      <c r="Z955" s="117"/>
    </row>
    <row r="956">
      <c r="A956" s="117"/>
      <c r="B956" s="117"/>
      <c r="C956" s="117"/>
      <c r="D956" s="117"/>
      <c r="E956" s="117"/>
      <c r="F956" s="117"/>
      <c r="G956" s="117"/>
      <c r="H956" s="117"/>
      <c r="I956" s="117"/>
      <c r="J956" s="117"/>
      <c r="K956" s="117"/>
      <c r="L956" s="117"/>
      <c r="M956" s="117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  <c r="X956" s="117"/>
      <c r="Y956" s="117"/>
      <c r="Z956" s="117"/>
    </row>
    <row r="957">
      <c r="A957" s="117"/>
      <c r="B957" s="117"/>
      <c r="C957" s="117"/>
      <c r="D957" s="117"/>
      <c r="E957" s="117"/>
      <c r="F957" s="117"/>
      <c r="G957" s="117"/>
      <c r="H957" s="117"/>
      <c r="I957" s="117"/>
      <c r="J957" s="117"/>
      <c r="K957" s="117"/>
      <c r="L957" s="117"/>
      <c r="M957" s="117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  <c r="X957" s="117"/>
      <c r="Y957" s="117"/>
      <c r="Z957" s="117"/>
    </row>
    <row r="958">
      <c r="A958" s="117"/>
      <c r="B958" s="117"/>
      <c r="C958" s="117"/>
      <c r="D958" s="117"/>
      <c r="E958" s="117"/>
      <c r="F958" s="117"/>
      <c r="G958" s="117"/>
      <c r="H958" s="117"/>
      <c r="I958" s="117"/>
      <c r="J958" s="117"/>
      <c r="K958" s="117"/>
      <c r="L958" s="117"/>
      <c r="M958" s="117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  <c r="X958" s="117"/>
      <c r="Y958" s="117"/>
      <c r="Z958" s="117"/>
    </row>
    <row r="959">
      <c r="A959" s="117"/>
      <c r="B959" s="117"/>
      <c r="C959" s="117"/>
      <c r="D959" s="117"/>
      <c r="E959" s="117"/>
      <c r="F959" s="117"/>
      <c r="G959" s="117"/>
      <c r="H959" s="117"/>
      <c r="I959" s="117"/>
      <c r="J959" s="117"/>
      <c r="K959" s="117"/>
      <c r="L959" s="117"/>
      <c r="M959" s="117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  <c r="X959" s="117"/>
      <c r="Y959" s="117"/>
      <c r="Z959" s="117"/>
    </row>
    <row r="960">
      <c r="A960" s="117"/>
      <c r="B960" s="117"/>
      <c r="C960" s="117"/>
      <c r="D960" s="117"/>
      <c r="E960" s="117"/>
      <c r="F960" s="117"/>
      <c r="G960" s="117"/>
      <c r="H960" s="117"/>
      <c r="I960" s="117"/>
      <c r="J960" s="117"/>
      <c r="K960" s="117"/>
      <c r="L960" s="117"/>
      <c r="M960" s="117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  <c r="X960" s="117"/>
      <c r="Y960" s="117"/>
      <c r="Z960" s="117"/>
    </row>
    <row r="961">
      <c r="A961" s="117"/>
      <c r="B961" s="117"/>
      <c r="C961" s="117"/>
      <c r="D961" s="117"/>
      <c r="E961" s="117"/>
      <c r="F961" s="117"/>
      <c r="G961" s="117"/>
      <c r="H961" s="117"/>
      <c r="I961" s="117"/>
      <c r="J961" s="117"/>
      <c r="K961" s="117"/>
      <c r="L961" s="117"/>
      <c r="M961" s="117"/>
      <c r="N961" s="117"/>
      <c r="O961" s="117"/>
      <c r="P961" s="117"/>
      <c r="Q961" s="117"/>
      <c r="R961" s="117"/>
      <c r="S961" s="117"/>
      <c r="T961" s="117"/>
      <c r="U961" s="117"/>
      <c r="V961" s="117"/>
      <c r="W961" s="117"/>
      <c r="X961" s="117"/>
      <c r="Y961" s="117"/>
      <c r="Z961" s="117"/>
    </row>
    <row r="962">
      <c r="A962" s="117"/>
      <c r="B962" s="117"/>
      <c r="C962" s="117"/>
      <c r="D962" s="117"/>
      <c r="E962" s="117"/>
      <c r="F962" s="117"/>
      <c r="G962" s="117"/>
      <c r="H962" s="117"/>
      <c r="I962" s="117"/>
      <c r="J962" s="117"/>
      <c r="K962" s="117"/>
      <c r="L962" s="117"/>
      <c r="M962" s="117"/>
      <c r="N962" s="117"/>
      <c r="O962" s="117"/>
      <c r="P962" s="117"/>
      <c r="Q962" s="117"/>
      <c r="R962" s="117"/>
      <c r="S962" s="117"/>
      <c r="T962" s="117"/>
      <c r="U962" s="117"/>
      <c r="V962" s="117"/>
      <c r="W962" s="117"/>
      <c r="X962" s="117"/>
      <c r="Y962" s="117"/>
      <c r="Z962" s="117"/>
    </row>
    <row r="963">
      <c r="A963" s="117"/>
      <c r="B963" s="117"/>
      <c r="C963" s="117"/>
      <c r="D963" s="117"/>
      <c r="E963" s="117"/>
      <c r="F963" s="117"/>
      <c r="G963" s="117"/>
      <c r="H963" s="117"/>
      <c r="I963" s="117"/>
      <c r="J963" s="117"/>
      <c r="K963" s="117"/>
      <c r="L963" s="117"/>
      <c r="M963" s="117"/>
      <c r="N963" s="117"/>
      <c r="O963" s="117"/>
      <c r="P963" s="117"/>
      <c r="Q963" s="117"/>
      <c r="R963" s="117"/>
      <c r="S963" s="117"/>
      <c r="T963" s="117"/>
      <c r="U963" s="117"/>
      <c r="V963" s="117"/>
      <c r="W963" s="117"/>
      <c r="X963" s="117"/>
      <c r="Y963" s="117"/>
      <c r="Z963" s="117"/>
    </row>
    <row r="964">
      <c r="A964" s="117"/>
      <c r="B964" s="117"/>
      <c r="C964" s="117"/>
      <c r="D964" s="117"/>
      <c r="E964" s="117"/>
      <c r="F964" s="117"/>
      <c r="G964" s="117"/>
      <c r="H964" s="117"/>
      <c r="I964" s="117"/>
      <c r="J964" s="117"/>
      <c r="K964" s="117"/>
      <c r="L964" s="117"/>
      <c r="M964" s="117"/>
      <c r="N964" s="117"/>
      <c r="O964" s="117"/>
      <c r="P964" s="117"/>
      <c r="Q964" s="117"/>
      <c r="R964" s="117"/>
      <c r="S964" s="117"/>
      <c r="T964" s="117"/>
      <c r="U964" s="117"/>
      <c r="V964" s="117"/>
      <c r="W964" s="117"/>
      <c r="X964" s="117"/>
      <c r="Y964" s="117"/>
      <c r="Z964" s="117"/>
    </row>
    <row r="965">
      <c r="A965" s="117"/>
      <c r="B965" s="117"/>
      <c r="C965" s="117"/>
      <c r="D965" s="117"/>
      <c r="E965" s="117"/>
      <c r="F965" s="117"/>
      <c r="G965" s="117"/>
      <c r="H965" s="117"/>
      <c r="I965" s="117"/>
      <c r="J965" s="117"/>
      <c r="K965" s="117"/>
      <c r="L965" s="117"/>
      <c r="M965" s="117"/>
      <c r="N965" s="117"/>
      <c r="O965" s="117"/>
      <c r="P965" s="117"/>
      <c r="Q965" s="117"/>
      <c r="R965" s="117"/>
      <c r="S965" s="117"/>
      <c r="T965" s="117"/>
      <c r="U965" s="117"/>
      <c r="V965" s="117"/>
      <c r="W965" s="117"/>
      <c r="X965" s="117"/>
      <c r="Y965" s="117"/>
      <c r="Z965" s="117"/>
    </row>
    <row r="966">
      <c r="A966" s="117"/>
      <c r="B966" s="117"/>
      <c r="C966" s="117"/>
      <c r="D966" s="117"/>
      <c r="E966" s="117"/>
      <c r="F966" s="117"/>
      <c r="G966" s="117"/>
      <c r="H966" s="117"/>
      <c r="I966" s="117"/>
      <c r="J966" s="117"/>
      <c r="K966" s="117"/>
      <c r="L966" s="117"/>
      <c r="M966" s="117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</row>
    <row r="967">
      <c r="A967" s="117"/>
      <c r="B967" s="117"/>
      <c r="C967" s="117"/>
      <c r="D967" s="117"/>
      <c r="E967" s="117"/>
      <c r="F967" s="117"/>
      <c r="G967" s="117"/>
      <c r="H967" s="117"/>
      <c r="I967" s="117"/>
      <c r="J967" s="117"/>
      <c r="K967" s="117"/>
      <c r="L967" s="117"/>
      <c r="M967" s="117"/>
      <c r="N967" s="117"/>
      <c r="O967" s="117"/>
      <c r="P967" s="117"/>
      <c r="Q967" s="117"/>
      <c r="R967" s="117"/>
      <c r="S967" s="117"/>
      <c r="T967" s="117"/>
      <c r="U967" s="117"/>
      <c r="V967" s="117"/>
      <c r="W967" s="117"/>
      <c r="X967" s="117"/>
      <c r="Y967" s="117"/>
      <c r="Z967" s="117"/>
    </row>
    <row r="968">
      <c r="A968" s="117"/>
      <c r="B968" s="117"/>
      <c r="C968" s="117"/>
      <c r="D968" s="117"/>
      <c r="E968" s="117"/>
      <c r="F968" s="117"/>
      <c r="G968" s="117"/>
      <c r="H968" s="117"/>
      <c r="I968" s="117"/>
      <c r="J968" s="117"/>
      <c r="K968" s="117"/>
      <c r="L968" s="117"/>
      <c r="M968" s="117"/>
      <c r="N968" s="117"/>
      <c r="O968" s="117"/>
      <c r="P968" s="117"/>
      <c r="Q968" s="117"/>
      <c r="R968" s="117"/>
      <c r="S968" s="117"/>
      <c r="T968" s="117"/>
      <c r="U968" s="117"/>
      <c r="V968" s="117"/>
      <c r="W968" s="117"/>
      <c r="X968" s="117"/>
      <c r="Y968" s="117"/>
      <c r="Z968" s="117"/>
    </row>
    <row r="969">
      <c r="A969" s="117"/>
      <c r="B969" s="117"/>
      <c r="C969" s="117"/>
      <c r="D969" s="117"/>
      <c r="E969" s="117"/>
      <c r="F969" s="117"/>
      <c r="G969" s="117"/>
      <c r="H969" s="117"/>
      <c r="I969" s="117"/>
      <c r="J969" s="117"/>
      <c r="K969" s="117"/>
      <c r="L969" s="117"/>
      <c r="M969" s="117"/>
      <c r="N969" s="117"/>
      <c r="O969" s="117"/>
      <c r="P969" s="117"/>
      <c r="Q969" s="117"/>
      <c r="R969" s="117"/>
      <c r="S969" s="117"/>
      <c r="T969" s="117"/>
      <c r="U969" s="117"/>
      <c r="V969" s="117"/>
      <c r="W969" s="117"/>
      <c r="X969" s="117"/>
      <c r="Y969" s="117"/>
      <c r="Z969" s="117"/>
    </row>
    <row r="970">
      <c r="A970" s="117"/>
      <c r="B970" s="117"/>
      <c r="C970" s="117"/>
      <c r="D970" s="117"/>
      <c r="E970" s="117"/>
      <c r="F970" s="117"/>
      <c r="G970" s="117"/>
      <c r="H970" s="117"/>
      <c r="I970" s="117"/>
      <c r="J970" s="117"/>
      <c r="K970" s="117"/>
      <c r="L970" s="117"/>
      <c r="M970" s="117"/>
      <c r="N970" s="117"/>
      <c r="O970" s="117"/>
      <c r="P970" s="117"/>
      <c r="Q970" s="117"/>
      <c r="R970" s="117"/>
      <c r="S970" s="117"/>
      <c r="T970" s="117"/>
      <c r="U970" s="117"/>
      <c r="V970" s="117"/>
      <c r="W970" s="117"/>
      <c r="X970" s="117"/>
      <c r="Y970" s="117"/>
      <c r="Z970" s="117"/>
    </row>
    <row r="971">
      <c r="A971" s="117"/>
      <c r="B971" s="117"/>
      <c r="C971" s="117"/>
      <c r="D971" s="117"/>
      <c r="E971" s="117"/>
      <c r="F971" s="117"/>
      <c r="G971" s="117"/>
      <c r="H971" s="117"/>
      <c r="I971" s="117"/>
      <c r="J971" s="117"/>
      <c r="K971" s="117"/>
      <c r="L971" s="117"/>
      <c r="M971" s="117"/>
      <c r="N971" s="117"/>
      <c r="O971" s="117"/>
      <c r="P971" s="117"/>
      <c r="Q971" s="117"/>
      <c r="R971" s="117"/>
      <c r="S971" s="117"/>
      <c r="T971" s="117"/>
      <c r="U971" s="117"/>
      <c r="V971" s="117"/>
      <c r="W971" s="117"/>
      <c r="X971" s="117"/>
      <c r="Y971" s="117"/>
      <c r="Z971" s="117"/>
    </row>
    <row r="972">
      <c r="A972" s="117"/>
      <c r="B972" s="117"/>
      <c r="C972" s="117"/>
      <c r="D972" s="117"/>
      <c r="E972" s="117"/>
      <c r="F972" s="117"/>
      <c r="G972" s="117"/>
      <c r="H972" s="117"/>
      <c r="I972" s="117"/>
      <c r="J972" s="117"/>
      <c r="K972" s="117"/>
      <c r="L972" s="117"/>
      <c r="M972" s="117"/>
      <c r="N972" s="117"/>
      <c r="O972" s="117"/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</row>
    <row r="973">
      <c r="A973" s="117"/>
      <c r="B973" s="117"/>
      <c r="C973" s="117"/>
      <c r="D973" s="117"/>
      <c r="E973" s="117"/>
      <c r="F973" s="117"/>
      <c r="G973" s="117"/>
      <c r="H973" s="117"/>
      <c r="I973" s="117"/>
      <c r="J973" s="117"/>
      <c r="K973" s="117"/>
      <c r="L973" s="117"/>
      <c r="M973" s="117"/>
      <c r="N973" s="117"/>
      <c r="O973" s="117"/>
      <c r="P973" s="117"/>
      <c r="Q973" s="117"/>
      <c r="R973" s="117"/>
      <c r="S973" s="117"/>
      <c r="T973" s="117"/>
      <c r="U973" s="117"/>
      <c r="V973" s="117"/>
      <c r="W973" s="117"/>
      <c r="X973" s="117"/>
      <c r="Y973" s="117"/>
      <c r="Z973" s="117"/>
    </row>
    <row r="974">
      <c r="A974" s="117"/>
      <c r="B974" s="117"/>
      <c r="C974" s="117"/>
      <c r="D974" s="117"/>
      <c r="E974" s="117"/>
      <c r="F974" s="117"/>
      <c r="G974" s="117"/>
      <c r="H974" s="117"/>
      <c r="I974" s="117"/>
      <c r="J974" s="117"/>
      <c r="K974" s="117"/>
      <c r="L974" s="117"/>
      <c r="M974" s="117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</row>
    <row r="975">
      <c r="A975" s="117"/>
      <c r="B975" s="117"/>
      <c r="C975" s="117"/>
      <c r="D975" s="117"/>
      <c r="E975" s="117"/>
      <c r="F975" s="117"/>
      <c r="G975" s="117"/>
      <c r="H975" s="117"/>
      <c r="I975" s="117"/>
      <c r="J975" s="117"/>
      <c r="K975" s="117"/>
      <c r="L975" s="117"/>
      <c r="M975" s="117"/>
      <c r="N975" s="117"/>
      <c r="O975" s="117"/>
      <c r="P975" s="117"/>
      <c r="Q975" s="117"/>
      <c r="R975" s="117"/>
      <c r="S975" s="117"/>
      <c r="T975" s="117"/>
      <c r="U975" s="117"/>
      <c r="V975" s="117"/>
      <c r="W975" s="117"/>
      <c r="X975" s="117"/>
      <c r="Y975" s="117"/>
      <c r="Z975" s="117"/>
    </row>
    <row r="976">
      <c r="A976" s="117"/>
      <c r="B976" s="117"/>
      <c r="C976" s="117"/>
      <c r="D976" s="117"/>
      <c r="E976" s="117"/>
      <c r="F976" s="117"/>
      <c r="G976" s="117"/>
      <c r="H976" s="117"/>
      <c r="I976" s="117"/>
      <c r="J976" s="117"/>
      <c r="K976" s="117"/>
      <c r="L976" s="117"/>
      <c r="M976" s="117"/>
      <c r="N976" s="117"/>
      <c r="O976" s="117"/>
      <c r="P976" s="117"/>
      <c r="Q976" s="117"/>
      <c r="R976" s="117"/>
      <c r="S976" s="117"/>
      <c r="T976" s="117"/>
      <c r="U976" s="117"/>
      <c r="V976" s="117"/>
      <c r="W976" s="117"/>
      <c r="X976" s="117"/>
      <c r="Y976" s="117"/>
      <c r="Z976" s="117"/>
    </row>
    <row r="977">
      <c r="A977" s="117"/>
      <c r="B977" s="117"/>
      <c r="C977" s="117"/>
      <c r="D977" s="117"/>
      <c r="E977" s="117"/>
      <c r="F977" s="117"/>
      <c r="G977" s="117"/>
      <c r="H977" s="117"/>
      <c r="I977" s="117"/>
      <c r="J977" s="117"/>
      <c r="K977" s="117"/>
      <c r="L977" s="117"/>
      <c r="M977" s="117"/>
      <c r="N977" s="117"/>
      <c r="O977" s="117"/>
      <c r="P977" s="117"/>
      <c r="Q977" s="117"/>
      <c r="R977" s="117"/>
      <c r="S977" s="117"/>
      <c r="T977" s="117"/>
      <c r="U977" s="117"/>
      <c r="V977" s="117"/>
      <c r="W977" s="117"/>
      <c r="X977" s="117"/>
      <c r="Y977" s="117"/>
      <c r="Z977" s="117"/>
    </row>
    <row r="978">
      <c r="A978" s="117"/>
      <c r="B978" s="117"/>
      <c r="C978" s="117"/>
      <c r="D978" s="117"/>
      <c r="E978" s="117"/>
      <c r="F978" s="117"/>
      <c r="G978" s="117"/>
      <c r="H978" s="117"/>
      <c r="I978" s="117"/>
      <c r="J978" s="117"/>
      <c r="K978" s="117"/>
      <c r="L978" s="117"/>
      <c r="M978" s="117"/>
      <c r="N978" s="117"/>
      <c r="O978" s="117"/>
      <c r="P978" s="117"/>
      <c r="Q978" s="117"/>
      <c r="R978" s="117"/>
      <c r="S978" s="117"/>
      <c r="T978" s="117"/>
      <c r="U978" s="117"/>
      <c r="V978" s="117"/>
      <c r="W978" s="117"/>
      <c r="X978" s="117"/>
      <c r="Y978" s="117"/>
      <c r="Z978" s="117"/>
    </row>
    <row r="979">
      <c r="A979" s="117"/>
      <c r="B979" s="117"/>
      <c r="C979" s="117"/>
      <c r="D979" s="117"/>
      <c r="E979" s="117"/>
      <c r="F979" s="117"/>
      <c r="G979" s="117"/>
      <c r="H979" s="117"/>
      <c r="I979" s="117"/>
      <c r="J979" s="117"/>
      <c r="K979" s="117"/>
      <c r="L979" s="117"/>
      <c r="M979" s="117"/>
      <c r="N979" s="117"/>
      <c r="O979" s="117"/>
      <c r="P979" s="117"/>
      <c r="Q979" s="117"/>
      <c r="R979" s="117"/>
      <c r="S979" s="117"/>
      <c r="T979" s="117"/>
      <c r="U979" s="117"/>
      <c r="V979" s="117"/>
      <c r="W979" s="117"/>
      <c r="X979" s="117"/>
      <c r="Y979" s="117"/>
      <c r="Z979" s="117"/>
    </row>
    <row r="980">
      <c r="A980" s="117"/>
      <c r="B980" s="117"/>
      <c r="C980" s="117"/>
      <c r="D980" s="117"/>
      <c r="E980" s="117"/>
      <c r="F980" s="117"/>
      <c r="G980" s="117"/>
      <c r="H980" s="117"/>
      <c r="I980" s="117"/>
      <c r="J980" s="117"/>
      <c r="K980" s="117"/>
      <c r="L980" s="117"/>
      <c r="M980" s="117"/>
      <c r="N980" s="117"/>
      <c r="O980" s="117"/>
      <c r="P980" s="117"/>
      <c r="Q980" s="117"/>
      <c r="R980" s="117"/>
      <c r="S980" s="117"/>
      <c r="T980" s="117"/>
      <c r="U980" s="117"/>
      <c r="V980" s="117"/>
      <c r="W980" s="117"/>
      <c r="X980" s="117"/>
      <c r="Y980" s="117"/>
      <c r="Z980" s="117"/>
    </row>
    <row r="981">
      <c r="A981" s="117"/>
      <c r="B981" s="117"/>
      <c r="C981" s="117"/>
      <c r="D981" s="117"/>
      <c r="E981" s="117"/>
      <c r="F981" s="117"/>
      <c r="G981" s="117"/>
      <c r="H981" s="117"/>
      <c r="I981" s="117"/>
      <c r="J981" s="117"/>
      <c r="K981" s="117"/>
      <c r="L981" s="117"/>
      <c r="M981" s="117"/>
      <c r="N981" s="117"/>
      <c r="O981" s="117"/>
      <c r="P981" s="117"/>
      <c r="Q981" s="117"/>
      <c r="R981" s="117"/>
      <c r="S981" s="117"/>
      <c r="T981" s="117"/>
      <c r="U981" s="117"/>
      <c r="V981" s="117"/>
      <c r="W981" s="117"/>
      <c r="X981" s="117"/>
      <c r="Y981" s="117"/>
      <c r="Z981" s="117"/>
    </row>
    <row r="982">
      <c r="A982" s="117"/>
      <c r="B982" s="117"/>
      <c r="C982" s="117"/>
      <c r="D982" s="117"/>
      <c r="E982" s="117"/>
      <c r="F982" s="117"/>
      <c r="G982" s="117"/>
      <c r="H982" s="117"/>
      <c r="I982" s="117"/>
      <c r="J982" s="117"/>
      <c r="K982" s="117"/>
      <c r="L982" s="117"/>
      <c r="M982" s="117"/>
      <c r="N982" s="117"/>
      <c r="O982" s="117"/>
      <c r="P982" s="117"/>
      <c r="Q982" s="117"/>
      <c r="R982" s="117"/>
      <c r="S982" s="117"/>
      <c r="T982" s="117"/>
      <c r="U982" s="117"/>
      <c r="V982" s="117"/>
      <c r="W982" s="117"/>
      <c r="X982" s="117"/>
      <c r="Y982" s="117"/>
      <c r="Z982" s="117"/>
    </row>
    <row r="983">
      <c r="A983" s="117"/>
      <c r="B983" s="117"/>
      <c r="C983" s="117"/>
      <c r="D983" s="117"/>
      <c r="E983" s="117"/>
      <c r="F983" s="117"/>
      <c r="G983" s="117"/>
      <c r="H983" s="117"/>
      <c r="I983" s="117"/>
      <c r="J983" s="117"/>
      <c r="K983" s="117"/>
      <c r="L983" s="117"/>
      <c r="M983" s="117"/>
      <c r="N983" s="117"/>
      <c r="O983" s="117"/>
      <c r="P983" s="117"/>
      <c r="Q983" s="117"/>
      <c r="R983" s="117"/>
      <c r="S983" s="117"/>
      <c r="T983" s="117"/>
      <c r="U983" s="117"/>
      <c r="V983" s="117"/>
      <c r="W983" s="117"/>
      <c r="X983" s="117"/>
      <c r="Y983" s="117"/>
      <c r="Z983" s="117"/>
    </row>
    <row r="984">
      <c r="A984" s="117"/>
      <c r="B984" s="117"/>
      <c r="C984" s="117"/>
      <c r="D984" s="117"/>
      <c r="E984" s="117"/>
      <c r="F984" s="117"/>
      <c r="G984" s="117"/>
      <c r="H984" s="117"/>
      <c r="I984" s="117"/>
      <c r="J984" s="117"/>
      <c r="K984" s="117"/>
      <c r="L984" s="117"/>
      <c r="M984" s="117"/>
      <c r="N984" s="117"/>
      <c r="O984" s="117"/>
      <c r="P984" s="117"/>
      <c r="Q984" s="117"/>
      <c r="R984" s="117"/>
      <c r="S984" s="117"/>
      <c r="T984" s="117"/>
      <c r="U984" s="117"/>
      <c r="V984" s="117"/>
      <c r="W984" s="117"/>
      <c r="X984" s="117"/>
      <c r="Y984" s="117"/>
      <c r="Z984" s="117"/>
    </row>
    <row r="985">
      <c r="A985" s="117"/>
      <c r="B985" s="117"/>
      <c r="C985" s="117"/>
      <c r="D985" s="117"/>
      <c r="E985" s="117"/>
      <c r="F985" s="117"/>
      <c r="G985" s="117"/>
      <c r="H985" s="117"/>
      <c r="I985" s="117"/>
      <c r="J985" s="117"/>
      <c r="K985" s="117"/>
      <c r="L985" s="117"/>
      <c r="M985" s="117"/>
      <c r="N985" s="117"/>
      <c r="O985" s="117"/>
      <c r="P985" s="117"/>
      <c r="Q985" s="117"/>
      <c r="R985" s="117"/>
      <c r="S985" s="117"/>
      <c r="T985" s="117"/>
      <c r="U985" s="117"/>
      <c r="V985" s="117"/>
      <c r="W985" s="117"/>
      <c r="X985" s="117"/>
      <c r="Y985" s="117"/>
      <c r="Z985" s="117"/>
    </row>
    <row r="986">
      <c r="A986" s="117"/>
      <c r="B986" s="117"/>
      <c r="C986" s="117"/>
      <c r="D986" s="117"/>
      <c r="E986" s="117"/>
      <c r="F986" s="117"/>
      <c r="G986" s="117"/>
      <c r="H986" s="117"/>
      <c r="I986" s="117"/>
      <c r="J986" s="117"/>
      <c r="K986" s="117"/>
      <c r="L986" s="117"/>
      <c r="M986" s="117"/>
      <c r="N986" s="117"/>
      <c r="O986" s="117"/>
      <c r="P986" s="117"/>
      <c r="Q986" s="117"/>
      <c r="R986" s="117"/>
      <c r="S986" s="117"/>
      <c r="T986" s="117"/>
      <c r="U986" s="117"/>
      <c r="V986" s="117"/>
      <c r="W986" s="117"/>
      <c r="X986" s="117"/>
      <c r="Y986" s="117"/>
      <c r="Z986" s="117"/>
    </row>
    <row r="987">
      <c r="A987" s="117"/>
      <c r="B987" s="117"/>
      <c r="C987" s="117"/>
      <c r="D987" s="117"/>
      <c r="E987" s="117"/>
      <c r="F987" s="117"/>
      <c r="G987" s="117"/>
      <c r="H987" s="117"/>
      <c r="I987" s="117"/>
      <c r="J987" s="117"/>
      <c r="K987" s="117"/>
      <c r="L987" s="117"/>
      <c r="M987" s="117"/>
      <c r="N987" s="117"/>
      <c r="O987" s="117"/>
      <c r="P987" s="117"/>
      <c r="Q987" s="117"/>
      <c r="R987" s="117"/>
      <c r="S987" s="117"/>
      <c r="T987" s="117"/>
      <c r="U987" s="117"/>
      <c r="V987" s="117"/>
      <c r="W987" s="117"/>
      <c r="X987" s="117"/>
      <c r="Y987" s="117"/>
      <c r="Z987" s="117"/>
    </row>
    <row r="988">
      <c r="A988" s="117"/>
      <c r="B988" s="117"/>
      <c r="C988" s="117"/>
      <c r="D988" s="117"/>
      <c r="E988" s="117"/>
      <c r="F988" s="117"/>
      <c r="G988" s="117"/>
      <c r="H988" s="117"/>
      <c r="I988" s="117"/>
      <c r="J988" s="117"/>
      <c r="K988" s="117"/>
      <c r="L988" s="117"/>
      <c r="M988" s="117"/>
      <c r="N988" s="117"/>
      <c r="O988" s="117"/>
      <c r="P988" s="117"/>
      <c r="Q988" s="117"/>
      <c r="R988" s="117"/>
      <c r="S988" s="117"/>
      <c r="T988" s="117"/>
      <c r="U988" s="117"/>
      <c r="V988" s="117"/>
      <c r="W988" s="117"/>
      <c r="X988" s="117"/>
      <c r="Y988" s="117"/>
      <c r="Z988" s="11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7" t="str">
        <f>IFERROR(__xludf.DUMMYFUNCTION("Importrange(""https://docs.google.com/spreadsheets/d/1J259Wk_dq6luMnMYv3tC7ihDfpNEWA7MrLg2fHr3D4A/edit?gid=203868276#gid=203868276"",""Walmart"")"),"")</f>
        <v/>
      </c>
      <c r="B1" s="115" t="str">
        <f>IFERROR(__xludf.DUMMYFUNCTION("""COMPUTED_VALUE"""),"Walmart")</f>
        <v>Walmart</v>
      </c>
      <c r="C1" s="116"/>
      <c r="D1" s="116"/>
      <c r="E1" s="116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>
      <c r="A2" s="117"/>
      <c r="B2" s="118" t="str">
        <f>IFERROR(__xludf.DUMMYFUNCTION("""COMPUTED_VALUE"""),"Net Margins")</f>
        <v>Net Margins</v>
      </c>
      <c r="C2" s="4" t="str">
        <f>IFERROR(__xludf.DUMMYFUNCTION("""COMPUTED_VALUE"""),"Year to Date")</f>
        <v>Year to Date</v>
      </c>
      <c r="D2" s="4" t="str">
        <f>IFERROR(__xludf.DUMMYFUNCTION("""COMPUTED_VALUE"""),"Last Month")</f>
        <v>Last Month</v>
      </c>
      <c r="E2" s="4" t="str">
        <f>IFERROR(__xludf.DUMMYFUNCTION("""COMPUTED_VALUE"""),"Month to Date")</f>
        <v>Month to Date</v>
      </c>
      <c r="F2" s="5" t="str">
        <f>IFERROR(__xludf.DUMMYFUNCTION("""COMPUTED_VALUE"""),"This Week")</f>
        <v>This Week</v>
      </c>
      <c r="G2" s="6" t="str">
        <f>IFERROR(__xludf.DUMMYFUNCTION("""COMPUTED_VALUE"""),"Last Week")</f>
        <v>Last Week</v>
      </c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>
      <c r="A3" s="117"/>
      <c r="B3" s="119"/>
      <c r="C3" s="120">
        <f>IFERROR(__xludf.DUMMYFUNCTION("""COMPUTED_VALUE"""),2025.0)</f>
        <v>2025</v>
      </c>
      <c r="D3" s="121" t="str">
        <f>IFERROR(__xludf.DUMMYFUNCTION("""COMPUTED_VALUE"""),"November")</f>
        <v>November</v>
      </c>
      <c r="E3" s="121" t="str">
        <f>IFERROR(__xludf.DUMMYFUNCTION("""COMPUTED_VALUE"""),"December")</f>
        <v>December</v>
      </c>
      <c r="F3" s="122">
        <f>IFERROR(__xludf.DUMMYFUNCTION("""COMPUTED_VALUE"""),45999.0)</f>
        <v>45999</v>
      </c>
      <c r="G3" s="144">
        <f>IFERROR(__xludf.DUMMYFUNCTION("""COMPUTED_VALUE"""),45992.0)</f>
        <v>45992</v>
      </c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>
      <c r="A4" s="117"/>
      <c r="B4" s="123" t="str">
        <f>IFERROR(__xludf.DUMMYFUNCTION("""COMPUTED_VALUE"""),"20% Projection")</f>
        <v>20% Projection</v>
      </c>
      <c r="C4" s="124">
        <f>IFERROR(__xludf.DUMMYFUNCTION("""COMPUTED_VALUE"""),1597.9520000000023)</f>
        <v>1597.952</v>
      </c>
      <c r="D4" s="124">
        <f>IFERROR(__xludf.DUMMYFUNCTION("""COMPUTED_VALUE"""),235.99999999999997)</f>
        <v>236</v>
      </c>
      <c r="E4" s="124">
        <f>IFERROR(__xludf.DUMMYFUNCTION("""COMPUTED_VALUE"""),0.0)</f>
        <v>0</v>
      </c>
      <c r="F4" s="124">
        <f>IFERROR(__xludf.DUMMYFUNCTION("""COMPUTED_VALUE"""),0.0)</f>
        <v>0</v>
      </c>
      <c r="G4" s="125">
        <f>IFERROR(__xludf.DUMMYFUNCTION("""COMPUTED_VALUE"""),0.0)</f>
        <v>0</v>
      </c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>
      <c r="A5" s="117"/>
      <c r="B5" s="126" t="str">
        <f>IFERROR(__xludf.DUMMYFUNCTION("""COMPUTED_VALUE"""),"Net Profit Walmart")</f>
        <v>Net Profit Walmart</v>
      </c>
      <c r="C5" s="85">
        <f>IFERROR(__xludf.DUMMYFUNCTION("""COMPUTED_VALUE"""),7989.760000000011)</f>
        <v>7989.76</v>
      </c>
      <c r="D5" s="85">
        <f>IFERROR(__xludf.DUMMYFUNCTION("""COMPUTED_VALUE"""),1179.9999999999998)</f>
        <v>1180</v>
      </c>
      <c r="E5" s="85">
        <f>IFERROR(__xludf.DUMMYFUNCTION("""COMPUTED_VALUE"""),0.0)</f>
        <v>0</v>
      </c>
      <c r="F5" s="85">
        <f>IFERROR(__xludf.DUMMYFUNCTION("""COMPUTED_VALUE"""),0.0)</f>
        <v>0</v>
      </c>
      <c r="G5" s="86">
        <f>IFERROR(__xludf.DUMMYFUNCTION("""COMPUTED_VALUE"""),0.0)</f>
        <v>0</v>
      </c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>
      <c r="A6" s="117"/>
      <c r="B6" s="127" t="str">
        <f>IFERROR(__xludf.DUMMYFUNCTION("""COMPUTED_VALUE"""),"Item Profit Vs. Returned Items")</f>
        <v>Item Profit Vs. Returned Items</v>
      </c>
      <c r="C6" s="128">
        <f>IFERROR(__xludf.DUMMYFUNCTION("""COMPUTED_VALUE"""),8530.01000000001)</f>
        <v>8530.01</v>
      </c>
      <c r="D6" s="128">
        <f>IFERROR(__xludf.DUMMYFUNCTION("""COMPUTED_VALUE"""),1235.9299999999998)</f>
        <v>1235.93</v>
      </c>
      <c r="E6" s="128">
        <f>IFERROR(__xludf.DUMMYFUNCTION("""COMPUTED_VALUE"""),0.0)</f>
        <v>0</v>
      </c>
      <c r="F6" s="128">
        <f>IFERROR(__xludf.DUMMYFUNCTION("""COMPUTED_VALUE"""),0.0)</f>
        <v>0</v>
      </c>
      <c r="G6" s="129">
        <f>IFERROR(__xludf.DUMMYFUNCTION("""COMPUTED_VALUE"""),0.0)</f>
        <v>0</v>
      </c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>
      <c r="A7" s="117"/>
      <c r="B7" s="130" t="str">
        <f>IFERROR(__xludf.DUMMYFUNCTION("""COMPUTED_VALUE"""),"Walmart Item Sales Profit")</f>
        <v>Walmart Item Sales Profit</v>
      </c>
      <c r="C7" s="131">
        <f>IFERROR(__xludf.DUMMYFUNCTION("""COMPUTED_VALUE"""),12259.45000000001)</f>
        <v>12259.45</v>
      </c>
      <c r="D7" s="131">
        <f>IFERROR(__xludf.DUMMYFUNCTION("""COMPUTED_VALUE"""),1613.4699999999998)</f>
        <v>1613.47</v>
      </c>
      <c r="E7" s="131">
        <f>IFERROR(__xludf.DUMMYFUNCTION("""COMPUTED_VALUE"""),0.0)</f>
        <v>0</v>
      </c>
      <c r="F7" s="131">
        <f>IFERROR(__xludf.DUMMYFUNCTION("""COMPUTED_VALUE"""),0.0)</f>
        <v>0</v>
      </c>
      <c r="G7" s="132">
        <f>IFERROR(__xludf.DUMMYFUNCTION("""COMPUTED_VALUE"""),0.0)</f>
        <v>0</v>
      </c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>
      <c r="A8" s="117"/>
      <c r="B8" s="138" t="str">
        <f>IFERROR(__xludf.DUMMYFUNCTION("""COMPUTED_VALUE"""),"Keystone")</f>
        <v>Keystone</v>
      </c>
      <c r="C8" s="124">
        <f>IFERROR(__xludf.DUMMYFUNCTION("""COMPUTED_VALUE"""),12259.45000000001)</f>
        <v>12259.45</v>
      </c>
      <c r="D8" s="124">
        <f>IFERROR(__xludf.DUMMYFUNCTION("""COMPUTED_VALUE"""),1613.4699999999998)</f>
        <v>1613.47</v>
      </c>
      <c r="E8" s="124">
        <f>IFERROR(__xludf.DUMMYFUNCTION("""COMPUTED_VALUE"""),0.0)</f>
        <v>0</v>
      </c>
      <c r="F8" s="124">
        <f>IFERROR(__xludf.DUMMYFUNCTION("""COMPUTED_VALUE"""),0.0)</f>
        <v>0</v>
      </c>
      <c r="G8" s="125">
        <f>IFERROR(__xludf.DUMMYFUNCTION("""COMPUTED_VALUE"""),0.0)</f>
        <v>0</v>
      </c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>
      <c r="A9" s="117"/>
      <c r="B9" s="133" t="str">
        <f>IFERROR(__xludf.DUMMYFUNCTION("""COMPUTED_VALUE"""),"eBay")</f>
        <v>eBay</v>
      </c>
      <c r="C9" s="128">
        <f>IFERROR(__xludf.DUMMYFUNCTION("""COMPUTED_VALUE"""),0.0)</f>
        <v>0</v>
      </c>
      <c r="D9" s="128">
        <f>IFERROR(__xludf.DUMMYFUNCTION("""COMPUTED_VALUE"""),0.0)</f>
        <v>0</v>
      </c>
      <c r="E9" s="128">
        <f>IFERROR(__xludf.DUMMYFUNCTION("""COMPUTED_VALUE"""),0.0)</f>
        <v>0</v>
      </c>
      <c r="F9" s="128">
        <f>IFERROR(__xludf.DUMMYFUNCTION("""COMPUTED_VALUE"""),0.0)</f>
        <v>0</v>
      </c>
      <c r="G9" s="129">
        <f>IFERROR(__xludf.DUMMYFUNCTION("""COMPUTED_VALUE"""),0.0)</f>
        <v>0</v>
      </c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>
      <c r="A10" s="117"/>
      <c r="B10" s="134" t="str">
        <f>IFERROR(__xludf.DUMMYFUNCTION("""COMPUTED_VALUE"""),"TAAS")</f>
        <v>TAAS</v>
      </c>
      <c r="C10" s="131">
        <f>IFERROR(__xludf.DUMMYFUNCTION("""COMPUTED_VALUE"""),0.0)</f>
        <v>0</v>
      </c>
      <c r="D10" s="131">
        <f>IFERROR(__xludf.DUMMYFUNCTION("""COMPUTED_VALUE"""),0.0)</f>
        <v>0</v>
      </c>
      <c r="E10" s="131">
        <f>IFERROR(__xludf.DUMMYFUNCTION("""COMPUTED_VALUE"""),0.0)</f>
        <v>0</v>
      </c>
      <c r="F10" s="131">
        <f>IFERROR(__xludf.DUMMYFUNCTION("""COMPUTED_VALUE"""),0.0)</f>
        <v>0</v>
      </c>
      <c r="G10" s="132">
        <f>IFERROR(__xludf.DUMMYFUNCTION("""COMPUTED_VALUE"""),0.0)</f>
        <v>0</v>
      </c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>
      <c r="A11" s="117"/>
      <c r="B11" s="117"/>
      <c r="C11" s="116"/>
      <c r="D11" s="116"/>
      <c r="E11" s="116"/>
      <c r="F11" s="116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>
      <c r="A12" s="117"/>
      <c r="B12" s="123" t="str">
        <f>IFERROR(__xludf.DUMMYFUNCTION("""COMPUTED_VALUE"""),"Returns Items Cost")</f>
        <v>Returns Items Cost</v>
      </c>
      <c r="C12" s="152">
        <f>IFERROR(__xludf.DUMMYFUNCTION("""COMPUTED_VALUE"""),-3729.4399999999996)</f>
        <v>-3729.44</v>
      </c>
      <c r="D12" s="152">
        <f>IFERROR(__xludf.DUMMYFUNCTION("""COMPUTED_VALUE"""),-377.53999999999996)</f>
        <v>-377.54</v>
      </c>
      <c r="E12" s="152">
        <f>IFERROR(__xludf.DUMMYFUNCTION("""COMPUTED_VALUE"""),0.0)</f>
        <v>0</v>
      </c>
      <c r="F12" s="152">
        <f>IFERROR(__xludf.DUMMYFUNCTION("""COMPUTED_VALUE"""),0.0)</f>
        <v>0</v>
      </c>
      <c r="G12" s="153">
        <f>IFERROR(__xludf.DUMMYFUNCTION("""COMPUTED_VALUE"""),0.0)</f>
        <v>0</v>
      </c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>
      <c r="A13" s="117"/>
      <c r="B13" s="138" t="str">
        <f>IFERROR(__xludf.DUMMYFUNCTION("""COMPUTED_VALUE"""),"Keystone")</f>
        <v>Keystone</v>
      </c>
      <c r="C13" s="124">
        <f>IFERROR(__xludf.DUMMYFUNCTION("""COMPUTED_VALUE"""),-3729.4399999999996)</f>
        <v>-3729.44</v>
      </c>
      <c r="D13" s="124">
        <f>IFERROR(__xludf.DUMMYFUNCTION("""COMPUTED_VALUE"""),-377.53999999999996)</f>
        <v>-377.54</v>
      </c>
      <c r="E13" s="124">
        <f>IFERROR(__xludf.DUMMYFUNCTION("""COMPUTED_VALUE"""),0.0)</f>
        <v>0</v>
      </c>
      <c r="F13" s="124">
        <f>IFERROR(__xludf.DUMMYFUNCTION("""COMPUTED_VALUE"""),0.0)</f>
        <v>0</v>
      </c>
      <c r="G13" s="125">
        <f>IFERROR(__xludf.DUMMYFUNCTION("""COMPUTED_VALUE"""),0.0)</f>
        <v>0</v>
      </c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>
      <c r="A14" s="117"/>
      <c r="B14" s="133" t="str">
        <f>IFERROR(__xludf.DUMMYFUNCTION("""COMPUTED_VALUE"""),"eBay")</f>
        <v>eBay</v>
      </c>
      <c r="C14" s="128">
        <f>IFERROR(__xludf.DUMMYFUNCTION("""COMPUTED_VALUE"""),0.0)</f>
        <v>0</v>
      </c>
      <c r="D14" s="128">
        <f>IFERROR(__xludf.DUMMYFUNCTION("""COMPUTED_VALUE"""),0.0)</f>
        <v>0</v>
      </c>
      <c r="E14" s="128">
        <f>IFERROR(__xludf.DUMMYFUNCTION("""COMPUTED_VALUE"""),0.0)</f>
        <v>0</v>
      </c>
      <c r="F14" s="128">
        <f>IFERROR(__xludf.DUMMYFUNCTION("""COMPUTED_VALUE"""),0.0)</f>
        <v>0</v>
      </c>
      <c r="G14" s="129">
        <f>IFERROR(__xludf.DUMMYFUNCTION("""COMPUTED_VALUE"""),0.0)</f>
        <v>0</v>
      </c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>
      <c r="A15" s="117"/>
      <c r="B15" s="134" t="str">
        <f>IFERROR(__xludf.DUMMYFUNCTION("""COMPUTED_VALUE"""),"TAAS")</f>
        <v>TAAS</v>
      </c>
      <c r="C15" s="131">
        <f>IFERROR(__xludf.DUMMYFUNCTION("""COMPUTED_VALUE"""),0.0)</f>
        <v>0</v>
      </c>
      <c r="D15" s="131">
        <f>IFERROR(__xludf.DUMMYFUNCTION("""COMPUTED_VALUE"""),0.0)</f>
        <v>0</v>
      </c>
      <c r="E15" s="131">
        <f>IFERROR(__xludf.DUMMYFUNCTION("""COMPUTED_VALUE"""),0.0)</f>
        <v>0</v>
      </c>
      <c r="F15" s="131">
        <f>IFERROR(__xludf.DUMMYFUNCTION("""COMPUTED_VALUE"""),0.0)</f>
        <v>0</v>
      </c>
      <c r="G15" s="132">
        <f>IFERROR(__xludf.DUMMYFUNCTION("""COMPUTED_VALUE"""),0.0)</f>
        <v>0</v>
      </c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>
      <c r="A16" s="117"/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>
      <c r="A17" s="117"/>
      <c r="B17" s="117"/>
      <c r="C17" s="116"/>
      <c r="D17" s="116"/>
      <c r="E17" s="116"/>
      <c r="F17" s="116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>
      <c r="A18" s="117"/>
      <c r="B18" s="135" t="str">
        <f>IFERROR(__xludf.DUMMYFUNCTION("""COMPUTED_VALUE"""),"Other Fees")</f>
        <v>Other Fees</v>
      </c>
      <c r="C18" s="136">
        <f>IFERROR(__xludf.DUMMYFUNCTION("""COMPUTED_VALUE"""),-540.2499999999995)</f>
        <v>-540.25</v>
      </c>
      <c r="D18" s="136">
        <f>IFERROR(__xludf.DUMMYFUNCTION("""COMPUTED_VALUE"""),-55.93)</f>
        <v>-55.93</v>
      </c>
      <c r="E18" s="136">
        <f>IFERROR(__xludf.DUMMYFUNCTION("""COMPUTED_VALUE"""),0.0)</f>
        <v>0</v>
      </c>
      <c r="F18" s="136">
        <f>IFERROR(__xludf.DUMMYFUNCTION("""COMPUTED_VALUE"""),0.0)</f>
        <v>0</v>
      </c>
      <c r="G18" s="137">
        <f>IFERROR(__xludf.DUMMYFUNCTION("""COMPUTED_VALUE"""),0.0)</f>
        <v>0</v>
      </c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>
      <c r="A19" s="117"/>
      <c r="B19" s="134" t="str">
        <f>IFERROR(__xludf.DUMMYFUNCTION("""COMPUTED_VALUE"""),"Adjustment Charges")</f>
        <v>Adjustment Charges</v>
      </c>
      <c r="C19" s="131">
        <f>IFERROR(__xludf.DUMMYFUNCTION("""COMPUTED_VALUE"""),-540.2499999999995)</f>
        <v>-540.25</v>
      </c>
      <c r="D19" s="131">
        <f>IFERROR(__xludf.DUMMYFUNCTION("""COMPUTED_VALUE"""),-55.93)</f>
        <v>-55.93</v>
      </c>
      <c r="E19" s="131">
        <f>IFERROR(__xludf.DUMMYFUNCTION("""COMPUTED_VALUE"""),0.0)</f>
        <v>0</v>
      </c>
      <c r="F19" s="131">
        <f>IFERROR(__xludf.DUMMYFUNCTION("""COMPUTED_VALUE"""),0.0)</f>
        <v>0</v>
      </c>
      <c r="G19" s="132">
        <f>IFERROR(__xludf.DUMMYFUNCTION("""COMPUTED_VALUE"""),0.0)</f>
        <v>0</v>
      </c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>
      <c r="A20" s="117"/>
      <c r="B20" s="117"/>
      <c r="C20" s="116"/>
      <c r="D20" s="116"/>
      <c r="E20" s="116"/>
      <c r="F20" s="116"/>
      <c r="G20" s="116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>
      <c r="A21" s="117"/>
      <c r="B21" s="123" t="str">
        <f>IFERROR(__xludf.DUMMYFUNCTION("""COMPUTED_VALUE"""),"Purchase Reconciliations")</f>
        <v>Purchase Reconciliations</v>
      </c>
      <c r="C21" s="139"/>
      <c r="D21" s="139"/>
      <c r="E21" s="139"/>
      <c r="F21" s="139"/>
      <c r="G21" s="140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>
      <c r="A22" s="117"/>
      <c r="B22" s="126" t="str">
        <f>IFERROR(__xludf.DUMMYFUNCTION("""COMPUTED_VALUE"""),"Keystone")</f>
        <v>Keystone</v>
      </c>
      <c r="C22" s="85">
        <f>IFERROR(__xludf.DUMMYFUNCTION("""COMPUTED_VALUE"""),17711.51)</f>
        <v>17711.51</v>
      </c>
      <c r="D22" s="85">
        <f>IFERROR(__xludf.DUMMYFUNCTION("""COMPUTED_VALUE"""),2265.5899999999997)</f>
        <v>2265.59</v>
      </c>
      <c r="E22" s="85">
        <f>IFERROR(__xludf.DUMMYFUNCTION("""COMPUTED_VALUE"""),0.0)</f>
        <v>0</v>
      </c>
      <c r="F22" s="85">
        <f>IFERROR(__xludf.DUMMYFUNCTION("""COMPUTED_VALUE"""),0.0)</f>
        <v>0</v>
      </c>
      <c r="G22" s="86">
        <f>IFERROR(__xludf.DUMMYFUNCTION("""COMPUTED_VALUE"""),0.0)</f>
        <v>0</v>
      </c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>
      <c r="A23" s="117"/>
      <c r="B23" s="126" t="str">
        <f>IFERROR(__xludf.DUMMYFUNCTION("""COMPUTED_VALUE"""),"TAAS")</f>
        <v>TAAS</v>
      </c>
      <c r="C23" s="85">
        <f>IFERROR(__xludf.DUMMYFUNCTION("""COMPUTED_VALUE"""),0.0)</f>
        <v>0</v>
      </c>
      <c r="D23" s="85">
        <f>IFERROR(__xludf.DUMMYFUNCTION("""COMPUTED_VALUE"""),0.0)</f>
        <v>0</v>
      </c>
      <c r="E23" s="85">
        <f>IFERROR(__xludf.DUMMYFUNCTION("""COMPUTED_VALUE"""),0.0)</f>
        <v>0</v>
      </c>
      <c r="F23" s="85">
        <f>IFERROR(__xludf.DUMMYFUNCTION("""COMPUTED_VALUE"""),0.0)</f>
        <v>0</v>
      </c>
      <c r="G23" s="86">
        <f>IFERROR(__xludf.DUMMYFUNCTION("""COMPUTED_VALUE"""),0.0)</f>
        <v>0</v>
      </c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>
      <c r="A24" s="117"/>
      <c r="B24" s="141" t="str">
        <f>IFERROR(__xludf.DUMMYFUNCTION("""COMPUTED_VALUE"""),"eBay")</f>
        <v>eBay</v>
      </c>
      <c r="C24" s="142">
        <f>IFERROR(__xludf.DUMMYFUNCTION("""COMPUTED_VALUE"""),0.0)</f>
        <v>0</v>
      </c>
      <c r="D24" s="142">
        <f>IFERROR(__xludf.DUMMYFUNCTION("""COMPUTED_VALUE"""),0.0)</f>
        <v>0</v>
      </c>
      <c r="E24" s="142">
        <f>IFERROR(__xludf.DUMMYFUNCTION("""COMPUTED_VALUE"""),0.0)</f>
        <v>0</v>
      </c>
      <c r="F24" s="142">
        <f>IFERROR(__xludf.DUMMYFUNCTION("""COMPUTED_VALUE"""),0.0)</f>
        <v>0</v>
      </c>
      <c r="G24" s="143">
        <f>IFERROR(__xludf.DUMMYFUNCTION("""COMPUTED_VALUE"""),0.0)</f>
        <v>0</v>
      </c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>
      <c r="A25" s="117"/>
      <c r="B25" s="117"/>
      <c r="C25" s="116"/>
      <c r="D25" s="116"/>
      <c r="E25" s="116"/>
      <c r="F25" s="116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>
      <c r="A26" s="117"/>
      <c r="B26" s="118" t="str">
        <f>IFERROR(__xludf.DUMMYFUNCTION("""COMPUTED_VALUE"""),"Sales")</f>
        <v>Sales</v>
      </c>
      <c r="C26" s="4" t="str">
        <f>IFERROR(__xludf.DUMMYFUNCTION("""COMPUTED_VALUE"""),"Year to Date")</f>
        <v>Year to Date</v>
      </c>
      <c r="D26" s="4" t="str">
        <f>IFERROR(__xludf.DUMMYFUNCTION("""COMPUTED_VALUE"""),"Last Month")</f>
        <v>Last Month</v>
      </c>
      <c r="E26" s="4" t="str">
        <f>IFERROR(__xludf.DUMMYFUNCTION("""COMPUTED_VALUE"""),"Month to Date")</f>
        <v>Month to Date</v>
      </c>
      <c r="F26" s="5" t="str">
        <f>IFERROR(__xludf.DUMMYFUNCTION("""COMPUTED_VALUE"""),"This Week")</f>
        <v>This Week</v>
      </c>
      <c r="G26" s="6" t="str">
        <f>IFERROR(__xludf.DUMMYFUNCTION("""COMPUTED_VALUE"""),"Last Week")</f>
        <v>Last Week</v>
      </c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>
      <c r="A27" s="117"/>
      <c r="B27" s="119"/>
      <c r="C27" s="120">
        <f>IFERROR(__xludf.DUMMYFUNCTION("""COMPUTED_VALUE"""),2025.0)</f>
        <v>2025</v>
      </c>
      <c r="D27" s="121" t="str">
        <f>IFERROR(__xludf.DUMMYFUNCTION("""COMPUTED_VALUE"""),"November")</f>
        <v>November</v>
      </c>
      <c r="E27" s="121" t="str">
        <f>IFERROR(__xludf.DUMMYFUNCTION("""COMPUTED_VALUE"""),"December")</f>
        <v>December</v>
      </c>
      <c r="F27" s="122">
        <f>IFERROR(__xludf.DUMMYFUNCTION("""COMPUTED_VALUE"""),45999.0)</f>
        <v>45999</v>
      </c>
      <c r="G27" s="144">
        <f>IFERROR(__xludf.DUMMYFUNCTION("""COMPUTED_VALUE"""),45992.0)</f>
        <v>45992</v>
      </c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>
      <c r="A28" s="117"/>
      <c r="B28" s="138" t="str">
        <f>IFERROR(__xludf.DUMMYFUNCTION("""COMPUTED_VALUE"""),"All Vendors")</f>
        <v>All Vendors</v>
      </c>
      <c r="C28" s="124">
        <f>IFERROR(__xludf.DUMMYFUNCTION("""COMPUTED_VALUE"""),33273.99999999999)</f>
        <v>33274</v>
      </c>
      <c r="D28" s="124">
        <f>IFERROR(__xludf.DUMMYFUNCTION("""COMPUTED_VALUE"""),4244.8)</f>
        <v>4244.8</v>
      </c>
      <c r="E28" s="124">
        <f>IFERROR(__xludf.DUMMYFUNCTION("""COMPUTED_VALUE"""),0.0)</f>
        <v>0</v>
      </c>
      <c r="F28" s="124">
        <f>IFERROR(__xludf.DUMMYFUNCTION("""COMPUTED_VALUE"""),0.0)</f>
        <v>0</v>
      </c>
      <c r="G28" s="125">
        <f>IFERROR(__xludf.DUMMYFUNCTION("""COMPUTED_VALUE"""),0.0)</f>
        <v>0</v>
      </c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>
      <c r="A29" s="117"/>
      <c r="B29" s="133" t="str">
        <f>IFERROR(__xludf.DUMMYFUNCTION("""COMPUTED_VALUE"""),"Keystone")</f>
        <v>Keystone</v>
      </c>
      <c r="C29" s="128">
        <f>IFERROR(__xludf.DUMMYFUNCTION("""COMPUTED_VALUE"""),33273.99999999999)</f>
        <v>33274</v>
      </c>
      <c r="D29" s="128">
        <f>IFERROR(__xludf.DUMMYFUNCTION("""COMPUTED_VALUE"""),4244.8)</f>
        <v>4244.8</v>
      </c>
      <c r="E29" s="128">
        <f>IFERROR(__xludf.DUMMYFUNCTION("""COMPUTED_VALUE"""),0.0)</f>
        <v>0</v>
      </c>
      <c r="F29" s="128">
        <f>IFERROR(__xludf.DUMMYFUNCTION("""COMPUTED_VALUE"""),0.0)</f>
        <v>0</v>
      </c>
      <c r="G29" s="129">
        <f>IFERROR(__xludf.DUMMYFUNCTION("""COMPUTED_VALUE"""),0.0)</f>
        <v>0</v>
      </c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>
      <c r="A30" s="117"/>
      <c r="B30" s="133" t="str">
        <f>IFERROR(__xludf.DUMMYFUNCTION("""COMPUTED_VALUE"""),"eBay")</f>
        <v>eBay</v>
      </c>
      <c r="C30" s="128">
        <f>IFERROR(__xludf.DUMMYFUNCTION("""COMPUTED_VALUE"""),0.0)</f>
        <v>0</v>
      </c>
      <c r="D30" s="128">
        <f>IFERROR(__xludf.DUMMYFUNCTION("""COMPUTED_VALUE"""),0.0)</f>
        <v>0</v>
      </c>
      <c r="E30" s="128">
        <f>IFERROR(__xludf.DUMMYFUNCTION("""COMPUTED_VALUE"""),0.0)</f>
        <v>0</v>
      </c>
      <c r="F30" s="128">
        <f>IFERROR(__xludf.DUMMYFUNCTION("""COMPUTED_VALUE"""),0.0)</f>
        <v>0</v>
      </c>
      <c r="G30" s="129">
        <f>IFERROR(__xludf.DUMMYFUNCTION("""COMPUTED_VALUE"""),0.0)</f>
        <v>0</v>
      </c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>
      <c r="A31" s="117"/>
      <c r="B31" s="134" t="str">
        <f>IFERROR(__xludf.DUMMYFUNCTION("""COMPUTED_VALUE"""),"TAAS")</f>
        <v>TAAS</v>
      </c>
      <c r="C31" s="131">
        <f>IFERROR(__xludf.DUMMYFUNCTION("""COMPUTED_VALUE"""),0.0)</f>
        <v>0</v>
      </c>
      <c r="D31" s="131">
        <f>IFERROR(__xludf.DUMMYFUNCTION("""COMPUTED_VALUE"""),0.0)</f>
        <v>0</v>
      </c>
      <c r="E31" s="131">
        <f>IFERROR(__xludf.DUMMYFUNCTION("""COMPUTED_VALUE"""),0.0)</f>
        <v>0</v>
      </c>
      <c r="F31" s="131">
        <f>IFERROR(__xludf.DUMMYFUNCTION("""COMPUTED_VALUE"""),0.0)</f>
        <v>0</v>
      </c>
      <c r="G31" s="132">
        <f>IFERROR(__xludf.DUMMYFUNCTION("""COMPUTED_VALUE"""),0.0)</f>
        <v>0</v>
      </c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>
      <c r="A32" s="117"/>
      <c r="B32" s="117"/>
      <c r="C32" s="116"/>
      <c r="D32" s="116"/>
      <c r="E32" s="116"/>
      <c r="F32" s="116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>
      <c r="A33" s="117"/>
      <c r="B33" s="146" t="str">
        <f>IFERROR(__xludf.DUMMYFUNCTION("""COMPUTED_VALUE"""),"Ads and Campaigns")</f>
        <v>Ads and Campaigns</v>
      </c>
      <c r="C33" s="147"/>
      <c r="D33" s="147"/>
      <c r="E33" s="147"/>
      <c r="F33" s="147"/>
      <c r="G33" s="148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>
      <c r="A34" s="117"/>
      <c r="B34" s="117"/>
      <c r="C34" s="116"/>
      <c r="D34" s="116"/>
      <c r="E34" s="116"/>
      <c r="F34" s="116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>
      <c r="A520" s="117"/>
      <c r="B520" s="117"/>
      <c r="C520" s="117"/>
      <c r="D520" s="117"/>
      <c r="E520" s="117"/>
      <c r="F520" s="117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>
      <c r="A521" s="117"/>
      <c r="B521" s="117"/>
      <c r="C521" s="117"/>
      <c r="D521" s="117"/>
      <c r="E521" s="117"/>
      <c r="F521" s="117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>
      <c r="A522" s="117"/>
      <c r="B522" s="117"/>
      <c r="C522" s="117"/>
      <c r="D522" s="117"/>
      <c r="E522" s="117"/>
      <c r="F522" s="117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>
      <c r="A523" s="117"/>
      <c r="B523" s="117"/>
      <c r="C523" s="117"/>
      <c r="D523" s="117"/>
      <c r="E523" s="117"/>
      <c r="F523" s="117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>
      <c r="A524" s="117"/>
      <c r="B524" s="117"/>
      <c r="C524" s="117"/>
      <c r="D524" s="117"/>
      <c r="E524" s="117"/>
      <c r="F524" s="117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>
      <c r="A525" s="117"/>
      <c r="B525" s="117"/>
      <c r="C525" s="117"/>
      <c r="D525" s="117"/>
      <c r="E525" s="117"/>
      <c r="F525" s="117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>
      <c r="A526" s="117"/>
      <c r="B526" s="117"/>
      <c r="C526" s="117"/>
      <c r="D526" s="117"/>
      <c r="E526" s="117"/>
      <c r="F526" s="117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>
      <c r="A527" s="117"/>
      <c r="B527" s="117"/>
      <c r="C527" s="117"/>
      <c r="D527" s="117"/>
      <c r="E527" s="117"/>
      <c r="F527" s="117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>
      <c r="A528" s="117"/>
      <c r="B528" s="117"/>
      <c r="C528" s="117"/>
      <c r="D528" s="117"/>
      <c r="E528" s="117"/>
      <c r="F528" s="117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>
      <c r="A529" s="117"/>
      <c r="B529" s="117"/>
      <c r="C529" s="117"/>
      <c r="D529" s="117"/>
      <c r="E529" s="117"/>
      <c r="F529" s="117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>
      <c r="A530" s="117"/>
      <c r="B530" s="117"/>
      <c r="C530" s="117"/>
      <c r="D530" s="117"/>
      <c r="E530" s="117"/>
      <c r="F530" s="117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>
      <c r="A531" s="117"/>
      <c r="B531" s="117"/>
      <c r="C531" s="117"/>
      <c r="D531" s="117"/>
      <c r="E531" s="117"/>
      <c r="F531" s="117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>
      <c r="A532" s="117"/>
      <c r="B532" s="117"/>
      <c r="C532" s="117"/>
      <c r="D532" s="117"/>
      <c r="E532" s="117"/>
      <c r="F532" s="117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>
      <c r="A533" s="117"/>
      <c r="B533" s="117"/>
      <c r="C533" s="117"/>
      <c r="D533" s="117"/>
      <c r="E533" s="117"/>
      <c r="F533" s="117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>
      <c r="A534" s="117"/>
      <c r="B534" s="117"/>
      <c r="C534" s="117"/>
      <c r="D534" s="117"/>
      <c r="E534" s="117"/>
      <c r="F534" s="117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>
      <c r="A535" s="117"/>
      <c r="B535" s="117"/>
      <c r="C535" s="117"/>
      <c r="D535" s="117"/>
      <c r="E535" s="117"/>
      <c r="F535" s="117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>
      <c r="A536" s="117"/>
      <c r="B536" s="117"/>
      <c r="C536" s="117"/>
      <c r="D536" s="117"/>
      <c r="E536" s="117"/>
      <c r="F536" s="117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>
      <c r="A537" s="117"/>
      <c r="B537" s="117"/>
      <c r="C537" s="117"/>
      <c r="D537" s="117"/>
      <c r="E537" s="117"/>
      <c r="F537" s="117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>
      <c r="A538" s="117"/>
      <c r="B538" s="117"/>
      <c r="C538" s="117"/>
      <c r="D538" s="117"/>
      <c r="E538" s="117"/>
      <c r="F538" s="117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>
      <c r="A539" s="117"/>
      <c r="B539" s="117"/>
      <c r="C539" s="117"/>
      <c r="D539" s="117"/>
      <c r="E539" s="117"/>
      <c r="F539" s="117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>
      <c r="A540" s="117"/>
      <c r="B540" s="117"/>
      <c r="C540" s="117"/>
      <c r="D540" s="117"/>
      <c r="E540" s="117"/>
      <c r="F540" s="117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>
      <c r="A541" s="117"/>
      <c r="B541" s="117"/>
      <c r="C541" s="117"/>
      <c r="D541" s="117"/>
      <c r="E541" s="117"/>
      <c r="F541" s="117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>
      <c r="A542" s="117"/>
      <c r="B542" s="117"/>
      <c r="C542" s="117"/>
      <c r="D542" s="117"/>
      <c r="E542" s="117"/>
      <c r="F542" s="117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>
      <c r="A543" s="117"/>
      <c r="B543" s="117"/>
      <c r="C543" s="117"/>
      <c r="D543" s="117"/>
      <c r="E543" s="117"/>
      <c r="F543" s="117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>
      <c r="A544" s="117"/>
      <c r="B544" s="117"/>
      <c r="C544" s="117"/>
      <c r="D544" s="117"/>
      <c r="E544" s="117"/>
      <c r="F544" s="117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>
      <c r="A545" s="117"/>
      <c r="B545" s="117"/>
      <c r="C545" s="117"/>
      <c r="D545" s="117"/>
      <c r="E545" s="117"/>
      <c r="F545" s="117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>
      <c r="A546" s="117"/>
      <c r="B546" s="117"/>
      <c r="C546" s="117"/>
      <c r="D546" s="117"/>
      <c r="E546" s="117"/>
      <c r="F546" s="117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>
      <c r="A547" s="117"/>
      <c r="B547" s="117"/>
      <c r="C547" s="117"/>
      <c r="D547" s="117"/>
      <c r="E547" s="117"/>
      <c r="F547" s="117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>
      <c r="A548" s="117"/>
      <c r="B548" s="117"/>
      <c r="C548" s="117"/>
      <c r="D548" s="117"/>
      <c r="E548" s="117"/>
      <c r="F548" s="117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>
      <c r="A549" s="117"/>
      <c r="B549" s="117"/>
      <c r="C549" s="117"/>
      <c r="D549" s="117"/>
      <c r="E549" s="117"/>
      <c r="F549" s="117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>
      <c r="A550" s="117"/>
      <c r="B550" s="117"/>
      <c r="C550" s="117"/>
      <c r="D550" s="117"/>
      <c r="E550" s="117"/>
      <c r="F550" s="117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>
      <c r="A551" s="117"/>
      <c r="B551" s="117"/>
      <c r="C551" s="117"/>
      <c r="D551" s="117"/>
      <c r="E551" s="117"/>
      <c r="F551" s="117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>
      <c r="A552" s="117"/>
      <c r="B552" s="117"/>
      <c r="C552" s="117"/>
      <c r="D552" s="117"/>
      <c r="E552" s="117"/>
      <c r="F552" s="117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>
      <c r="A553" s="117"/>
      <c r="B553" s="117"/>
      <c r="C553" s="117"/>
      <c r="D553" s="117"/>
      <c r="E553" s="117"/>
      <c r="F553" s="117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>
      <c r="A554" s="117"/>
      <c r="B554" s="117"/>
      <c r="C554" s="117"/>
      <c r="D554" s="117"/>
      <c r="E554" s="117"/>
      <c r="F554" s="117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>
      <c r="A555" s="117"/>
      <c r="B555" s="117"/>
      <c r="C555" s="117"/>
      <c r="D555" s="117"/>
      <c r="E555" s="117"/>
      <c r="F555" s="117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>
      <c r="A556" s="117"/>
      <c r="B556" s="117"/>
      <c r="C556" s="117"/>
      <c r="D556" s="117"/>
      <c r="E556" s="117"/>
      <c r="F556" s="117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>
      <c r="A557" s="117"/>
      <c r="B557" s="117"/>
      <c r="C557" s="117"/>
      <c r="D557" s="117"/>
      <c r="E557" s="117"/>
      <c r="F557" s="117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>
      <c r="A558" s="117"/>
      <c r="B558" s="117"/>
      <c r="C558" s="117"/>
      <c r="D558" s="117"/>
      <c r="E558" s="117"/>
      <c r="F558" s="117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</row>
    <row r="559">
      <c r="A559" s="117"/>
      <c r="B559" s="117"/>
      <c r="C559" s="117"/>
      <c r="D559" s="117"/>
      <c r="E559" s="117"/>
      <c r="F559" s="117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</row>
    <row r="560">
      <c r="A560" s="117"/>
      <c r="B560" s="117"/>
      <c r="C560" s="117"/>
      <c r="D560" s="117"/>
      <c r="E560" s="117"/>
      <c r="F560" s="117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</row>
    <row r="561">
      <c r="A561" s="117"/>
      <c r="B561" s="117"/>
      <c r="C561" s="117"/>
      <c r="D561" s="117"/>
      <c r="E561" s="117"/>
      <c r="F561" s="117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</row>
    <row r="562">
      <c r="A562" s="117"/>
      <c r="B562" s="117"/>
      <c r="C562" s="117"/>
      <c r="D562" s="117"/>
      <c r="E562" s="117"/>
      <c r="F562" s="117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</row>
    <row r="563">
      <c r="A563" s="117"/>
      <c r="B563" s="117"/>
      <c r="C563" s="117"/>
      <c r="D563" s="117"/>
      <c r="E563" s="117"/>
      <c r="F563" s="117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</row>
    <row r="564">
      <c r="A564" s="117"/>
      <c r="B564" s="117"/>
      <c r="C564" s="117"/>
      <c r="D564" s="117"/>
      <c r="E564" s="117"/>
      <c r="F564" s="117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</row>
    <row r="565">
      <c r="A565" s="117"/>
      <c r="B565" s="117"/>
      <c r="C565" s="117"/>
      <c r="D565" s="117"/>
      <c r="E565" s="117"/>
      <c r="F565" s="117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</row>
    <row r="566">
      <c r="A566" s="117"/>
      <c r="B566" s="117"/>
      <c r="C566" s="117"/>
      <c r="D566" s="117"/>
      <c r="E566" s="117"/>
      <c r="F566" s="117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</row>
    <row r="567">
      <c r="A567" s="117"/>
      <c r="B567" s="117"/>
      <c r="C567" s="117"/>
      <c r="D567" s="117"/>
      <c r="E567" s="117"/>
      <c r="F567" s="117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</row>
    <row r="568">
      <c r="A568" s="117"/>
      <c r="B568" s="117"/>
      <c r="C568" s="117"/>
      <c r="D568" s="117"/>
      <c r="E568" s="117"/>
      <c r="F568" s="117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</row>
    <row r="569">
      <c r="A569" s="117"/>
      <c r="B569" s="117"/>
      <c r="C569" s="117"/>
      <c r="D569" s="117"/>
      <c r="E569" s="117"/>
      <c r="F569" s="117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</row>
    <row r="570">
      <c r="A570" s="117"/>
      <c r="B570" s="117"/>
      <c r="C570" s="117"/>
      <c r="D570" s="117"/>
      <c r="E570" s="117"/>
      <c r="F570" s="117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</row>
    <row r="571">
      <c r="A571" s="117"/>
      <c r="B571" s="117"/>
      <c r="C571" s="117"/>
      <c r="D571" s="117"/>
      <c r="E571" s="117"/>
      <c r="F571" s="117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</row>
    <row r="572">
      <c r="A572" s="117"/>
      <c r="B572" s="117"/>
      <c r="C572" s="117"/>
      <c r="D572" s="117"/>
      <c r="E572" s="117"/>
      <c r="F572" s="117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</row>
    <row r="573">
      <c r="A573" s="117"/>
      <c r="B573" s="117"/>
      <c r="C573" s="117"/>
      <c r="D573" s="117"/>
      <c r="E573" s="117"/>
      <c r="F573" s="117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</row>
    <row r="574">
      <c r="A574" s="117"/>
      <c r="B574" s="117"/>
      <c r="C574" s="117"/>
      <c r="D574" s="117"/>
      <c r="E574" s="117"/>
      <c r="F574" s="117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</row>
    <row r="575">
      <c r="A575" s="117"/>
      <c r="B575" s="117"/>
      <c r="C575" s="117"/>
      <c r="D575" s="117"/>
      <c r="E575" s="117"/>
      <c r="F575" s="117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</row>
    <row r="576">
      <c r="A576" s="117"/>
      <c r="B576" s="117"/>
      <c r="C576" s="117"/>
      <c r="D576" s="117"/>
      <c r="E576" s="117"/>
      <c r="F576" s="117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</row>
    <row r="577">
      <c r="A577" s="117"/>
      <c r="B577" s="117"/>
      <c r="C577" s="117"/>
      <c r="D577" s="117"/>
      <c r="E577" s="117"/>
      <c r="F577" s="117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</row>
    <row r="578">
      <c r="A578" s="117"/>
      <c r="B578" s="117"/>
      <c r="C578" s="117"/>
      <c r="D578" s="117"/>
      <c r="E578" s="117"/>
      <c r="F578" s="117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</row>
    <row r="579">
      <c r="A579" s="117"/>
      <c r="B579" s="117"/>
      <c r="C579" s="117"/>
      <c r="D579" s="117"/>
      <c r="E579" s="117"/>
      <c r="F579" s="117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</row>
    <row r="580">
      <c r="A580" s="117"/>
      <c r="B580" s="117"/>
      <c r="C580" s="117"/>
      <c r="D580" s="117"/>
      <c r="E580" s="117"/>
      <c r="F580" s="117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</row>
    <row r="581">
      <c r="A581" s="117"/>
      <c r="B581" s="117"/>
      <c r="C581" s="117"/>
      <c r="D581" s="117"/>
      <c r="E581" s="117"/>
      <c r="F581" s="117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</row>
    <row r="582">
      <c r="A582" s="117"/>
      <c r="B582" s="117"/>
      <c r="C582" s="117"/>
      <c r="D582" s="117"/>
      <c r="E582" s="117"/>
      <c r="F582" s="117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</row>
    <row r="583">
      <c r="A583" s="117"/>
      <c r="B583" s="117"/>
      <c r="C583" s="117"/>
      <c r="D583" s="117"/>
      <c r="E583" s="117"/>
      <c r="F583" s="117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</row>
    <row r="584">
      <c r="A584" s="117"/>
      <c r="B584" s="117"/>
      <c r="C584" s="117"/>
      <c r="D584" s="117"/>
      <c r="E584" s="117"/>
      <c r="F584" s="117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</row>
    <row r="585">
      <c r="A585" s="117"/>
      <c r="B585" s="117"/>
      <c r="C585" s="117"/>
      <c r="D585" s="117"/>
      <c r="E585" s="117"/>
      <c r="F585" s="117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</row>
    <row r="586">
      <c r="A586" s="117"/>
      <c r="B586" s="117"/>
      <c r="C586" s="117"/>
      <c r="D586" s="117"/>
      <c r="E586" s="117"/>
      <c r="F586" s="117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</row>
    <row r="587">
      <c r="A587" s="117"/>
      <c r="B587" s="117"/>
      <c r="C587" s="117"/>
      <c r="D587" s="117"/>
      <c r="E587" s="117"/>
      <c r="F587" s="117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</row>
    <row r="588">
      <c r="A588" s="117"/>
      <c r="B588" s="117"/>
      <c r="C588" s="117"/>
      <c r="D588" s="117"/>
      <c r="E588" s="117"/>
      <c r="F588" s="117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</row>
    <row r="589">
      <c r="A589" s="117"/>
      <c r="B589" s="117"/>
      <c r="C589" s="117"/>
      <c r="D589" s="117"/>
      <c r="E589" s="117"/>
      <c r="F589" s="117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</row>
    <row r="590">
      <c r="A590" s="117"/>
      <c r="B590" s="117"/>
      <c r="C590" s="117"/>
      <c r="D590" s="117"/>
      <c r="E590" s="117"/>
      <c r="F590" s="117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</row>
    <row r="591">
      <c r="A591" s="117"/>
      <c r="B591" s="117"/>
      <c r="C591" s="117"/>
      <c r="D591" s="117"/>
      <c r="E591" s="117"/>
      <c r="F591" s="117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</row>
    <row r="592">
      <c r="A592" s="117"/>
      <c r="B592" s="117"/>
      <c r="C592" s="117"/>
      <c r="D592" s="117"/>
      <c r="E592" s="117"/>
      <c r="F592" s="117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</row>
    <row r="593">
      <c r="A593" s="117"/>
      <c r="B593" s="117"/>
      <c r="C593" s="117"/>
      <c r="D593" s="117"/>
      <c r="E593" s="117"/>
      <c r="F593" s="117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</row>
    <row r="594">
      <c r="A594" s="117"/>
      <c r="B594" s="117"/>
      <c r="C594" s="117"/>
      <c r="D594" s="117"/>
      <c r="E594" s="117"/>
      <c r="F594" s="117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</row>
    <row r="595">
      <c r="A595" s="117"/>
      <c r="B595" s="117"/>
      <c r="C595" s="117"/>
      <c r="D595" s="117"/>
      <c r="E595" s="117"/>
      <c r="F595" s="117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</row>
    <row r="596">
      <c r="A596" s="117"/>
      <c r="B596" s="117"/>
      <c r="C596" s="117"/>
      <c r="D596" s="117"/>
      <c r="E596" s="117"/>
      <c r="F596" s="117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</row>
    <row r="597">
      <c r="A597" s="117"/>
      <c r="B597" s="117"/>
      <c r="C597" s="117"/>
      <c r="D597" s="117"/>
      <c r="E597" s="117"/>
      <c r="F597" s="117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</row>
    <row r="598">
      <c r="A598" s="117"/>
      <c r="B598" s="117"/>
      <c r="C598" s="117"/>
      <c r="D598" s="117"/>
      <c r="E598" s="117"/>
      <c r="F598" s="117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</row>
    <row r="599">
      <c r="A599" s="117"/>
      <c r="B599" s="117"/>
      <c r="C599" s="117"/>
      <c r="D599" s="117"/>
      <c r="E599" s="117"/>
      <c r="F599" s="117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</row>
    <row r="600">
      <c r="A600" s="117"/>
      <c r="B600" s="117"/>
      <c r="C600" s="117"/>
      <c r="D600" s="117"/>
      <c r="E600" s="117"/>
      <c r="F600" s="117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</row>
    <row r="601">
      <c r="A601" s="117"/>
      <c r="B601" s="117"/>
      <c r="C601" s="117"/>
      <c r="D601" s="117"/>
      <c r="E601" s="117"/>
      <c r="F601" s="117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</row>
    <row r="602">
      <c r="A602" s="117"/>
      <c r="B602" s="117"/>
      <c r="C602" s="117"/>
      <c r="D602" s="117"/>
      <c r="E602" s="117"/>
      <c r="F602" s="117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</row>
    <row r="603">
      <c r="A603" s="117"/>
      <c r="B603" s="117"/>
      <c r="C603" s="117"/>
      <c r="D603" s="117"/>
      <c r="E603" s="117"/>
      <c r="F603" s="117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</row>
    <row r="604">
      <c r="A604" s="117"/>
      <c r="B604" s="117"/>
      <c r="C604" s="117"/>
      <c r="D604" s="117"/>
      <c r="E604" s="117"/>
      <c r="F604" s="117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</row>
    <row r="605">
      <c r="A605" s="117"/>
      <c r="B605" s="117"/>
      <c r="C605" s="117"/>
      <c r="D605" s="117"/>
      <c r="E605" s="117"/>
      <c r="F605" s="117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</row>
    <row r="606">
      <c r="A606" s="117"/>
      <c r="B606" s="117"/>
      <c r="C606" s="117"/>
      <c r="D606" s="117"/>
      <c r="E606" s="117"/>
      <c r="F606" s="117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</row>
    <row r="607">
      <c r="A607" s="117"/>
      <c r="B607" s="117"/>
      <c r="C607" s="117"/>
      <c r="D607" s="117"/>
      <c r="E607" s="117"/>
      <c r="F607" s="117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</row>
    <row r="608">
      <c r="A608" s="117"/>
      <c r="B608" s="117"/>
      <c r="C608" s="117"/>
      <c r="D608" s="117"/>
      <c r="E608" s="117"/>
      <c r="F608" s="117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</row>
    <row r="609">
      <c r="A609" s="117"/>
      <c r="B609" s="117"/>
      <c r="C609" s="117"/>
      <c r="D609" s="117"/>
      <c r="E609" s="117"/>
      <c r="F609" s="117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</row>
    <row r="610">
      <c r="A610" s="117"/>
      <c r="B610" s="117"/>
      <c r="C610" s="117"/>
      <c r="D610" s="117"/>
      <c r="E610" s="117"/>
      <c r="F610" s="117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</row>
    <row r="611">
      <c r="A611" s="117"/>
      <c r="B611" s="117"/>
      <c r="C611" s="117"/>
      <c r="D611" s="117"/>
      <c r="E611" s="117"/>
      <c r="F611" s="117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</row>
    <row r="612">
      <c r="A612" s="117"/>
      <c r="B612" s="117"/>
      <c r="C612" s="117"/>
      <c r="D612" s="117"/>
      <c r="E612" s="117"/>
      <c r="F612" s="117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</row>
    <row r="613">
      <c r="A613" s="117"/>
      <c r="B613" s="117"/>
      <c r="C613" s="117"/>
      <c r="D613" s="117"/>
      <c r="E613" s="117"/>
      <c r="F613" s="117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</row>
    <row r="614">
      <c r="A614" s="117"/>
      <c r="B614" s="117"/>
      <c r="C614" s="117"/>
      <c r="D614" s="117"/>
      <c r="E614" s="117"/>
      <c r="F614" s="117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</row>
    <row r="615">
      <c r="A615" s="117"/>
      <c r="B615" s="117"/>
      <c r="C615" s="117"/>
      <c r="D615" s="117"/>
      <c r="E615" s="117"/>
      <c r="F615" s="117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</row>
    <row r="616">
      <c r="A616" s="117"/>
      <c r="B616" s="117"/>
      <c r="C616" s="117"/>
      <c r="D616" s="117"/>
      <c r="E616" s="117"/>
      <c r="F616" s="117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</row>
    <row r="617">
      <c r="A617" s="117"/>
      <c r="B617" s="117"/>
      <c r="C617" s="117"/>
      <c r="D617" s="117"/>
      <c r="E617" s="117"/>
      <c r="F617" s="117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</row>
    <row r="618">
      <c r="A618" s="117"/>
      <c r="B618" s="117"/>
      <c r="C618" s="117"/>
      <c r="D618" s="117"/>
      <c r="E618" s="117"/>
      <c r="F618" s="117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</row>
    <row r="619">
      <c r="A619" s="117"/>
      <c r="B619" s="117"/>
      <c r="C619" s="117"/>
      <c r="D619" s="117"/>
      <c r="E619" s="117"/>
      <c r="F619" s="117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</row>
    <row r="620">
      <c r="A620" s="117"/>
      <c r="B620" s="117"/>
      <c r="C620" s="117"/>
      <c r="D620" s="117"/>
      <c r="E620" s="117"/>
      <c r="F620" s="117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</row>
    <row r="621">
      <c r="A621" s="117"/>
      <c r="B621" s="117"/>
      <c r="C621" s="117"/>
      <c r="D621" s="117"/>
      <c r="E621" s="117"/>
      <c r="F621" s="117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</row>
    <row r="622">
      <c r="A622" s="117"/>
      <c r="B622" s="117"/>
      <c r="C622" s="117"/>
      <c r="D622" s="117"/>
      <c r="E622" s="117"/>
      <c r="F622" s="117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</row>
    <row r="623">
      <c r="A623" s="117"/>
      <c r="B623" s="117"/>
      <c r="C623" s="117"/>
      <c r="D623" s="117"/>
      <c r="E623" s="117"/>
      <c r="F623" s="117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</row>
    <row r="624">
      <c r="A624" s="117"/>
      <c r="B624" s="117"/>
      <c r="C624" s="117"/>
      <c r="D624" s="117"/>
      <c r="E624" s="117"/>
      <c r="F624" s="117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</row>
    <row r="625">
      <c r="A625" s="117"/>
      <c r="B625" s="117"/>
      <c r="C625" s="117"/>
      <c r="D625" s="117"/>
      <c r="E625" s="117"/>
      <c r="F625" s="117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</row>
    <row r="626">
      <c r="A626" s="117"/>
      <c r="B626" s="117"/>
      <c r="C626" s="117"/>
      <c r="D626" s="117"/>
      <c r="E626" s="117"/>
      <c r="F626" s="117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</row>
    <row r="627">
      <c r="A627" s="117"/>
      <c r="B627" s="117"/>
      <c r="C627" s="117"/>
      <c r="D627" s="117"/>
      <c r="E627" s="117"/>
      <c r="F627" s="117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</row>
    <row r="628">
      <c r="A628" s="117"/>
      <c r="B628" s="117"/>
      <c r="C628" s="117"/>
      <c r="D628" s="117"/>
      <c r="E628" s="117"/>
      <c r="F628" s="117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</row>
    <row r="629">
      <c r="A629" s="117"/>
      <c r="B629" s="117"/>
      <c r="C629" s="117"/>
      <c r="D629" s="117"/>
      <c r="E629" s="117"/>
      <c r="F629" s="117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</row>
    <row r="630">
      <c r="A630" s="117"/>
      <c r="B630" s="117"/>
      <c r="C630" s="117"/>
      <c r="D630" s="117"/>
      <c r="E630" s="117"/>
      <c r="F630" s="117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</row>
    <row r="631">
      <c r="A631" s="117"/>
      <c r="B631" s="117"/>
      <c r="C631" s="117"/>
      <c r="D631" s="117"/>
      <c r="E631" s="117"/>
      <c r="F631" s="117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</row>
    <row r="632">
      <c r="A632" s="117"/>
      <c r="B632" s="117"/>
      <c r="C632" s="117"/>
      <c r="D632" s="117"/>
      <c r="E632" s="117"/>
      <c r="F632" s="117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</row>
    <row r="633">
      <c r="A633" s="117"/>
      <c r="B633" s="117"/>
      <c r="C633" s="117"/>
      <c r="D633" s="117"/>
      <c r="E633" s="117"/>
      <c r="F633" s="117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</row>
    <row r="634">
      <c r="A634" s="117"/>
      <c r="B634" s="117"/>
      <c r="C634" s="117"/>
      <c r="D634" s="117"/>
      <c r="E634" s="117"/>
      <c r="F634" s="117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</row>
    <row r="635">
      <c r="A635" s="117"/>
      <c r="B635" s="117"/>
      <c r="C635" s="117"/>
      <c r="D635" s="117"/>
      <c r="E635" s="117"/>
      <c r="F635" s="117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</row>
    <row r="636">
      <c r="A636" s="117"/>
      <c r="B636" s="117"/>
      <c r="C636" s="117"/>
      <c r="D636" s="117"/>
      <c r="E636" s="117"/>
      <c r="F636" s="117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</row>
    <row r="637">
      <c r="A637" s="117"/>
      <c r="B637" s="117"/>
      <c r="C637" s="117"/>
      <c r="D637" s="117"/>
      <c r="E637" s="117"/>
      <c r="F637" s="117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</row>
    <row r="638">
      <c r="A638" s="117"/>
      <c r="B638" s="117"/>
      <c r="C638" s="117"/>
      <c r="D638" s="117"/>
      <c r="E638" s="117"/>
      <c r="F638" s="117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</row>
    <row r="639">
      <c r="A639" s="117"/>
      <c r="B639" s="117"/>
      <c r="C639" s="117"/>
      <c r="D639" s="117"/>
      <c r="E639" s="117"/>
      <c r="F639" s="117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</row>
    <row r="640">
      <c r="A640" s="117"/>
      <c r="B640" s="117"/>
      <c r="C640" s="117"/>
      <c r="D640" s="117"/>
      <c r="E640" s="117"/>
      <c r="F640" s="117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</row>
    <row r="641">
      <c r="A641" s="117"/>
      <c r="B641" s="117"/>
      <c r="C641" s="117"/>
      <c r="D641" s="117"/>
      <c r="E641" s="117"/>
      <c r="F641" s="117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</row>
    <row r="642">
      <c r="A642" s="117"/>
      <c r="B642" s="117"/>
      <c r="C642" s="117"/>
      <c r="D642" s="117"/>
      <c r="E642" s="117"/>
      <c r="F642" s="117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</row>
    <row r="643">
      <c r="A643" s="117"/>
      <c r="B643" s="117"/>
      <c r="C643" s="117"/>
      <c r="D643" s="117"/>
      <c r="E643" s="117"/>
      <c r="F643" s="117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</row>
    <row r="644">
      <c r="A644" s="117"/>
      <c r="B644" s="117"/>
      <c r="C644" s="117"/>
      <c r="D644" s="117"/>
      <c r="E644" s="117"/>
      <c r="F644" s="117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</row>
    <row r="645">
      <c r="A645" s="117"/>
      <c r="B645" s="117"/>
      <c r="C645" s="117"/>
      <c r="D645" s="117"/>
      <c r="E645" s="117"/>
      <c r="F645" s="117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</row>
    <row r="646">
      <c r="A646" s="117"/>
      <c r="B646" s="117"/>
      <c r="C646" s="117"/>
      <c r="D646" s="117"/>
      <c r="E646" s="117"/>
      <c r="F646" s="117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</row>
    <row r="647">
      <c r="A647" s="117"/>
      <c r="B647" s="117"/>
      <c r="C647" s="117"/>
      <c r="D647" s="117"/>
      <c r="E647" s="117"/>
      <c r="F647" s="117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</row>
    <row r="648">
      <c r="A648" s="117"/>
      <c r="B648" s="117"/>
      <c r="C648" s="117"/>
      <c r="D648" s="117"/>
      <c r="E648" s="117"/>
      <c r="F648" s="117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</row>
    <row r="649">
      <c r="A649" s="117"/>
      <c r="B649" s="117"/>
      <c r="C649" s="117"/>
      <c r="D649" s="117"/>
      <c r="E649" s="117"/>
      <c r="F649" s="117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</row>
    <row r="650">
      <c r="A650" s="117"/>
      <c r="B650" s="117"/>
      <c r="C650" s="117"/>
      <c r="D650" s="117"/>
      <c r="E650" s="117"/>
      <c r="F650" s="117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</row>
    <row r="651">
      <c r="A651" s="117"/>
      <c r="B651" s="117"/>
      <c r="C651" s="117"/>
      <c r="D651" s="117"/>
      <c r="E651" s="117"/>
      <c r="F651" s="117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</row>
    <row r="652">
      <c r="A652" s="117"/>
      <c r="B652" s="117"/>
      <c r="C652" s="117"/>
      <c r="D652" s="117"/>
      <c r="E652" s="117"/>
      <c r="F652" s="117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</row>
    <row r="653">
      <c r="A653" s="117"/>
      <c r="B653" s="117"/>
      <c r="C653" s="117"/>
      <c r="D653" s="117"/>
      <c r="E653" s="117"/>
      <c r="F653" s="117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</row>
    <row r="654">
      <c r="A654" s="117"/>
      <c r="B654" s="117"/>
      <c r="C654" s="117"/>
      <c r="D654" s="117"/>
      <c r="E654" s="117"/>
      <c r="F654" s="117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</row>
    <row r="655">
      <c r="A655" s="117"/>
      <c r="B655" s="117"/>
      <c r="C655" s="117"/>
      <c r="D655" s="117"/>
      <c r="E655" s="117"/>
      <c r="F655" s="117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</row>
    <row r="656">
      <c r="A656" s="117"/>
      <c r="B656" s="117"/>
      <c r="C656" s="117"/>
      <c r="D656" s="117"/>
      <c r="E656" s="117"/>
      <c r="F656" s="117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</row>
    <row r="657">
      <c r="A657" s="117"/>
      <c r="B657" s="117"/>
      <c r="C657" s="117"/>
      <c r="D657" s="117"/>
      <c r="E657" s="117"/>
      <c r="F657" s="117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</row>
    <row r="658">
      <c r="A658" s="117"/>
      <c r="B658" s="117"/>
      <c r="C658" s="117"/>
      <c r="D658" s="117"/>
      <c r="E658" s="117"/>
      <c r="F658" s="117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</row>
    <row r="659">
      <c r="A659" s="117"/>
      <c r="B659" s="117"/>
      <c r="C659" s="117"/>
      <c r="D659" s="117"/>
      <c r="E659" s="117"/>
      <c r="F659" s="117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</row>
    <row r="660">
      <c r="A660" s="117"/>
      <c r="B660" s="117"/>
      <c r="C660" s="117"/>
      <c r="D660" s="117"/>
      <c r="E660" s="117"/>
      <c r="F660" s="117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</row>
    <row r="661">
      <c r="A661" s="117"/>
      <c r="B661" s="117"/>
      <c r="C661" s="117"/>
      <c r="D661" s="117"/>
      <c r="E661" s="117"/>
      <c r="F661" s="117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17"/>
      <c r="Y661" s="117"/>
      <c r="Z661" s="117"/>
    </row>
    <row r="662">
      <c r="A662" s="117"/>
      <c r="B662" s="117"/>
      <c r="C662" s="117"/>
      <c r="D662" s="117"/>
      <c r="E662" s="117"/>
      <c r="F662" s="117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</row>
    <row r="663">
      <c r="A663" s="117"/>
      <c r="B663" s="117"/>
      <c r="C663" s="117"/>
      <c r="D663" s="117"/>
      <c r="E663" s="117"/>
      <c r="F663" s="117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</row>
    <row r="664">
      <c r="A664" s="117"/>
      <c r="B664" s="117"/>
      <c r="C664" s="117"/>
      <c r="D664" s="117"/>
      <c r="E664" s="117"/>
      <c r="F664" s="117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</row>
    <row r="665">
      <c r="A665" s="117"/>
      <c r="B665" s="117"/>
      <c r="C665" s="117"/>
      <c r="D665" s="117"/>
      <c r="E665" s="117"/>
      <c r="F665" s="117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</row>
    <row r="666">
      <c r="A666" s="117"/>
      <c r="B666" s="117"/>
      <c r="C666" s="117"/>
      <c r="D666" s="117"/>
      <c r="E666" s="117"/>
      <c r="F666" s="117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</row>
    <row r="667">
      <c r="A667" s="117"/>
      <c r="B667" s="117"/>
      <c r="C667" s="117"/>
      <c r="D667" s="117"/>
      <c r="E667" s="117"/>
      <c r="F667" s="117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</row>
    <row r="668">
      <c r="A668" s="117"/>
      <c r="B668" s="117"/>
      <c r="C668" s="117"/>
      <c r="D668" s="117"/>
      <c r="E668" s="117"/>
      <c r="F668" s="117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</row>
    <row r="669">
      <c r="A669" s="117"/>
      <c r="B669" s="117"/>
      <c r="C669" s="117"/>
      <c r="D669" s="117"/>
      <c r="E669" s="117"/>
      <c r="F669" s="117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</row>
    <row r="670">
      <c r="A670" s="117"/>
      <c r="B670" s="117"/>
      <c r="C670" s="117"/>
      <c r="D670" s="117"/>
      <c r="E670" s="117"/>
      <c r="F670" s="117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</row>
    <row r="671">
      <c r="A671" s="117"/>
      <c r="B671" s="117"/>
      <c r="C671" s="117"/>
      <c r="D671" s="117"/>
      <c r="E671" s="117"/>
      <c r="F671" s="117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</row>
    <row r="672">
      <c r="A672" s="117"/>
      <c r="B672" s="117"/>
      <c r="C672" s="117"/>
      <c r="D672" s="117"/>
      <c r="E672" s="117"/>
      <c r="F672" s="117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</row>
    <row r="673">
      <c r="A673" s="117"/>
      <c r="B673" s="117"/>
      <c r="C673" s="117"/>
      <c r="D673" s="117"/>
      <c r="E673" s="117"/>
      <c r="F673" s="117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17"/>
      <c r="Y673" s="117"/>
      <c r="Z673" s="117"/>
    </row>
    <row r="674">
      <c r="A674" s="117"/>
      <c r="B674" s="117"/>
      <c r="C674" s="117"/>
      <c r="D674" s="117"/>
      <c r="E674" s="117"/>
      <c r="F674" s="117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</row>
    <row r="675">
      <c r="A675" s="117"/>
      <c r="B675" s="117"/>
      <c r="C675" s="117"/>
      <c r="D675" s="117"/>
      <c r="E675" s="117"/>
      <c r="F675" s="117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</row>
    <row r="676">
      <c r="A676" s="117"/>
      <c r="B676" s="117"/>
      <c r="C676" s="117"/>
      <c r="D676" s="117"/>
      <c r="E676" s="117"/>
      <c r="F676" s="117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</row>
    <row r="677">
      <c r="A677" s="117"/>
      <c r="B677" s="117"/>
      <c r="C677" s="117"/>
      <c r="D677" s="117"/>
      <c r="E677" s="117"/>
      <c r="F677" s="117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</row>
    <row r="678">
      <c r="A678" s="117"/>
      <c r="B678" s="117"/>
      <c r="C678" s="117"/>
      <c r="D678" s="117"/>
      <c r="E678" s="117"/>
      <c r="F678" s="117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</row>
    <row r="679">
      <c r="A679" s="117"/>
      <c r="B679" s="117"/>
      <c r="C679" s="117"/>
      <c r="D679" s="117"/>
      <c r="E679" s="117"/>
      <c r="F679" s="117"/>
      <c r="G679" s="117"/>
      <c r="H679" s="117"/>
      <c r="I679" s="11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</row>
    <row r="680">
      <c r="A680" s="117"/>
      <c r="B680" s="117"/>
      <c r="C680" s="117"/>
      <c r="D680" s="117"/>
      <c r="E680" s="117"/>
      <c r="F680" s="117"/>
      <c r="G680" s="117"/>
      <c r="H680" s="117"/>
      <c r="I680" s="117"/>
      <c r="J680" s="117"/>
      <c r="K680" s="117"/>
      <c r="L680" s="117"/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</row>
    <row r="681">
      <c r="A681" s="117"/>
      <c r="B681" s="117"/>
      <c r="C681" s="117"/>
      <c r="D681" s="117"/>
      <c r="E681" s="117"/>
      <c r="F681" s="117"/>
      <c r="G681" s="117"/>
      <c r="H681" s="117"/>
      <c r="I681" s="117"/>
      <c r="J681" s="117"/>
      <c r="K681" s="117"/>
      <c r="L681" s="117"/>
      <c r="M681" s="117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</row>
    <row r="682">
      <c r="A682" s="117"/>
      <c r="B682" s="117"/>
      <c r="C682" s="117"/>
      <c r="D682" s="117"/>
      <c r="E682" s="117"/>
      <c r="F682" s="117"/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</row>
    <row r="683">
      <c r="A683" s="117"/>
      <c r="B683" s="117"/>
      <c r="C683" s="117"/>
      <c r="D683" s="117"/>
      <c r="E683" s="117"/>
      <c r="F683" s="117"/>
      <c r="G683" s="117"/>
      <c r="H683" s="117"/>
      <c r="I683" s="117"/>
      <c r="J683" s="117"/>
      <c r="K683" s="117"/>
      <c r="L683" s="117"/>
      <c r="M683" s="117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</row>
    <row r="684">
      <c r="A684" s="117"/>
      <c r="B684" s="117"/>
      <c r="C684" s="117"/>
      <c r="D684" s="117"/>
      <c r="E684" s="117"/>
      <c r="F684" s="117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</row>
    <row r="685">
      <c r="A685" s="117"/>
      <c r="B685" s="117"/>
      <c r="C685" s="117"/>
      <c r="D685" s="117"/>
      <c r="E685" s="117"/>
      <c r="F685" s="117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17"/>
      <c r="Y685" s="117"/>
      <c r="Z685" s="117"/>
    </row>
    <row r="686">
      <c r="A686" s="117"/>
      <c r="B686" s="117"/>
      <c r="C686" s="117"/>
      <c r="D686" s="117"/>
      <c r="E686" s="117"/>
      <c r="F686" s="117"/>
      <c r="G686" s="117"/>
      <c r="H686" s="117"/>
      <c r="I686" s="117"/>
      <c r="J686" s="117"/>
      <c r="K686" s="117"/>
      <c r="L686" s="117"/>
      <c r="M686" s="117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</row>
    <row r="687">
      <c r="A687" s="117"/>
      <c r="B687" s="117"/>
      <c r="C687" s="117"/>
      <c r="D687" s="117"/>
      <c r="E687" s="117"/>
      <c r="F687" s="117"/>
      <c r="G687" s="117"/>
      <c r="H687" s="117"/>
      <c r="I687" s="117"/>
      <c r="J687" s="117"/>
      <c r="K687" s="117"/>
      <c r="L687" s="117"/>
      <c r="M687" s="117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</row>
    <row r="688">
      <c r="A688" s="117"/>
      <c r="B688" s="117"/>
      <c r="C688" s="117"/>
      <c r="D688" s="117"/>
      <c r="E688" s="117"/>
      <c r="F688" s="117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</row>
    <row r="689">
      <c r="A689" s="117"/>
      <c r="B689" s="117"/>
      <c r="C689" s="117"/>
      <c r="D689" s="117"/>
      <c r="E689" s="117"/>
      <c r="F689" s="117"/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</row>
    <row r="690">
      <c r="A690" s="117"/>
      <c r="B690" s="117"/>
      <c r="C690" s="117"/>
      <c r="D690" s="117"/>
      <c r="E690" s="117"/>
      <c r="F690" s="117"/>
      <c r="G690" s="117"/>
      <c r="H690" s="117"/>
      <c r="I690" s="11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</row>
    <row r="691">
      <c r="A691" s="117"/>
      <c r="B691" s="117"/>
      <c r="C691" s="117"/>
      <c r="D691" s="117"/>
      <c r="E691" s="117"/>
      <c r="F691" s="117"/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</row>
    <row r="692">
      <c r="A692" s="117"/>
      <c r="B692" s="117"/>
      <c r="C692" s="117"/>
      <c r="D692" s="117"/>
      <c r="E692" s="117"/>
      <c r="F692" s="117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</row>
    <row r="693">
      <c r="A693" s="117"/>
      <c r="B693" s="117"/>
      <c r="C693" s="117"/>
      <c r="D693" s="117"/>
      <c r="E693" s="117"/>
      <c r="F693" s="117"/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</row>
    <row r="694">
      <c r="A694" s="117"/>
      <c r="B694" s="117"/>
      <c r="C694" s="117"/>
      <c r="D694" s="117"/>
      <c r="E694" s="117"/>
      <c r="F694" s="117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</row>
    <row r="695">
      <c r="A695" s="117"/>
      <c r="B695" s="117"/>
      <c r="C695" s="117"/>
      <c r="D695" s="117"/>
      <c r="E695" s="117"/>
      <c r="F695" s="117"/>
      <c r="G695" s="117"/>
      <c r="H695" s="117"/>
      <c r="I695" s="117"/>
      <c r="J695" s="117"/>
      <c r="K695" s="117"/>
      <c r="L695" s="117"/>
      <c r="M695" s="117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</row>
    <row r="696">
      <c r="A696" s="117"/>
      <c r="B696" s="117"/>
      <c r="C696" s="117"/>
      <c r="D696" s="117"/>
      <c r="E696" s="117"/>
      <c r="F696" s="117"/>
      <c r="G696" s="117"/>
      <c r="H696" s="117"/>
      <c r="I696" s="11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</row>
    <row r="697">
      <c r="A697" s="117"/>
      <c r="B697" s="117"/>
      <c r="C697" s="117"/>
      <c r="D697" s="117"/>
      <c r="E697" s="117"/>
      <c r="F697" s="117"/>
      <c r="G697" s="117"/>
      <c r="H697" s="117"/>
      <c r="I697" s="117"/>
      <c r="J697" s="117"/>
      <c r="K697" s="117"/>
      <c r="L697" s="117"/>
      <c r="M697" s="117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</row>
    <row r="698">
      <c r="A698" s="117"/>
      <c r="B698" s="117"/>
      <c r="C698" s="117"/>
      <c r="D698" s="117"/>
      <c r="E698" s="117"/>
      <c r="F698" s="117"/>
      <c r="G698" s="117"/>
      <c r="H698" s="117"/>
      <c r="I698" s="117"/>
      <c r="J698" s="117"/>
      <c r="K698" s="117"/>
      <c r="L698" s="117"/>
      <c r="M698" s="117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</row>
    <row r="699">
      <c r="A699" s="117"/>
      <c r="B699" s="117"/>
      <c r="C699" s="117"/>
      <c r="D699" s="117"/>
      <c r="E699" s="117"/>
      <c r="F699" s="117"/>
      <c r="G699" s="117"/>
      <c r="H699" s="117"/>
      <c r="I699" s="11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</row>
    <row r="700">
      <c r="A700" s="117"/>
      <c r="B700" s="117"/>
      <c r="C700" s="117"/>
      <c r="D700" s="117"/>
      <c r="E700" s="117"/>
      <c r="F700" s="117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</row>
    <row r="701">
      <c r="A701" s="117"/>
      <c r="B701" s="117"/>
      <c r="C701" s="117"/>
      <c r="D701" s="117"/>
      <c r="E701" s="117"/>
      <c r="F701" s="117"/>
      <c r="G701" s="117"/>
      <c r="H701" s="117"/>
      <c r="I701" s="117"/>
      <c r="J701" s="117"/>
      <c r="K701" s="117"/>
      <c r="L701" s="117"/>
      <c r="M701" s="117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</row>
    <row r="702">
      <c r="A702" s="117"/>
      <c r="B702" s="117"/>
      <c r="C702" s="117"/>
      <c r="D702" s="117"/>
      <c r="E702" s="117"/>
      <c r="F702" s="117"/>
      <c r="G702" s="117"/>
      <c r="H702" s="117"/>
      <c r="I702" s="117"/>
      <c r="J702" s="117"/>
      <c r="K702" s="117"/>
      <c r="L702" s="117"/>
      <c r="M702" s="117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</row>
    <row r="703">
      <c r="A703" s="117"/>
      <c r="B703" s="117"/>
      <c r="C703" s="117"/>
      <c r="D703" s="117"/>
      <c r="E703" s="117"/>
      <c r="F703" s="117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</row>
    <row r="704">
      <c r="A704" s="117"/>
      <c r="B704" s="117"/>
      <c r="C704" s="117"/>
      <c r="D704" s="117"/>
      <c r="E704" s="117"/>
      <c r="F704" s="117"/>
      <c r="G704" s="117"/>
      <c r="H704" s="117"/>
      <c r="I704" s="11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</row>
    <row r="705">
      <c r="A705" s="117"/>
      <c r="B705" s="117"/>
      <c r="C705" s="117"/>
      <c r="D705" s="117"/>
      <c r="E705" s="117"/>
      <c r="F705" s="117"/>
      <c r="G705" s="117"/>
      <c r="H705" s="117"/>
      <c r="I705" s="117"/>
      <c r="J705" s="117"/>
      <c r="K705" s="117"/>
      <c r="L705" s="117"/>
      <c r="M705" s="117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</row>
    <row r="706">
      <c r="A706" s="117"/>
      <c r="B706" s="117"/>
      <c r="C706" s="117"/>
      <c r="D706" s="117"/>
      <c r="E706" s="117"/>
      <c r="F706" s="117"/>
      <c r="G706" s="117"/>
      <c r="H706" s="117"/>
      <c r="I706" s="117"/>
      <c r="J706" s="117"/>
      <c r="K706" s="117"/>
      <c r="L706" s="117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</row>
    <row r="707">
      <c r="A707" s="117"/>
      <c r="B707" s="117"/>
      <c r="C707" s="117"/>
      <c r="D707" s="117"/>
      <c r="E707" s="117"/>
      <c r="F707" s="117"/>
      <c r="G707" s="117"/>
      <c r="H707" s="117"/>
      <c r="I707" s="117"/>
      <c r="J707" s="117"/>
      <c r="K707" s="117"/>
      <c r="L707" s="117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</row>
    <row r="708">
      <c r="A708" s="117"/>
      <c r="B708" s="117"/>
      <c r="C708" s="117"/>
      <c r="D708" s="117"/>
      <c r="E708" s="117"/>
      <c r="F708" s="117"/>
      <c r="G708" s="117"/>
      <c r="H708" s="117"/>
      <c r="I708" s="117"/>
      <c r="J708" s="117"/>
      <c r="K708" s="117"/>
      <c r="L708" s="117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</row>
    <row r="709">
      <c r="A709" s="117"/>
      <c r="B709" s="117"/>
      <c r="C709" s="117"/>
      <c r="D709" s="117"/>
      <c r="E709" s="117"/>
      <c r="F709" s="117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</row>
    <row r="710">
      <c r="A710" s="117"/>
      <c r="B710" s="117"/>
      <c r="C710" s="117"/>
      <c r="D710" s="117"/>
      <c r="E710" s="117"/>
      <c r="F710" s="117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</row>
    <row r="711">
      <c r="A711" s="117"/>
      <c r="B711" s="117"/>
      <c r="C711" s="117"/>
      <c r="D711" s="117"/>
      <c r="E711" s="117"/>
      <c r="F711" s="117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</row>
    <row r="712">
      <c r="A712" s="117"/>
      <c r="B712" s="117"/>
      <c r="C712" s="117"/>
      <c r="D712" s="117"/>
      <c r="E712" s="117"/>
      <c r="F712" s="117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</row>
    <row r="713">
      <c r="A713" s="117"/>
      <c r="B713" s="117"/>
      <c r="C713" s="117"/>
      <c r="D713" s="117"/>
      <c r="E713" s="117"/>
      <c r="F713" s="117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</row>
    <row r="714">
      <c r="A714" s="117"/>
      <c r="B714" s="117"/>
      <c r="C714" s="117"/>
      <c r="D714" s="117"/>
      <c r="E714" s="117"/>
      <c r="F714" s="117"/>
      <c r="G714" s="117"/>
      <c r="H714" s="117"/>
      <c r="I714" s="117"/>
      <c r="J714" s="117"/>
      <c r="K714" s="117"/>
      <c r="L714" s="117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</row>
    <row r="715">
      <c r="A715" s="117"/>
      <c r="B715" s="117"/>
      <c r="C715" s="117"/>
      <c r="D715" s="117"/>
      <c r="E715" s="117"/>
      <c r="F715" s="117"/>
      <c r="G715" s="117"/>
      <c r="H715" s="117"/>
      <c r="I715" s="117"/>
      <c r="J715" s="117"/>
      <c r="K715" s="117"/>
      <c r="L715" s="117"/>
      <c r="M715" s="117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</row>
    <row r="716">
      <c r="A716" s="117"/>
      <c r="B716" s="117"/>
      <c r="C716" s="117"/>
      <c r="D716" s="117"/>
      <c r="E716" s="117"/>
      <c r="F716" s="117"/>
      <c r="G716" s="117"/>
      <c r="H716" s="117"/>
      <c r="I716" s="117"/>
      <c r="J716" s="117"/>
      <c r="K716" s="117"/>
      <c r="L716" s="117"/>
      <c r="M716" s="117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</row>
    <row r="717">
      <c r="A717" s="117"/>
      <c r="B717" s="117"/>
      <c r="C717" s="117"/>
      <c r="D717" s="117"/>
      <c r="E717" s="117"/>
      <c r="F717" s="117"/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</row>
    <row r="718">
      <c r="A718" s="117"/>
      <c r="B718" s="117"/>
      <c r="C718" s="117"/>
      <c r="D718" s="117"/>
      <c r="E718" s="117"/>
      <c r="F718" s="117"/>
      <c r="G718" s="117"/>
      <c r="H718" s="117"/>
      <c r="I718" s="117"/>
      <c r="J718" s="117"/>
      <c r="K718" s="117"/>
      <c r="L718" s="117"/>
      <c r="M718" s="117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</row>
    <row r="719">
      <c r="A719" s="117"/>
      <c r="B719" s="117"/>
      <c r="C719" s="117"/>
      <c r="D719" s="117"/>
      <c r="E719" s="117"/>
      <c r="F719" s="117"/>
      <c r="G719" s="117"/>
      <c r="H719" s="117"/>
      <c r="I719" s="117"/>
      <c r="J719" s="117"/>
      <c r="K719" s="117"/>
      <c r="L719" s="117"/>
      <c r="M719" s="117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</row>
    <row r="720">
      <c r="A720" s="117"/>
      <c r="B720" s="117"/>
      <c r="C720" s="117"/>
      <c r="D720" s="117"/>
      <c r="E720" s="117"/>
      <c r="F720" s="117"/>
      <c r="G720" s="117"/>
      <c r="H720" s="117"/>
      <c r="I720" s="117"/>
      <c r="J720" s="117"/>
      <c r="K720" s="117"/>
      <c r="L720" s="117"/>
      <c r="M720" s="117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</row>
    <row r="721">
      <c r="A721" s="117"/>
      <c r="B721" s="117"/>
      <c r="C721" s="117"/>
      <c r="D721" s="117"/>
      <c r="E721" s="117"/>
      <c r="F721" s="117"/>
      <c r="G721" s="117"/>
      <c r="H721" s="117"/>
      <c r="I721" s="117"/>
      <c r="J721" s="117"/>
      <c r="K721" s="117"/>
      <c r="L721" s="117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</row>
    <row r="722">
      <c r="A722" s="117"/>
      <c r="B722" s="117"/>
      <c r="C722" s="117"/>
      <c r="D722" s="117"/>
      <c r="E722" s="117"/>
      <c r="F722" s="117"/>
      <c r="G722" s="117"/>
      <c r="H722" s="117"/>
      <c r="I722" s="117"/>
      <c r="J722" s="117"/>
      <c r="K722" s="117"/>
      <c r="L722" s="117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</row>
    <row r="723">
      <c r="A723" s="117"/>
      <c r="B723" s="117"/>
      <c r="C723" s="117"/>
      <c r="D723" s="117"/>
      <c r="E723" s="117"/>
      <c r="F723" s="117"/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</row>
    <row r="724">
      <c r="A724" s="117"/>
      <c r="B724" s="117"/>
      <c r="C724" s="117"/>
      <c r="D724" s="117"/>
      <c r="E724" s="117"/>
      <c r="F724" s="117"/>
      <c r="G724" s="117"/>
      <c r="H724" s="117"/>
      <c r="I724" s="117"/>
      <c r="J724" s="117"/>
      <c r="K724" s="117"/>
      <c r="L724" s="117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</row>
    <row r="725">
      <c r="A725" s="117"/>
      <c r="B725" s="117"/>
      <c r="C725" s="117"/>
      <c r="D725" s="117"/>
      <c r="E725" s="117"/>
      <c r="F725" s="117"/>
      <c r="G725" s="117"/>
      <c r="H725" s="117"/>
      <c r="I725" s="117"/>
      <c r="J725" s="117"/>
      <c r="K725" s="117"/>
      <c r="L725" s="117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</row>
    <row r="726">
      <c r="A726" s="117"/>
      <c r="B726" s="117"/>
      <c r="C726" s="117"/>
      <c r="D726" s="117"/>
      <c r="E726" s="117"/>
      <c r="F726" s="117"/>
      <c r="G726" s="117"/>
      <c r="H726" s="117"/>
      <c r="I726" s="117"/>
      <c r="J726" s="117"/>
      <c r="K726" s="117"/>
      <c r="L726" s="117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</row>
    <row r="727">
      <c r="A727" s="117"/>
      <c r="B727" s="117"/>
      <c r="C727" s="117"/>
      <c r="D727" s="117"/>
      <c r="E727" s="117"/>
      <c r="F727" s="117"/>
      <c r="G727" s="117"/>
      <c r="H727" s="117"/>
      <c r="I727" s="117"/>
      <c r="J727" s="117"/>
      <c r="K727" s="117"/>
      <c r="L727" s="117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</row>
    <row r="728">
      <c r="A728" s="117"/>
      <c r="B728" s="117"/>
      <c r="C728" s="117"/>
      <c r="D728" s="117"/>
      <c r="E728" s="117"/>
      <c r="F728" s="117"/>
      <c r="G728" s="117"/>
      <c r="H728" s="117"/>
      <c r="I728" s="117"/>
      <c r="J728" s="117"/>
      <c r="K728" s="117"/>
      <c r="L728" s="117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</row>
    <row r="729">
      <c r="A729" s="117"/>
      <c r="B729" s="117"/>
      <c r="C729" s="117"/>
      <c r="D729" s="117"/>
      <c r="E729" s="117"/>
      <c r="F729" s="117"/>
      <c r="G729" s="117"/>
      <c r="H729" s="117"/>
      <c r="I729" s="117"/>
      <c r="J729" s="117"/>
      <c r="K729" s="117"/>
      <c r="L729" s="117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</row>
    <row r="730">
      <c r="A730" s="117"/>
      <c r="B730" s="117"/>
      <c r="C730" s="117"/>
      <c r="D730" s="117"/>
      <c r="E730" s="117"/>
      <c r="F730" s="117"/>
      <c r="G730" s="117"/>
      <c r="H730" s="117"/>
      <c r="I730" s="117"/>
      <c r="J730" s="117"/>
      <c r="K730" s="117"/>
      <c r="L730" s="117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</row>
    <row r="731">
      <c r="A731" s="117"/>
      <c r="B731" s="117"/>
      <c r="C731" s="117"/>
      <c r="D731" s="117"/>
      <c r="E731" s="117"/>
      <c r="F731" s="117"/>
      <c r="G731" s="117"/>
      <c r="H731" s="117"/>
      <c r="I731" s="117"/>
      <c r="J731" s="117"/>
      <c r="K731" s="117"/>
      <c r="L731" s="117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</row>
    <row r="732">
      <c r="A732" s="117"/>
      <c r="B732" s="117"/>
      <c r="C732" s="117"/>
      <c r="D732" s="117"/>
      <c r="E732" s="117"/>
      <c r="F732" s="117"/>
      <c r="G732" s="117"/>
      <c r="H732" s="117"/>
      <c r="I732" s="117"/>
      <c r="J732" s="117"/>
      <c r="K732" s="117"/>
      <c r="L732" s="117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</row>
    <row r="733">
      <c r="A733" s="117"/>
      <c r="B733" s="117"/>
      <c r="C733" s="117"/>
      <c r="D733" s="117"/>
      <c r="E733" s="117"/>
      <c r="F733" s="117"/>
      <c r="G733" s="117"/>
      <c r="H733" s="117"/>
      <c r="I733" s="117"/>
      <c r="J733" s="117"/>
      <c r="K733" s="117"/>
      <c r="L733" s="117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</row>
    <row r="734">
      <c r="A734" s="117"/>
      <c r="B734" s="117"/>
      <c r="C734" s="117"/>
      <c r="D734" s="117"/>
      <c r="E734" s="117"/>
      <c r="F734" s="117"/>
      <c r="G734" s="117"/>
      <c r="H734" s="117"/>
      <c r="I734" s="117"/>
      <c r="J734" s="117"/>
      <c r="K734" s="117"/>
      <c r="L734" s="117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</row>
    <row r="735">
      <c r="A735" s="117"/>
      <c r="B735" s="117"/>
      <c r="C735" s="117"/>
      <c r="D735" s="117"/>
      <c r="E735" s="117"/>
      <c r="F735" s="117"/>
      <c r="G735" s="117"/>
      <c r="H735" s="117"/>
      <c r="I735" s="117"/>
      <c r="J735" s="117"/>
      <c r="K735" s="117"/>
      <c r="L735" s="117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</row>
    <row r="736">
      <c r="A736" s="117"/>
      <c r="B736" s="117"/>
      <c r="C736" s="117"/>
      <c r="D736" s="117"/>
      <c r="E736" s="117"/>
      <c r="F736" s="117"/>
      <c r="G736" s="117"/>
      <c r="H736" s="117"/>
      <c r="I736" s="117"/>
      <c r="J736" s="117"/>
      <c r="K736" s="117"/>
      <c r="L736" s="117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</row>
    <row r="737">
      <c r="A737" s="117"/>
      <c r="B737" s="117"/>
      <c r="C737" s="117"/>
      <c r="D737" s="117"/>
      <c r="E737" s="117"/>
      <c r="F737" s="117"/>
      <c r="G737" s="117"/>
      <c r="H737" s="117"/>
      <c r="I737" s="117"/>
      <c r="J737" s="117"/>
      <c r="K737" s="117"/>
      <c r="L737" s="117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</row>
    <row r="738">
      <c r="A738" s="117"/>
      <c r="B738" s="117"/>
      <c r="C738" s="117"/>
      <c r="D738" s="117"/>
      <c r="E738" s="117"/>
      <c r="F738" s="117"/>
      <c r="G738" s="117"/>
      <c r="H738" s="117"/>
      <c r="I738" s="117"/>
      <c r="J738" s="117"/>
      <c r="K738" s="117"/>
      <c r="L738" s="117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</row>
    <row r="739">
      <c r="A739" s="117"/>
      <c r="B739" s="117"/>
      <c r="C739" s="117"/>
      <c r="D739" s="117"/>
      <c r="E739" s="117"/>
      <c r="F739" s="117"/>
      <c r="G739" s="117"/>
      <c r="H739" s="117"/>
      <c r="I739" s="117"/>
      <c r="J739" s="117"/>
      <c r="K739" s="117"/>
      <c r="L739" s="117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</row>
    <row r="740">
      <c r="A740" s="117"/>
      <c r="B740" s="117"/>
      <c r="C740" s="117"/>
      <c r="D740" s="117"/>
      <c r="E740" s="117"/>
      <c r="F740" s="117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</row>
    <row r="741">
      <c r="A741" s="117"/>
      <c r="B741" s="117"/>
      <c r="C741" s="117"/>
      <c r="D741" s="117"/>
      <c r="E741" s="117"/>
      <c r="F741" s="117"/>
      <c r="G741" s="117"/>
      <c r="H741" s="117"/>
      <c r="I741" s="117"/>
      <c r="J741" s="117"/>
      <c r="K741" s="117"/>
      <c r="L741" s="117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</row>
    <row r="742">
      <c r="A742" s="117"/>
      <c r="B742" s="117"/>
      <c r="C742" s="117"/>
      <c r="D742" s="117"/>
      <c r="E742" s="117"/>
      <c r="F742" s="117"/>
      <c r="G742" s="117"/>
      <c r="H742" s="117"/>
      <c r="I742" s="117"/>
      <c r="J742" s="117"/>
      <c r="K742" s="117"/>
      <c r="L742" s="117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</row>
    <row r="743">
      <c r="A743" s="117"/>
      <c r="B743" s="117"/>
      <c r="C743" s="117"/>
      <c r="D743" s="117"/>
      <c r="E743" s="117"/>
      <c r="F743" s="117"/>
      <c r="G743" s="117"/>
      <c r="H743" s="117"/>
      <c r="I743" s="117"/>
      <c r="J743" s="117"/>
      <c r="K743" s="117"/>
      <c r="L743" s="117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</row>
    <row r="744">
      <c r="A744" s="117"/>
      <c r="B744" s="117"/>
      <c r="C744" s="117"/>
      <c r="D744" s="117"/>
      <c r="E744" s="117"/>
      <c r="F744" s="117"/>
      <c r="G744" s="117"/>
      <c r="H744" s="117"/>
      <c r="I744" s="117"/>
      <c r="J744" s="117"/>
      <c r="K744" s="117"/>
      <c r="L744" s="117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</row>
    <row r="745">
      <c r="A745" s="117"/>
      <c r="B745" s="117"/>
      <c r="C745" s="117"/>
      <c r="D745" s="117"/>
      <c r="E745" s="117"/>
      <c r="F745" s="117"/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</row>
    <row r="746">
      <c r="A746" s="117"/>
      <c r="B746" s="117"/>
      <c r="C746" s="117"/>
      <c r="D746" s="117"/>
      <c r="E746" s="117"/>
      <c r="F746" s="117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</row>
    <row r="747">
      <c r="A747" s="117"/>
      <c r="B747" s="117"/>
      <c r="C747" s="117"/>
      <c r="D747" s="117"/>
      <c r="E747" s="117"/>
      <c r="F747" s="117"/>
      <c r="G747" s="117"/>
      <c r="H747" s="117"/>
      <c r="I747" s="117"/>
      <c r="J747" s="117"/>
      <c r="K747" s="117"/>
      <c r="L747" s="117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</row>
    <row r="748">
      <c r="A748" s="117"/>
      <c r="B748" s="117"/>
      <c r="C748" s="117"/>
      <c r="D748" s="117"/>
      <c r="E748" s="117"/>
      <c r="F748" s="117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</row>
    <row r="749">
      <c r="A749" s="117"/>
      <c r="B749" s="117"/>
      <c r="C749" s="117"/>
      <c r="D749" s="117"/>
      <c r="E749" s="117"/>
      <c r="F749" s="117"/>
      <c r="G749" s="117"/>
      <c r="H749" s="117"/>
      <c r="I749" s="117"/>
      <c r="J749" s="117"/>
      <c r="K749" s="117"/>
      <c r="L749" s="117"/>
      <c r="M749" s="117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</row>
    <row r="750">
      <c r="A750" s="117"/>
      <c r="B750" s="117"/>
      <c r="C750" s="117"/>
      <c r="D750" s="117"/>
      <c r="E750" s="117"/>
      <c r="F750" s="117"/>
      <c r="G750" s="117"/>
      <c r="H750" s="117"/>
      <c r="I750" s="117"/>
      <c r="J750" s="117"/>
      <c r="K750" s="117"/>
      <c r="L750" s="117"/>
      <c r="M750" s="117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</row>
    <row r="751">
      <c r="A751" s="117"/>
      <c r="B751" s="117"/>
      <c r="C751" s="117"/>
      <c r="D751" s="117"/>
      <c r="E751" s="117"/>
      <c r="F751" s="117"/>
      <c r="G751" s="117"/>
      <c r="H751" s="117"/>
      <c r="I751" s="117"/>
      <c r="J751" s="117"/>
      <c r="K751" s="117"/>
      <c r="L751" s="117"/>
      <c r="M751" s="117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</row>
    <row r="752">
      <c r="A752" s="117"/>
      <c r="B752" s="117"/>
      <c r="C752" s="117"/>
      <c r="D752" s="117"/>
      <c r="E752" s="117"/>
      <c r="F752" s="117"/>
      <c r="G752" s="117"/>
      <c r="H752" s="117"/>
      <c r="I752" s="117"/>
      <c r="J752" s="117"/>
      <c r="K752" s="117"/>
      <c r="L752" s="117"/>
      <c r="M752" s="117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</row>
    <row r="753">
      <c r="A753" s="117"/>
      <c r="B753" s="117"/>
      <c r="C753" s="117"/>
      <c r="D753" s="117"/>
      <c r="E753" s="117"/>
      <c r="F753" s="117"/>
      <c r="G753" s="117"/>
      <c r="H753" s="117"/>
      <c r="I753" s="117"/>
      <c r="J753" s="117"/>
      <c r="K753" s="117"/>
      <c r="L753" s="117"/>
      <c r="M753" s="117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</row>
    <row r="754">
      <c r="A754" s="117"/>
      <c r="B754" s="117"/>
      <c r="C754" s="117"/>
      <c r="D754" s="117"/>
      <c r="E754" s="117"/>
      <c r="F754" s="117"/>
      <c r="G754" s="117"/>
      <c r="H754" s="117"/>
      <c r="I754" s="117"/>
      <c r="J754" s="117"/>
      <c r="K754" s="117"/>
      <c r="L754" s="117"/>
      <c r="M754" s="117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</row>
    <row r="755">
      <c r="A755" s="117"/>
      <c r="B755" s="117"/>
      <c r="C755" s="117"/>
      <c r="D755" s="117"/>
      <c r="E755" s="117"/>
      <c r="F755" s="117"/>
      <c r="G755" s="117"/>
      <c r="H755" s="117"/>
      <c r="I755" s="117"/>
      <c r="J755" s="117"/>
      <c r="K755" s="117"/>
      <c r="L755" s="117"/>
      <c r="M755" s="117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</row>
    <row r="756">
      <c r="A756" s="117"/>
      <c r="B756" s="117"/>
      <c r="C756" s="117"/>
      <c r="D756" s="117"/>
      <c r="E756" s="117"/>
      <c r="F756" s="117"/>
      <c r="G756" s="117"/>
      <c r="H756" s="117"/>
      <c r="I756" s="117"/>
      <c r="J756" s="117"/>
      <c r="K756" s="117"/>
      <c r="L756" s="117"/>
      <c r="M756" s="117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</row>
    <row r="757">
      <c r="A757" s="117"/>
      <c r="B757" s="117"/>
      <c r="C757" s="117"/>
      <c r="D757" s="117"/>
      <c r="E757" s="117"/>
      <c r="F757" s="117"/>
      <c r="G757" s="117"/>
      <c r="H757" s="117"/>
      <c r="I757" s="117"/>
      <c r="J757" s="117"/>
      <c r="K757" s="117"/>
      <c r="L757" s="117"/>
      <c r="M757" s="117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17"/>
      <c r="Y757" s="117"/>
      <c r="Z757" s="117"/>
    </row>
    <row r="758">
      <c r="A758" s="117"/>
      <c r="B758" s="117"/>
      <c r="C758" s="117"/>
      <c r="D758" s="117"/>
      <c r="E758" s="117"/>
      <c r="F758" s="117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</row>
    <row r="759">
      <c r="A759" s="117"/>
      <c r="B759" s="117"/>
      <c r="C759" s="117"/>
      <c r="D759" s="117"/>
      <c r="E759" s="117"/>
      <c r="F759" s="117"/>
      <c r="G759" s="117"/>
      <c r="H759" s="117"/>
      <c r="I759" s="117"/>
      <c r="J759" s="117"/>
      <c r="K759" s="117"/>
      <c r="L759" s="117"/>
      <c r="M759" s="117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17"/>
      <c r="Y759" s="117"/>
      <c r="Z759" s="117"/>
    </row>
    <row r="760">
      <c r="A760" s="117"/>
      <c r="B760" s="117"/>
      <c r="C760" s="117"/>
      <c r="D760" s="117"/>
      <c r="E760" s="117"/>
      <c r="F760" s="117"/>
      <c r="G760" s="117"/>
      <c r="H760" s="117"/>
      <c r="I760" s="117"/>
      <c r="J760" s="117"/>
      <c r="K760" s="117"/>
      <c r="L760" s="117"/>
      <c r="M760" s="117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</row>
    <row r="761">
      <c r="A761" s="117"/>
      <c r="B761" s="117"/>
      <c r="C761" s="117"/>
      <c r="D761" s="117"/>
      <c r="E761" s="117"/>
      <c r="F761" s="117"/>
      <c r="G761" s="117"/>
      <c r="H761" s="117"/>
      <c r="I761" s="117"/>
      <c r="J761" s="117"/>
      <c r="K761" s="117"/>
      <c r="L761" s="117"/>
      <c r="M761" s="117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17"/>
      <c r="Y761" s="117"/>
      <c r="Z761" s="117"/>
    </row>
    <row r="762">
      <c r="A762" s="117"/>
      <c r="B762" s="117"/>
      <c r="C762" s="117"/>
      <c r="D762" s="117"/>
      <c r="E762" s="117"/>
      <c r="F762" s="117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17"/>
      <c r="Y762" s="117"/>
      <c r="Z762" s="117"/>
    </row>
    <row r="763">
      <c r="A763" s="117"/>
      <c r="B763" s="117"/>
      <c r="C763" s="117"/>
      <c r="D763" s="117"/>
      <c r="E763" s="117"/>
      <c r="F763" s="117"/>
      <c r="G763" s="117"/>
      <c r="H763" s="117"/>
      <c r="I763" s="117"/>
      <c r="J763" s="117"/>
      <c r="K763" s="117"/>
      <c r="L763" s="117"/>
      <c r="M763" s="117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</row>
    <row r="764">
      <c r="A764" s="117"/>
      <c r="B764" s="117"/>
      <c r="C764" s="117"/>
      <c r="D764" s="117"/>
      <c r="E764" s="117"/>
      <c r="F764" s="117"/>
      <c r="G764" s="117"/>
      <c r="H764" s="117"/>
      <c r="I764" s="117"/>
      <c r="J764" s="117"/>
      <c r="K764" s="117"/>
      <c r="L764" s="117"/>
      <c r="M764" s="117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17"/>
      <c r="Y764" s="117"/>
      <c r="Z764" s="117"/>
    </row>
    <row r="765">
      <c r="A765" s="117"/>
      <c r="B765" s="117"/>
      <c r="C765" s="117"/>
      <c r="D765" s="117"/>
      <c r="E765" s="117"/>
      <c r="F765" s="117"/>
      <c r="G765" s="117"/>
      <c r="H765" s="117"/>
      <c r="I765" s="117"/>
      <c r="J765" s="117"/>
      <c r="K765" s="117"/>
      <c r="L765" s="117"/>
      <c r="M765" s="117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17"/>
      <c r="Y765" s="117"/>
      <c r="Z765" s="117"/>
    </row>
    <row r="766">
      <c r="A766" s="117"/>
      <c r="B766" s="117"/>
      <c r="C766" s="117"/>
      <c r="D766" s="117"/>
      <c r="E766" s="117"/>
      <c r="F766" s="117"/>
      <c r="G766" s="117"/>
      <c r="H766" s="117"/>
      <c r="I766" s="117"/>
      <c r="J766" s="117"/>
      <c r="K766" s="117"/>
      <c r="L766" s="117"/>
      <c r="M766" s="117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</row>
    <row r="767">
      <c r="A767" s="117"/>
      <c r="B767" s="117"/>
      <c r="C767" s="117"/>
      <c r="D767" s="117"/>
      <c r="E767" s="117"/>
      <c r="F767" s="117"/>
      <c r="G767" s="117"/>
      <c r="H767" s="117"/>
      <c r="I767" s="117"/>
      <c r="J767" s="117"/>
      <c r="K767" s="117"/>
      <c r="L767" s="117"/>
      <c r="M767" s="117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</row>
    <row r="768">
      <c r="A768" s="117"/>
      <c r="B768" s="117"/>
      <c r="C768" s="117"/>
      <c r="D768" s="117"/>
      <c r="E768" s="117"/>
      <c r="F768" s="117"/>
      <c r="G768" s="117"/>
      <c r="H768" s="117"/>
      <c r="I768" s="117"/>
      <c r="J768" s="117"/>
      <c r="K768" s="117"/>
      <c r="L768" s="117"/>
      <c r="M768" s="117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</row>
    <row r="769">
      <c r="A769" s="117"/>
      <c r="B769" s="117"/>
      <c r="C769" s="117"/>
      <c r="D769" s="117"/>
      <c r="E769" s="117"/>
      <c r="F769" s="117"/>
      <c r="G769" s="117"/>
      <c r="H769" s="117"/>
      <c r="I769" s="117"/>
      <c r="J769" s="117"/>
      <c r="K769" s="117"/>
      <c r="L769" s="117"/>
      <c r="M769" s="117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17"/>
      <c r="Y769" s="117"/>
      <c r="Z769" s="117"/>
    </row>
    <row r="770">
      <c r="A770" s="117"/>
      <c r="B770" s="117"/>
      <c r="C770" s="117"/>
      <c r="D770" s="117"/>
      <c r="E770" s="117"/>
      <c r="F770" s="117"/>
      <c r="G770" s="117"/>
      <c r="H770" s="117"/>
      <c r="I770" s="117"/>
      <c r="J770" s="117"/>
      <c r="K770" s="117"/>
      <c r="L770" s="117"/>
      <c r="M770" s="117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</row>
    <row r="771">
      <c r="A771" s="117"/>
      <c r="B771" s="117"/>
      <c r="C771" s="117"/>
      <c r="D771" s="117"/>
      <c r="E771" s="117"/>
      <c r="F771" s="117"/>
      <c r="G771" s="117"/>
      <c r="H771" s="117"/>
      <c r="I771" s="117"/>
      <c r="J771" s="117"/>
      <c r="K771" s="117"/>
      <c r="L771" s="117"/>
      <c r="M771" s="117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</row>
    <row r="772">
      <c r="A772" s="117"/>
      <c r="B772" s="117"/>
      <c r="C772" s="117"/>
      <c r="D772" s="117"/>
      <c r="E772" s="117"/>
      <c r="F772" s="117"/>
      <c r="G772" s="117"/>
      <c r="H772" s="117"/>
      <c r="I772" s="117"/>
      <c r="J772" s="117"/>
      <c r="K772" s="117"/>
      <c r="L772" s="117"/>
      <c r="M772" s="117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</row>
    <row r="773">
      <c r="A773" s="117"/>
      <c r="B773" s="117"/>
      <c r="C773" s="117"/>
      <c r="D773" s="117"/>
      <c r="E773" s="117"/>
      <c r="F773" s="117"/>
      <c r="G773" s="117"/>
      <c r="H773" s="117"/>
      <c r="I773" s="117"/>
      <c r="J773" s="117"/>
      <c r="K773" s="117"/>
      <c r="L773" s="117"/>
      <c r="M773" s="117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</row>
    <row r="774">
      <c r="A774" s="117"/>
      <c r="B774" s="117"/>
      <c r="C774" s="117"/>
      <c r="D774" s="117"/>
      <c r="E774" s="117"/>
      <c r="F774" s="117"/>
      <c r="G774" s="117"/>
      <c r="H774" s="117"/>
      <c r="I774" s="117"/>
      <c r="J774" s="117"/>
      <c r="K774" s="117"/>
      <c r="L774" s="117"/>
      <c r="M774" s="117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</row>
    <row r="775">
      <c r="A775" s="117"/>
      <c r="B775" s="117"/>
      <c r="C775" s="117"/>
      <c r="D775" s="117"/>
      <c r="E775" s="117"/>
      <c r="F775" s="117"/>
      <c r="G775" s="117"/>
      <c r="H775" s="117"/>
      <c r="I775" s="117"/>
      <c r="J775" s="117"/>
      <c r="K775" s="117"/>
      <c r="L775" s="117"/>
      <c r="M775" s="117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</row>
    <row r="776">
      <c r="A776" s="117"/>
      <c r="B776" s="117"/>
      <c r="C776" s="117"/>
      <c r="D776" s="117"/>
      <c r="E776" s="117"/>
      <c r="F776" s="117"/>
      <c r="G776" s="117"/>
      <c r="H776" s="117"/>
      <c r="I776" s="117"/>
      <c r="J776" s="117"/>
      <c r="K776" s="117"/>
      <c r="L776" s="117"/>
      <c r="M776" s="117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</row>
    <row r="777">
      <c r="A777" s="117"/>
      <c r="B777" s="117"/>
      <c r="C777" s="117"/>
      <c r="D777" s="117"/>
      <c r="E777" s="117"/>
      <c r="F777" s="117"/>
      <c r="G777" s="117"/>
      <c r="H777" s="117"/>
      <c r="I777" s="117"/>
      <c r="J777" s="117"/>
      <c r="K777" s="117"/>
      <c r="L777" s="117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</row>
    <row r="778">
      <c r="A778" s="117"/>
      <c r="B778" s="117"/>
      <c r="C778" s="117"/>
      <c r="D778" s="117"/>
      <c r="E778" s="117"/>
      <c r="F778" s="117"/>
      <c r="G778" s="117"/>
      <c r="H778" s="117"/>
      <c r="I778" s="117"/>
      <c r="J778" s="117"/>
      <c r="K778" s="117"/>
      <c r="L778" s="117"/>
      <c r="M778" s="117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</row>
    <row r="779">
      <c r="A779" s="117"/>
      <c r="B779" s="117"/>
      <c r="C779" s="117"/>
      <c r="D779" s="117"/>
      <c r="E779" s="117"/>
      <c r="F779" s="117"/>
      <c r="G779" s="117"/>
      <c r="H779" s="117"/>
      <c r="I779" s="117"/>
      <c r="J779" s="117"/>
      <c r="K779" s="117"/>
      <c r="L779" s="117"/>
      <c r="M779" s="117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</row>
    <row r="780">
      <c r="A780" s="117"/>
      <c r="B780" s="117"/>
      <c r="C780" s="117"/>
      <c r="D780" s="117"/>
      <c r="E780" s="117"/>
      <c r="F780" s="117"/>
      <c r="G780" s="117"/>
      <c r="H780" s="117"/>
      <c r="I780" s="117"/>
      <c r="J780" s="117"/>
      <c r="K780" s="117"/>
      <c r="L780" s="117"/>
      <c r="M780" s="117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</row>
    <row r="781">
      <c r="A781" s="117"/>
      <c r="B781" s="117"/>
      <c r="C781" s="117"/>
      <c r="D781" s="117"/>
      <c r="E781" s="117"/>
      <c r="F781" s="117"/>
      <c r="G781" s="117"/>
      <c r="H781" s="117"/>
      <c r="I781" s="117"/>
      <c r="J781" s="117"/>
      <c r="K781" s="117"/>
      <c r="L781" s="117"/>
      <c r="M781" s="117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17"/>
      <c r="Y781" s="117"/>
      <c r="Z781" s="117"/>
    </row>
    <row r="782">
      <c r="A782" s="117"/>
      <c r="B782" s="117"/>
      <c r="C782" s="117"/>
      <c r="D782" s="117"/>
      <c r="E782" s="117"/>
      <c r="F782" s="117"/>
      <c r="G782" s="117"/>
      <c r="H782" s="117"/>
      <c r="I782" s="117"/>
      <c r="J782" s="117"/>
      <c r="K782" s="117"/>
      <c r="L782" s="117"/>
      <c r="M782" s="117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</row>
    <row r="783">
      <c r="A783" s="117"/>
      <c r="B783" s="117"/>
      <c r="C783" s="117"/>
      <c r="D783" s="117"/>
      <c r="E783" s="117"/>
      <c r="F783" s="117"/>
      <c r="G783" s="117"/>
      <c r="H783" s="117"/>
      <c r="I783" s="117"/>
      <c r="J783" s="117"/>
      <c r="K783" s="117"/>
      <c r="L783" s="117"/>
      <c r="M783" s="117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</row>
    <row r="784">
      <c r="A784" s="117"/>
      <c r="B784" s="117"/>
      <c r="C784" s="117"/>
      <c r="D784" s="117"/>
      <c r="E784" s="117"/>
      <c r="F784" s="117"/>
      <c r="G784" s="117"/>
      <c r="H784" s="117"/>
      <c r="I784" s="117"/>
      <c r="J784" s="117"/>
      <c r="K784" s="117"/>
      <c r="L784" s="117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</row>
    <row r="785">
      <c r="A785" s="117"/>
      <c r="B785" s="117"/>
      <c r="C785" s="117"/>
      <c r="D785" s="117"/>
      <c r="E785" s="117"/>
      <c r="F785" s="117"/>
      <c r="G785" s="117"/>
      <c r="H785" s="117"/>
      <c r="I785" s="117"/>
      <c r="J785" s="117"/>
      <c r="K785" s="117"/>
      <c r="L785" s="117"/>
      <c r="M785" s="117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</row>
    <row r="786">
      <c r="A786" s="117"/>
      <c r="B786" s="117"/>
      <c r="C786" s="117"/>
      <c r="D786" s="117"/>
      <c r="E786" s="117"/>
      <c r="F786" s="117"/>
      <c r="G786" s="117"/>
      <c r="H786" s="117"/>
      <c r="I786" s="117"/>
      <c r="J786" s="117"/>
      <c r="K786" s="117"/>
      <c r="L786" s="117"/>
      <c r="M786" s="117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</row>
    <row r="787">
      <c r="A787" s="117"/>
      <c r="B787" s="117"/>
      <c r="C787" s="117"/>
      <c r="D787" s="117"/>
      <c r="E787" s="117"/>
      <c r="F787" s="117"/>
      <c r="G787" s="117"/>
      <c r="H787" s="117"/>
      <c r="I787" s="117"/>
      <c r="J787" s="117"/>
      <c r="K787" s="117"/>
      <c r="L787" s="117"/>
      <c r="M787" s="117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</row>
    <row r="788">
      <c r="A788" s="117"/>
      <c r="B788" s="117"/>
      <c r="C788" s="117"/>
      <c r="D788" s="117"/>
      <c r="E788" s="117"/>
      <c r="F788" s="117"/>
      <c r="G788" s="117"/>
      <c r="H788" s="117"/>
      <c r="I788" s="117"/>
      <c r="J788" s="117"/>
      <c r="K788" s="117"/>
      <c r="L788" s="117"/>
      <c r="M788" s="117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</row>
    <row r="789">
      <c r="A789" s="117"/>
      <c r="B789" s="117"/>
      <c r="C789" s="117"/>
      <c r="D789" s="117"/>
      <c r="E789" s="117"/>
      <c r="F789" s="117"/>
      <c r="G789" s="117"/>
      <c r="H789" s="117"/>
      <c r="I789" s="117"/>
      <c r="J789" s="117"/>
      <c r="K789" s="117"/>
      <c r="L789" s="117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</row>
    <row r="790">
      <c r="A790" s="117"/>
      <c r="B790" s="117"/>
      <c r="C790" s="117"/>
      <c r="D790" s="117"/>
      <c r="E790" s="117"/>
      <c r="F790" s="117"/>
      <c r="G790" s="117"/>
      <c r="H790" s="117"/>
      <c r="I790" s="117"/>
      <c r="J790" s="117"/>
      <c r="K790" s="117"/>
      <c r="L790" s="117"/>
      <c r="M790" s="117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</row>
    <row r="791">
      <c r="A791" s="117"/>
      <c r="B791" s="117"/>
      <c r="C791" s="117"/>
      <c r="D791" s="117"/>
      <c r="E791" s="117"/>
      <c r="F791" s="117"/>
      <c r="G791" s="117"/>
      <c r="H791" s="117"/>
      <c r="I791" s="117"/>
      <c r="J791" s="117"/>
      <c r="K791" s="117"/>
      <c r="L791" s="117"/>
      <c r="M791" s="117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</row>
    <row r="792">
      <c r="A792" s="117"/>
      <c r="B792" s="117"/>
      <c r="C792" s="117"/>
      <c r="D792" s="117"/>
      <c r="E792" s="117"/>
      <c r="F792" s="117"/>
      <c r="G792" s="117"/>
      <c r="H792" s="117"/>
      <c r="I792" s="117"/>
      <c r="J792" s="117"/>
      <c r="K792" s="117"/>
      <c r="L792" s="117"/>
      <c r="M792" s="117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</row>
    <row r="793">
      <c r="A793" s="117"/>
      <c r="B793" s="117"/>
      <c r="C793" s="117"/>
      <c r="D793" s="117"/>
      <c r="E793" s="117"/>
      <c r="F793" s="117"/>
      <c r="G793" s="117"/>
      <c r="H793" s="117"/>
      <c r="I793" s="117"/>
      <c r="J793" s="117"/>
      <c r="K793" s="117"/>
      <c r="L793" s="117"/>
      <c r="M793" s="117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  <c r="Y793" s="117"/>
      <c r="Z793" s="117"/>
    </row>
    <row r="794">
      <c r="A794" s="117"/>
      <c r="B794" s="117"/>
      <c r="C794" s="117"/>
      <c r="D794" s="117"/>
      <c r="E794" s="117"/>
      <c r="F794" s="117"/>
      <c r="G794" s="117"/>
      <c r="H794" s="117"/>
      <c r="I794" s="117"/>
      <c r="J794" s="117"/>
      <c r="K794" s="117"/>
      <c r="L794" s="117"/>
      <c r="M794" s="117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</row>
    <row r="795">
      <c r="A795" s="117"/>
      <c r="B795" s="117"/>
      <c r="C795" s="117"/>
      <c r="D795" s="117"/>
      <c r="E795" s="117"/>
      <c r="F795" s="117"/>
      <c r="G795" s="117"/>
      <c r="H795" s="117"/>
      <c r="I795" s="117"/>
      <c r="J795" s="117"/>
      <c r="K795" s="117"/>
      <c r="L795" s="117"/>
      <c r="M795" s="117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</row>
    <row r="796">
      <c r="A796" s="117"/>
      <c r="B796" s="117"/>
      <c r="C796" s="117"/>
      <c r="D796" s="117"/>
      <c r="E796" s="117"/>
      <c r="F796" s="117"/>
      <c r="G796" s="117"/>
      <c r="H796" s="117"/>
      <c r="I796" s="117"/>
      <c r="J796" s="117"/>
      <c r="K796" s="117"/>
      <c r="L796" s="117"/>
      <c r="M796" s="117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</row>
    <row r="797">
      <c r="A797" s="117"/>
      <c r="B797" s="117"/>
      <c r="C797" s="117"/>
      <c r="D797" s="117"/>
      <c r="E797" s="117"/>
      <c r="F797" s="117"/>
      <c r="G797" s="117"/>
      <c r="H797" s="117"/>
      <c r="I797" s="117"/>
      <c r="J797" s="117"/>
      <c r="K797" s="117"/>
      <c r="L797" s="117"/>
      <c r="M797" s="117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</row>
    <row r="798">
      <c r="A798" s="117"/>
      <c r="B798" s="117"/>
      <c r="C798" s="117"/>
      <c r="D798" s="117"/>
      <c r="E798" s="117"/>
      <c r="F798" s="117"/>
      <c r="G798" s="117"/>
      <c r="H798" s="117"/>
      <c r="I798" s="117"/>
      <c r="J798" s="117"/>
      <c r="K798" s="117"/>
      <c r="L798" s="117"/>
      <c r="M798" s="117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</row>
    <row r="799">
      <c r="A799" s="117"/>
      <c r="B799" s="117"/>
      <c r="C799" s="117"/>
      <c r="D799" s="117"/>
      <c r="E799" s="117"/>
      <c r="F799" s="117"/>
      <c r="G799" s="117"/>
      <c r="H799" s="117"/>
      <c r="I799" s="117"/>
      <c r="J799" s="117"/>
      <c r="K799" s="117"/>
      <c r="L799" s="117"/>
      <c r="M799" s="117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</row>
    <row r="800">
      <c r="A800" s="117"/>
      <c r="B800" s="117"/>
      <c r="C800" s="117"/>
      <c r="D800" s="117"/>
      <c r="E800" s="117"/>
      <c r="F800" s="117"/>
      <c r="G800" s="117"/>
      <c r="H800" s="117"/>
      <c r="I800" s="117"/>
      <c r="J800" s="117"/>
      <c r="K800" s="117"/>
      <c r="L800" s="117"/>
      <c r="M800" s="117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</row>
    <row r="801">
      <c r="A801" s="117"/>
      <c r="B801" s="117"/>
      <c r="C801" s="117"/>
      <c r="D801" s="117"/>
      <c r="E801" s="117"/>
      <c r="F801" s="117"/>
      <c r="G801" s="117"/>
      <c r="H801" s="117"/>
      <c r="I801" s="117"/>
      <c r="J801" s="117"/>
      <c r="K801" s="117"/>
      <c r="L801" s="117"/>
      <c r="M801" s="117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</row>
    <row r="802">
      <c r="A802" s="117"/>
      <c r="B802" s="117"/>
      <c r="C802" s="117"/>
      <c r="D802" s="117"/>
      <c r="E802" s="117"/>
      <c r="F802" s="117"/>
      <c r="G802" s="117"/>
      <c r="H802" s="117"/>
      <c r="I802" s="117"/>
      <c r="J802" s="117"/>
      <c r="K802" s="117"/>
      <c r="L802" s="117"/>
      <c r="M802" s="117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</row>
    <row r="803">
      <c r="A803" s="117"/>
      <c r="B803" s="117"/>
      <c r="C803" s="117"/>
      <c r="D803" s="117"/>
      <c r="E803" s="117"/>
      <c r="F803" s="117"/>
      <c r="G803" s="117"/>
      <c r="H803" s="117"/>
      <c r="I803" s="117"/>
      <c r="J803" s="117"/>
      <c r="K803" s="117"/>
      <c r="L803" s="117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</row>
    <row r="804">
      <c r="A804" s="117"/>
      <c r="B804" s="117"/>
      <c r="C804" s="117"/>
      <c r="D804" s="117"/>
      <c r="E804" s="117"/>
      <c r="F804" s="117"/>
      <c r="G804" s="117"/>
      <c r="H804" s="117"/>
      <c r="I804" s="117"/>
      <c r="J804" s="117"/>
      <c r="K804" s="117"/>
      <c r="L804" s="117"/>
      <c r="M804" s="117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</row>
    <row r="805">
      <c r="A805" s="117"/>
      <c r="B805" s="117"/>
      <c r="C805" s="117"/>
      <c r="D805" s="117"/>
      <c r="E805" s="117"/>
      <c r="F805" s="117"/>
      <c r="G805" s="117"/>
      <c r="H805" s="117"/>
      <c r="I805" s="117"/>
      <c r="J805" s="117"/>
      <c r="K805" s="117"/>
      <c r="L805" s="117"/>
      <c r="M805" s="117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17"/>
      <c r="Y805" s="117"/>
      <c r="Z805" s="117"/>
    </row>
    <row r="806">
      <c r="A806" s="117"/>
      <c r="B806" s="117"/>
      <c r="C806" s="117"/>
      <c r="D806" s="117"/>
      <c r="E806" s="117"/>
      <c r="F806" s="117"/>
      <c r="G806" s="117"/>
      <c r="H806" s="117"/>
      <c r="I806" s="117"/>
      <c r="J806" s="117"/>
      <c r="K806" s="117"/>
      <c r="L806" s="117"/>
      <c r="M806" s="117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</row>
    <row r="807">
      <c r="A807" s="117"/>
      <c r="B807" s="117"/>
      <c r="C807" s="117"/>
      <c r="D807" s="117"/>
      <c r="E807" s="117"/>
      <c r="F807" s="117"/>
      <c r="G807" s="117"/>
      <c r="H807" s="117"/>
      <c r="I807" s="117"/>
      <c r="J807" s="117"/>
      <c r="K807" s="117"/>
      <c r="L807" s="117"/>
      <c r="M807" s="117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</row>
    <row r="808">
      <c r="A808" s="117"/>
      <c r="B808" s="117"/>
      <c r="C808" s="117"/>
      <c r="D808" s="117"/>
      <c r="E808" s="117"/>
      <c r="F808" s="117"/>
      <c r="G808" s="117"/>
      <c r="H808" s="117"/>
      <c r="I808" s="117"/>
      <c r="J808" s="117"/>
      <c r="K808" s="117"/>
      <c r="L808" s="117"/>
      <c r="M808" s="117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</row>
    <row r="809">
      <c r="A809" s="117"/>
      <c r="B809" s="117"/>
      <c r="C809" s="117"/>
      <c r="D809" s="117"/>
      <c r="E809" s="117"/>
      <c r="F809" s="117"/>
      <c r="G809" s="117"/>
      <c r="H809" s="117"/>
      <c r="I809" s="117"/>
      <c r="J809" s="117"/>
      <c r="K809" s="117"/>
      <c r="L809" s="117"/>
      <c r="M809" s="117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</row>
    <row r="810">
      <c r="A810" s="117"/>
      <c r="B810" s="117"/>
      <c r="C810" s="117"/>
      <c r="D810" s="117"/>
      <c r="E810" s="117"/>
      <c r="F810" s="117"/>
      <c r="G810" s="117"/>
      <c r="H810" s="117"/>
      <c r="I810" s="117"/>
      <c r="J810" s="117"/>
      <c r="K810" s="117"/>
      <c r="L810" s="117"/>
      <c r="M810" s="117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</row>
    <row r="811">
      <c r="A811" s="117"/>
      <c r="B811" s="117"/>
      <c r="C811" s="117"/>
      <c r="D811" s="117"/>
      <c r="E811" s="117"/>
      <c r="F811" s="117"/>
      <c r="G811" s="117"/>
      <c r="H811" s="117"/>
      <c r="I811" s="117"/>
      <c r="J811" s="117"/>
      <c r="K811" s="117"/>
      <c r="L811" s="117"/>
      <c r="M811" s="117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17"/>
      <c r="Y811" s="117"/>
      <c r="Z811" s="117"/>
    </row>
    <row r="812">
      <c r="A812" s="117"/>
      <c r="B812" s="117"/>
      <c r="C812" s="117"/>
      <c r="D812" s="117"/>
      <c r="E812" s="117"/>
      <c r="F812" s="117"/>
      <c r="G812" s="117"/>
      <c r="H812" s="117"/>
      <c r="I812" s="117"/>
      <c r="J812" s="117"/>
      <c r="K812" s="117"/>
      <c r="L812" s="117"/>
      <c r="M812" s="117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</row>
    <row r="813">
      <c r="A813" s="117"/>
      <c r="B813" s="117"/>
      <c r="C813" s="117"/>
      <c r="D813" s="117"/>
      <c r="E813" s="117"/>
      <c r="F813" s="117"/>
      <c r="G813" s="117"/>
      <c r="H813" s="117"/>
      <c r="I813" s="117"/>
      <c r="J813" s="117"/>
      <c r="K813" s="117"/>
      <c r="L813" s="117"/>
      <c r="M813" s="117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</row>
    <row r="814">
      <c r="A814" s="117"/>
      <c r="B814" s="117"/>
      <c r="C814" s="117"/>
      <c r="D814" s="117"/>
      <c r="E814" s="117"/>
      <c r="F814" s="117"/>
      <c r="G814" s="117"/>
      <c r="H814" s="117"/>
      <c r="I814" s="117"/>
      <c r="J814" s="117"/>
      <c r="K814" s="117"/>
      <c r="L814" s="117"/>
      <c r="M814" s="117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17"/>
      <c r="Y814" s="117"/>
      <c r="Z814" s="117"/>
    </row>
    <row r="815">
      <c r="A815" s="117"/>
      <c r="B815" s="117"/>
      <c r="C815" s="117"/>
      <c r="D815" s="117"/>
      <c r="E815" s="117"/>
      <c r="F815" s="117"/>
      <c r="G815" s="117"/>
      <c r="H815" s="117"/>
      <c r="I815" s="117"/>
      <c r="J815" s="117"/>
      <c r="K815" s="117"/>
      <c r="L815" s="117"/>
      <c r="M815" s="117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</row>
    <row r="816">
      <c r="A816" s="117"/>
      <c r="B816" s="117"/>
      <c r="C816" s="117"/>
      <c r="D816" s="117"/>
      <c r="E816" s="117"/>
      <c r="F816" s="117"/>
      <c r="G816" s="117"/>
      <c r="H816" s="117"/>
      <c r="I816" s="117"/>
      <c r="J816" s="117"/>
      <c r="K816" s="117"/>
      <c r="L816" s="117"/>
      <c r="M816" s="117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</row>
    <row r="817">
      <c r="A817" s="117"/>
      <c r="B817" s="117"/>
      <c r="C817" s="117"/>
      <c r="D817" s="117"/>
      <c r="E817" s="117"/>
      <c r="F817" s="117"/>
      <c r="G817" s="117"/>
      <c r="H817" s="117"/>
      <c r="I817" s="117"/>
      <c r="J817" s="117"/>
      <c r="K817" s="117"/>
      <c r="L817" s="117"/>
      <c r="M817" s="117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17"/>
      <c r="Y817" s="117"/>
      <c r="Z817" s="117"/>
    </row>
    <row r="818">
      <c r="A818" s="117"/>
      <c r="B818" s="117"/>
      <c r="C818" s="117"/>
      <c r="D818" s="117"/>
      <c r="E818" s="117"/>
      <c r="F818" s="117"/>
      <c r="G818" s="117"/>
      <c r="H818" s="117"/>
      <c r="I818" s="117"/>
      <c r="J818" s="117"/>
      <c r="K818" s="117"/>
      <c r="L818" s="117"/>
      <c r="M818" s="117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</row>
    <row r="819">
      <c r="A819" s="117"/>
      <c r="B819" s="117"/>
      <c r="C819" s="117"/>
      <c r="D819" s="117"/>
      <c r="E819" s="117"/>
      <c r="F819" s="117"/>
      <c r="G819" s="117"/>
      <c r="H819" s="117"/>
      <c r="I819" s="117"/>
      <c r="J819" s="117"/>
      <c r="K819" s="117"/>
      <c r="L819" s="117"/>
      <c r="M819" s="117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</row>
    <row r="820">
      <c r="A820" s="117"/>
      <c r="B820" s="117"/>
      <c r="C820" s="117"/>
      <c r="D820" s="117"/>
      <c r="E820" s="117"/>
      <c r="F820" s="117"/>
      <c r="G820" s="117"/>
      <c r="H820" s="117"/>
      <c r="I820" s="117"/>
      <c r="J820" s="117"/>
      <c r="K820" s="117"/>
      <c r="L820" s="117"/>
      <c r="M820" s="117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</row>
    <row r="821">
      <c r="A821" s="117"/>
      <c r="B821" s="117"/>
      <c r="C821" s="117"/>
      <c r="D821" s="117"/>
      <c r="E821" s="117"/>
      <c r="F821" s="117"/>
      <c r="G821" s="117"/>
      <c r="H821" s="117"/>
      <c r="I821" s="117"/>
      <c r="J821" s="117"/>
      <c r="K821" s="117"/>
      <c r="L821" s="117"/>
      <c r="M821" s="117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</row>
    <row r="822">
      <c r="A822" s="117"/>
      <c r="B822" s="117"/>
      <c r="C822" s="117"/>
      <c r="D822" s="117"/>
      <c r="E822" s="117"/>
      <c r="F822" s="117"/>
      <c r="G822" s="117"/>
      <c r="H822" s="117"/>
      <c r="I822" s="117"/>
      <c r="J822" s="117"/>
      <c r="K822" s="117"/>
      <c r="L822" s="117"/>
      <c r="M822" s="117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</row>
    <row r="823">
      <c r="A823" s="117"/>
      <c r="B823" s="117"/>
      <c r="C823" s="117"/>
      <c r="D823" s="117"/>
      <c r="E823" s="117"/>
      <c r="F823" s="117"/>
      <c r="G823" s="117"/>
      <c r="H823" s="117"/>
      <c r="I823" s="117"/>
      <c r="J823" s="117"/>
      <c r="K823" s="117"/>
      <c r="L823" s="117"/>
      <c r="M823" s="117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</row>
    <row r="824">
      <c r="A824" s="117"/>
      <c r="B824" s="117"/>
      <c r="C824" s="117"/>
      <c r="D824" s="117"/>
      <c r="E824" s="117"/>
      <c r="F824" s="117"/>
      <c r="G824" s="117"/>
      <c r="H824" s="117"/>
      <c r="I824" s="117"/>
      <c r="J824" s="117"/>
      <c r="K824" s="117"/>
      <c r="L824" s="117"/>
      <c r="M824" s="117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</row>
    <row r="825">
      <c r="A825" s="117"/>
      <c r="B825" s="117"/>
      <c r="C825" s="117"/>
      <c r="D825" s="117"/>
      <c r="E825" s="117"/>
      <c r="F825" s="117"/>
      <c r="G825" s="117"/>
      <c r="H825" s="117"/>
      <c r="I825" s="117"/>
      <c r="J825" s="117"/>
      <c r="K825" s="117"/>
      <c r="L825" s="117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</row>
    <row r="826">
      <c r="A826" s="117"/>
      <c r="B826" s="117"/>
      <c r="C826" s="117"/>
      <c r="D826" s="117"/>
      <c r="E826" s="117"/>
      <c r="F826" s="117"/>
      <c r="G826" s="117"/>
      <c r="H826" s="117"/>
      <c r="I826" s="117"/>
      <c r="J826" s="117"/>
      <c r="K826" s="117"/>
      <c r="L826" s="117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</row>
    <row r="827">
      <c r="A827" s="117"/>
      <c r="B827" s="117"/>
      <c r="C827" s="117"/>
      <c r="D827" s="117"/>
      <c r="E827" s="117"/>
      <c r="F827" s="117"/>
      <c r="G827" s="117"/>
      <c r="H827" s="117"/>
      <c r="I827" s="117"/>
      <c r="J827" s="117"/>
      <c r="K827" s="117"/>
      <c r="L827" s="117"/>
      <c r="M827" s="117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</row>
    <row r="828">
      <c r="A828" s="117"/>
      <c r="B828" s="117"/>
      <c r="C828" s="117"/>
      <c r="D828" s="117"/>
      <c r="E828" s="117"/>
      <c r="F828" s="117"/>
      <c r="G828" s="117"/>
      <c r="H828" s="117"/>
      <c r="I828" s="117"/>
      <c r="J828" s="117"/>
      <c r="K828" s="117"/>
      <c r="L828" s="117"/>
      <c r="M828" s="117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</row>
    <row r="829">
      <c r="A829" s="117"/>
      <c r="B829" s="117"/>
      <c r="C829" s="117"/>
      <c r="D829" s="117"/>
      <c r="E829" s="117"/>
      <c r="F829" s="117"/>
      <c r="G829" s="117"/>
      <c r="H829" s="117"/>
      <c r="I829" s="117"/>
      <c r="J829" s="117"/>
      <c r="K829" s="117"/>
      <c r="L829" s="117"/>
      <c r="M829" s="117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17"/>
      <c r="Y829" s="117"/>
      <c r="Z829" s="117"/>
    </row>
    <row r="830">
      <c r="A830" s="117"/>
      <c r="B830" s="117"/>
      <c r="C830" s="117"/>
      <c r="D830" s="117"/>
      <c r="E830" s="117"/>
      <c r="F830" s="117"/>
      <c r="G830" s="117"/>
      <c r="H830" s="117"/>
      <c r="I830" s="117"/>
      <c r="J830" s="117"/>
      <c r="K830" s="117"/>
      <c r="L830" s="117"/>
      <c r="M830" s="117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</row>
    <row r="831">
      <c r="A831" s="117"/>
      <c r="B831" s="117"/>
      <c r="C831" s="117"/>
      <c r="D831" s="117"/>
      <c r="E831" s="117"/>
      <c r="F831" s="117"/>
      <c r="G831" s="117"/>
      <c r="H831" s="117"/>
      <c r="I831" s="117"/>
      <c r="J831" s="117"/>
      <c r="K831" s="117"/>
      <c r="L831" s="117"/>
      <c r="M831" s="117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</row>
    <row r="832">
      <c r="A832" s="117"/>
      <c r="B832" s="117"/>
      <c r="C832" s="117"/>
      <c r="D832" s="117"/>
      <c r="E832" s="117"/>
      <c r="F832" s="117"/>
      <c r="G832" s="117"/>
      <c r="H832" s="117"/>
      <c r="I832" s="117"/>
      <c r="J832" s="117"/>
      <c r="K832" s="117"/>
      <c r="L832" s="117"/>
      <c r="M832" s="117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</row>
    <row r="833">
      <c r="A833" s="117"/>
      <c r="B833" s="117"/>
      <c r="C833" s="117"/>
      <c r="D833" s="117"/>
      <c r="E833" s="117"/>
      <c r="F833" s="117"/>
      <c r="G833" s="117"/>
      <c r="H833" s="117"/>
      <c r="I833" s="117"/>
      <c r="J833" s="117"/>
      <c r="K833" s="117"/>
      <c r="L833" s="117"/>
      <c r="M833" s="117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</row>
    <row r="834">
      <c r="A834" s="117"/>
      <c r="B834" s="117"/>
      <c r="C834" s="117"/>
      <c r="D834" s="117"/>
      <c r="E834" s="117"/>
      <c r="F834" s="117"/>
      <c r="G834" s="117"/>
      <c r="H834" s="117"/>
      <c r="I834" s="117"/>
      <c r="J834" s="117"/>
      <c r="K834" s="117"/>
      <c r="L834" s="117"/>
      <c r="M834" s="117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</row>
    <row r="835">
      <c r="A835" s="117"/>
      <c r="B835" s="117"/>
      <c r="C835" s="117"/>
      <c r="D835" s="117"/>
      <c r="E835" s="117"/>
      <c r="F835" s="117"/>
      <c r="G835" s="117"/>
      <c r="H835" s="117"/>
      <c r="I835" s="117"/>
      <c r="J835" s="117"/>
      <c r="K835" s="117"/>
      <c r="L835" s="117"/>
      <c r="M835" s="117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</row>
    <row r="836">
      <c r="A836" s="117"/>
      <c r="B836" s="117"/>
      <c r="C836" s="117"/>
      <c r="D836" s="117"/>
      <c r="E836" s="117"/>
      <c r="F836" s="117"/>
      <c r="G836" s="117"/>
      <c r="H836" s="117"/>
      <c r="I836" s="117"/>
      <c r="J836" s="117"/>
      <c r="K836" s="117"/>
      <c r="L836" s="117"/>
      <c r="M836" s="117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</row>
    <row r="837">
      <c r="A837" s="117"/>
      <c r="B837" s="117"/>
      <c r="C837" s="117"/>
      <c r="D837" s="117"/>
      <c r="E837" s="117"/>
      <c r="F837" s="117"/>
      <c r="G837" s="117"/>
      <c r="H837" s="117"/>
      <c r="I837" s="117"/>
      <c r="J837" s="117"/>
      <c r="K837" s="117"/>
      <c r="L837" s="117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</row>
    <row r="838">
      <c r="A838" s="117"/>
      <c r="B838" s="117"/>
      <c r="C838" s="117"/>
      <c r="D838" s="117"/>
      <c r="E838" s="117"/>
      <c r="F838" s="117"/>
      <c r="G838" s="117"/>
      <c r="H838" s="117"/>
      <c r="I838" s="117"/>
      <c r="J838" s="117"/>
      <c r="K838" s="117"/>
      <c r="L838" s="117"/>
      <c r="M838" s="117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</row>
    <row r="839">
      <c r="A839" s="117"/>
      <c r="B839" s="117"/>
      <c r="C839" s="117"/>
      <c r="D839" s="117"/>
      <c r="E839" s="117"/>
      <c r="F839" s="117"/>
      <c r="G839" s="117"/>
      <c r="H839" s="117"/>
      <c r="I839" s="117"/>
      <c r="J839" s="117"/>
      <c r="K839" s="117"/>
      <c r="L839" s="117"/>
      <c r="M839" s="117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</row>
    <row r="840">
      <c r="A840" s="117"/>
      <c r="B840" s="117"/>
      <c r="C840" s="117"/>
      <c r="D840" s="117"/>
      <c r="E840" s="117"/>
      <c r="F840" s="117"/>
      <c r="G840" s="117"/>
      <c r="H840" s="117"/>
      <c r="I840" s="117"/>
      <c r="J840" s="117"/>
      <c r="K840" s="117"/>
      <c r="L840" s="117"/>
      <c r="M840" s="117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</row>
    <row r="841">
      <c r="A841" s="117"/>
      <c r="B841" s="117"/>
      <c r="C841" s="117"/>
      <c r="D841" s="117"/>
      <c r="E841" s="117"/>
      <c r="F841" s="117"/>
      <c r="G841" s="117"/>
      <c r="H841" s="117"/>
      <c r="I841" s="117"/>
      <c r="J841" s="117"/>
      <c r="K841" s="117"/>
      <c r="L841" s="117"/>
      <c r="M841" s="117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17"/>
      <c r="Y841" s="117"/>
      <c r="Z841" s="117"/>
    </row>
    <row r="842">
      <c r="A842" s="117"/>
      <c r="B842" s="117"/>
      <c r="C842" s="117"/>
      <c r="D842" s="117"/>
      <c r="E842" s="117"/>
      <c r="F842" s="117"/>
      <c r="G842" s="117"/>
      <c r="H842" s="117"/>
      <c r="I842" s="117"/>
      <c r="J842" s="117"/>
      <c r="K842" s="117"/>
      <c r="L842" s="117"/>
      <c r="M842" s="117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</row>
    <row r="843">
      <c r="A843" s="117"/>
      <c r="B843" s="117"/>
      <c r="C843" s="117"/>
      <c r="D843" s="117"/>
      <c r="E843" s="117"/>
      <c r="F843" s="117"/>
      <c r="G843" s="117"/>
      <c r="H843" s="117"/>
      <c r="I843" s="117"/>
      <c r="J843" s="117"/>
      <c r="K843" s="117"/>
      <c r="L843" s="117"/>
      <c r="M843" s="117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</row>
    <row r="844">
      <c r="A844" s="117"/>
      <c r="B844" s="117"/>
      <c r="C844" s="117"/>
      <c r="D844" s="117"/>
      <c r="E844" s="117"/>
      <c r="F844" s="117"/>
      <c r="G844" s="117"/>
      <c r="H844" s="117"/>
      <c r="I844" s="117"/>
      <c r="J844" s="117"/>
      <c r="K844" s="117"/>
      <c r="L844" s="117"/>
      <c r="M844" s="117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</row>
    <row r="845">
      <c r="A845" s="117"/>
      <c r="B845" s="117"/>
      <c r="C845" s="117"/>
      <c r="D845" s="117"/>
      <c r="E845" s="117"/>
      <c r="F845" s="117"/>
      <c r="G845" s="117"/>
      <c r="H845" s="117"/>
      <c r="I845" s="117"/>
      <c r="J845" s="117"/>
      <c r="K845" s="117"/>
      <c r="L845" s="117"/>
      <c r="M845" s="117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</row>
    <row r="846">
      <c r="A846" s="117"/>
      <c r="B846" s="117"/>
      <c r="C846" s="117"/>
      <c r="D846" s="117"/>
      <c r="E846" s="117"/>
      <c r="F846" s="117"/>
      <c r="G846" s="117"/>
      <c r="H846" s="117"/>
      <c r="I846" s="117"/>
      <c r="J846" s="117"/>
      <c r="K846" s="117"/>
      <c r="L846" s="117"/>
      <c r="M846" s="117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</row>
    <row r="847">
      <c r="A847" s="117"/>
      <c r="B847" s="117"/>
      <c r="C847" s="117"/>
      <c r="D847" s="117"/>
      <c r="E847" s="117"/>
      <c r="F847" s="117"/>
      <c r="G847" s="117"/>
      <c r="H847" s="117"/>
      <c r="I847" s="117"/>
      <c r="J847" s="117"/>
      <c r="K847" s="117"/>
      <c r="L847" s="117"/>
      <c r="M847" s="117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</row>
    <row r="848">
      <c r="A848" s="117"/>
      <c r="B848" s="117"/>
      <c r="C848" s="117"/>
      <c r="D848" s="117"/>
      <c r="E848" s="117"/>
      <c r="F848" s="117"/>
      <c r="G848" s="117"/>
      <c r="H848" s="117"/>
      <c r="I848" s="117"/>
      <c r="J848" s="117"/>
      <c r="K848" s="117"/>
      <c r="L848" s="117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</row>
    <row r="849">
      <c r="A849" s="117"/>
      <c r="B849" s="117"/>
      <c r="C849" s="117"/>
      <c r="D849" s="117"/>
      <c r="E849" s="117"/>
      <c r="F849" s="117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</row>
    <row r="850">
      <c r="A850" s="117"/>
      <c r="B850" s="117"/>
      <c r="C850" s="117"/>
      <c r="D850" s="117"/>
      <c r="E850" s="117"/>
      <c r="F850" s="117"/>
      <c r="G850" s="117"/>
      <c r="H850" s="117"/>
      <c r="I850" s="117"/>
      <c r="J850" s="117"/>
      <c r="K850" s="117"/>
      <c r="L850" s="117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</row>
    <row r="851">
      <c r="A851" s="117"/>
      <c r="B851" s="117"/>
      <c r="C851" s="117"/>
      <c r="D851" s="117"/>
      <c r="E851" s="117"/>
      <c r="F851" s="117"/>
      <c r="G851" s="117"/>
      <c r="H851" s="117"/>
      <c r="I851" s="117"/>
      <c r="J851" s="117"/>
      <c r="K851" s="117"/>
      <c r="L851" s="117"/>
      <c r="M851" s="117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</row>
    <row r="852">
      <c r="A852" s="117"/>
      <c r="B852" s="117"/>
      <c r="C852" s="117"/>
      <c r="D852" s="117"/>
      <c r="E852" s="117"/>
      <c r="F852" s="117"/>
      <c r="G852" s="117"/>
      <c r="H852" s="117"/>
      <c r="I852" s="117"/>
      <c r="J852" s="117"/>
      <c r="K852" s="117"/>
      <c r="L852" s="117"/>
      <c r="M852" s="117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</row>
    <row r="853">
      <c r="A853" s="117"/>
      <c r="B853" s="117"/>
      <c r="C853" s="117"/>
      <c r="D853" s="117"/>
      <c r="E853" s="117"/>
      <c r="F853" s="117"/>
      <c r="G853" s="117"/>
      <c r="H853" s="117"/>
      <c r="I853" s="117"/>
      <c r="J853" s="117"/>
      <c r="K853" s="117"/>
      <c r="L853" s="117"/>
      <c r="M853" s="117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17"/>
      <c r="Y853" s="117"/>
      <c r="Z853" s="117"/>
    </row>
    <row r="854">
      <c r="A854" s="117"/>
      <c r="B854" s="117"/>
      <c r="C854" s="117"/>
      <c r="D854" s="117"/>
      <c r="E854" s="117"/>
      <c r="F854" s="117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</row>
    <row r="855">
      <c r="A855" s="117"/>
      <c r="B855" s="117"/>
      <c r="C855" s="117"/>
      <c r="D855" s="117"/>
      <c r="E855" s="117"/>
      <c r="F855" s="117"/>
      <c r="G855" s="117"/>
      <c r="H855" s="117"/>
      <c r="I855" s="117"/>
      <c r="J855" s="117"/>
      <c r="K855" s="117"/>
      <c r="L855" s="117"/>
      <c r="M855" s="117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</row>
    <row r="856">
      <c r="A856" s="117"/>
      <c r="B856" s="117"/>
      <c r="C856" s="117"/>
      <c r="D856" s="117"/>
      <c r="E856" s="117"/>
      <c r="F856" s="117"/>
      <c r="G856" s="117"/>
      <c r="H856" s="117"/>
      <c r="I856" s="117"/>
      <c r="J856" s="117"/>
      <c r="K856" s="117"/>
      <c r="L856" s="117"/>
      <c r="M856" s="117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</row>
    <row r="857">
      <c r="A857" s="117"/>
      <c r="B857" s="117"/>
      <c r="C857" s="117"/>
      <c r="D857" s="117"/>
      <c r="E857" s="117"/>
      <c r="F857" s="117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</row>
    <row r="858">
      <c r="A858" s="117"/>
      <c r="B858" s="117"/>
      <c r="C858" s="117"/>
      <c r="D858" s="117"/>
      <c r="E858" s="117"/>
      <c r="F858" s="117"/>
      <c r="G858" s="117"/>
      <c r="H858" s="117"/>
      <c r="I858" s="11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</row>
    <row r="859">
      <c r="A859" s="117"/>
      <c r="B859" s="117"/>
      <c r="C859" s="117"/>
      <c r="D859" s="117"/>
      <c r="E859" s="117"/>
      <c r="F859" s="117"/>
      <c r="G859" s="117"/>
      <c r="H859" s="117"/>
      <c r="I859" s="11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</row>
    <row r="860">
      <c r="A860" s="117"/>
      <c r="B860" s="117"/>
      <c r="C860" s="117"/>
      <c r="D860" s="117"/>
      <c r="E860" s="117"/>
      <c r="F860" s="117"/>
      <c r="G860" s="117"/>
      <c r="H860" s="117"/>
      <c r="I860" s="117"/>
      <c r="J860" s="117"/>
      <c r="K860" s="117"/>
      <c r="L860" s="117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</row>
    <row r="861">
      <c r="A861" s="117"/>
      <c r="B861" s="117"/>
      <c r="C861" s="117"/>
      <c r="D861" s="117"/>
      <c r="E861" s="117"/>
      <c r="F861" s="117"/>
      <c r="G861" s="117"/>
      <c r="H861" s="117"/>
      <c r="I861" s="117"/>
      <c r="J861" s="117"/>
      <c r="K861" s="117"/>
      <c r="L861" s="117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</row>
    <row r="862">
      <c r="A862" s="117"/>
      <c r="B862" s="117"/>
      <c r="C862" s="117"/>
      <c r="D862" s="117"/>
      <c r="E862" s="117"/>
      <c r="F862" s="117"/>
      <c r="G862" s="117"/>
      <c r="H862" s="117"/>
      <c r="I862" s="117"/>
      <c r="J862" s="117"/>
      <c r="K862" s="117"/>
      <c r="L862" s="117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  <c r="Y862" s="117"/>
      <c r="Z862" s="117"/>
    </row>
    <row r="863">
      <c r="A863" s="117"/>
      <c r="B863" s="117"/>
      <c r="C863" s="117"/>
      <c r="D863" s="117"/>
      <c r="E863" s="117"/>
      <c r="F863" s="117"/>
      <c r="G863" s="117"/>
      <c r="H863" s="117"/>
      <c r="I863" s="117"/>
      <c r="J863" s="117"/>
      <c r="K863" s="117"/>
      <c r="L863" s="117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</row>
    <row r="864">
      <c r="A864" s="117"/>
      <c r="B864" s="117"/>
      <c r="C864" s="117"/>
      <c r="D864" s="117"/>
      <c r="E864" s="117"/>
      <c r="F864" s="117"/>
      <c r="G864" s="117"/>
      <c r="H864" s="117"/>
      <c r="I864" s="117"/>
      <c r="J864" s="117"/>
      <c r="K864" s="117"/>
      <c r="L864" s="117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</row>
    <row r="865">
      <c r="A865" s="117"/>
      <c r="B865" s="117"/>
      <c r="C865" s="117"/>
      <c r="D865" s="117"/>
      <c r="E865" s="117"/>
      <c r="F865" s="117"/>
      <c r="G865" s="117"/>
      <c r="H865" s="117"/>
      <c r="I865" s="117"/>
      <c r="J865" s="117"/>
      <c r="K865" s="117"/>
      <c r="L865" s="117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  <c r="Y865" s="117"/>
      <c r="Z865" s="117"/>
    </row>
    <row r="866">
      <c r="A866" s="117"/>
      <c r="B866" s="117"/>
      <c r="C866" s="117"/>
      <c r="D866" s="117"/>
      <c r="E866" s="117"/>
      <c r="F866" s="117"/>
      <c r="G866" s="117"/>
      <c r="H866" s="117"/>
      <c r="I866" s="117"/>
      <c r="J866" s="117"/>
      <c r="K866" s="117"/>
      <c r="L866" s="117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</row>
    <row r="867">
      <c r="A867" s="117"/>
      <c r="B867" s="117"/>
      <c r="C867" s="117"/>
      <c r="D867" s="117"/>
      <c r="E867" s="117"/>
      <c r="F867" s="117"/>
      <c r="G867" s="117"/>
      <c r="H867" s="117"/>
      <c r="I867" s="117"/>
      <c r="J867" s="117"/>
      <c r="K867" s="117"/>
      <c r="L867" s="117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</row>
    <row r="868">
      <c r="A868" s="117"/>
      <c r="B868" s="117"/>
      <c r="C868" s="117"/>
      <c r="D868" s="117"/>
      <c r="E868" s="117"/>
      <c r="F868" s="117"/>
      <c r="G868" s="117"/>
      <c r="H868" s="117"/>
      <c r="I868" s="117"/>
      <c r="J868" s="117"/>
      <c r="K868" s="117"/>
      <c r="L868" s="117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</row>
    <row r="869">
      <c r="A869" s="117"/>
      <c r="B869" s="117"/>
      <c r="C869" s="117"/>
      <c r="D869" s="117"/>
      <c r="E869" s="117"/>
      <c r="F869" s="117"/>
      <c r="G869" s="117"/>
      <c r="H869" s="117"/>
      <c r="I869" s="117"/>
      <c r="J869" s="117"/>
      <c r="K869" s="117"/>
      <c r="L869" s="117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</row>
    <row r="870">
      <c r="A870" s="117"/>
      <c r="B870" s="117"/>
      <c r="C870" s="117"/>
      <c r="D870" s="117"/>
      <c r="E870" s="117"/>
      <c r="F870" s="117"/>
      <c r="G870" s="117"/>
      <c r="H870" s="117"/>
      <c r="I870" s="117"/>
      <c r="J870" s="117"/>
      <c r="K870" s="117"/>
      <c r="L870" s="117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</row>
    <row r="871">
      <c r="A871" s="117"/>
      <c r="B871" s="117"/>
      <c r="C871" s="117"/>
      <c r="D871" s="117"/>
      <c r="E871" s="117"/>
      <c r="F871" s="117"/>
      <c r="G871" s="117"/>
      <c r="H871" s="117"/>
      <c r="I871" s="117"/>
      <c r="J871" s="117"/>
      <c r="K871" s="117"/>
      <c r="L871" s="117"/>
      <c r="M871" s="117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</row>
    <row r="872">
      <c r="A872" s="117"/>
      <c r="B872" s="117"/>
      <c r="C872" s="117"/>
      <c r="D872" s="117"/>
      <c r="E872" s="117"/>
      <c r="F872" s="117"/>
      <c r="G872" s="117"/>
      <c r="H872" s="117"/>
      <c r="I872" s="117"/>
      <c r="J872" s="117"/>
      <c r="K872" s="117"/>
      <c r="L872" s="117"/>
      <c r="M872" s="117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</row>
    <row r="873">
      <c r="A873" s="117"/>
      <c r="B873" s="117"/>
      <c r="C873" s="117"/>
      <c r="D873" s="117"/>
      <c r="E873" s="117"/>
      <c r="F873" s="117"/>
      <c r="G873" s="117"/>
      <c r="H873" s="117"/>
      <c r="I873" s="117"/>
      <c r="J873" s="117"/>
      <c r="K873" s="117"/>
      <c r="L873" s="117"/>
      <c r="M873" s="117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</row>
    <row r="874">
      <c r="A874" s="117"/>
      <c r="B874" s="117"/>
      <c r="C874" s="117"/>
      <c r="D874" s="117"/>
      <c r="E874" s="117"/>
      <c r="F874" s="117"/>
      <c r="G874" s="117"/>
      <c r="H874" s="117"/>
      <c r="I874" s="117"/>
      <c r="J874" s="117"/>
      <c r="K874" s="117"/>
      <c r="L874" s="117"/>
      <c r="M874" s="117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</row>
    <row r="875">
      <c r="A875" s="117"/>
      <c r="B875" s="117"/>
      <c r="C875" s="117"/>
      <c r="D875" s="117"/>
      <c r="E875" s="117"/>
      <c r="F875" s="117"/>
      <c r="G875" s="117"/>
      <c r="H875" s="117"/>
      <c r="I875" s="117"/>
      <c r="J875" s="117"/>
      <c r="K875" s="117"/>
      <c r="L875" s="117"/>
      <c r="M875" s="117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</row>
    <row r="876">
      <c r="A876" s="117"/>
      <c r="B876" s="117"/>
      <c r="C876" s="117"/>
      <c r="D876" s="117"/>
      <c r="E876" s="117"/>
      <c r="F876" s="117"/>
      <c r="G876" s="117"/>
      <c r="H876" s="117"/>
      <c r="I876" s="117"/>
      <c r="J876" s="117"/>
      <c r="K876" s="117"/>
      <c r="L876" s="117"/>
      <c r="M876" s="117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</row>
    <row r="877">
      <c r="A877" s="117"/>
      <c r="B877" s="117"/>
      <c r="C877" s="117"/>
      <c r="D877" s="117"/>
      <c r="E877" s="117"/>
      <c r="F877" s="117"/>
      <c r="G877" s="117"/>
      <c r="H877" s="117"/>
      <c r="I877" s="117"/>
      <c r="J877" s="117"/>
      <c r="K877" s="117"/>
      <c r="L877" s="117"/>
      <c r="M877" s="117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17"/>
      <c r="Y877" s="117"/>
      <c r="Z877" s="117"/>
    </row>
    <row r="878">
      <c r="A878" s="117"/>
      <c r="B878" s="117"/>
      <c r="C878" s="117"/>
      <c r="D878" s="117"/>
      <c r="E878" s="117"/>
      <c r="F878" s="117"/>
      <c r="G878" s="117"/>
      <c r="H878" s="117"/>
      <c r="I878" s="117"/>
      <c r="J878" s="117"/>
      <c r="K878" s="117"/>
      <c r="L878" s="117"/>
      <c r="M878" s="117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</row>
    <row r="879">
      <c r="A879" s="117"/>
      <c r="B879" s="117"/>
      <c r="C879" s="117"/>
      <c r="D879" s="117"/>
      <c r="E879" s="117"/>
      <c r="F879" s="117"/>
      <c r="G879" s="117"/>
      <c r="H879" s="117"/>
      <c r="I879" s="117"/>
      <c r="J879" s="117"/>
      <c r="K879" s="117"/>
      <c r="L879" s="117"/>
      <c r="M879" s="117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</row>
    <row r="880">
      <c r="A880" s="117"/>
      <c r="B880" s="117"/>
      <c r="C880" s="117"/>
      <c r="D880" s="117"/>
      <c r="E880" s="117"/>
      <c r="F880" s="117"/>
      <c r="G880" s="117"/>
      <c r="H880" s="117"/>
      <c r="I880" s="117"/>
      <c r="J880" s="117"/>
      <c r="K880" s="117"/>
      <c r="L880" s="117"/>
      <c r="M880" s="117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</row>
    <row r="881">
      <c r="A881" s="117"/>
      <c r="B881" s="117"/>
      <c r="C881" s="117"/>
      <c r="D881" s="117"/>
      <c r="E881" s="117"/>
      <c r="F881" s="117"/>
      <c r="G881" s="117"/>
      <c r="H881" s="117"/>
      <c r="I881" s="117"/>
      <c r="J881" s="117"/>
      <c r="K881" s="117"/>
      <c r="L881" s="117"/>
      <c r="M881" s="117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</row>
    <row r="882">
      <c r="A882" s="117"/>
      <c r="B882" s="117"/>
      <c r="C882" s="117"/>
      <c r="D882" s="117"/>
      <c r="E882" s="117"/>
      <c r="F882" s="117"/>
      <c r="G882" s="117"/>
      <c r="H882" s="117"/>
      <c r="I882" s="117"/>
      <c r="J882" s="117"/>
      <c r="K882" s="117"/>
      <c r="L882" s="117"/>
      <c r="M882" s="117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</row>
    <row r="883">
      <c r="A883" s="117"/>
      <c r="B883" s="117"/>
      <c r="C883" s="117"/>
      <c r="D883" s="117"/>
      <c r="E883" s="117"/>
      <c r="F883" s="117"/>
      <c r="G883" s="117"/>
      <c r="H883" s="117"/>
      <c r="I883" s="117"/>
      <c r="J883" s="117"/>
      <c r="K883" s="117"/>
      <c r="L883" s="117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</row>
    <row r="884">
      <c r="A884" s="117"/>
      <c r="B884" s="117"/>
      <c r="C884" s="117"/>
      <c r="D884" s="117"/>
      <c r="E884" s="117"/>
      <c r="F884" s="117"/>
      <c r="G884" s="117"/>
      <c r="H884" s="117"/>
      <c r="I884" s="117"/>
      <c r="J884" s="117"/>
      <c r="K884" s="117"/>
      <c r="L884" s="117"/>
      <c r="M884" s="117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</row>
    <row r="885">
      <c r="A885" s="117"/>
      <c r="B885" s="117"/>
      <c r="C885" s="117"/>
      <c r="D885" s="117"/>
      <c r="E885" s="117"/>
      <c r="F885" s="117"/>
      <c r="G885" s="117"/>
      <c r="H885" s="117"/>
      <c r="I885" s="117"/>
      <c r="J885" s="117"/>
      <c r="K885" s="117"/>
      <c r="L885" s="117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</row>
    <row r="886">
      <c r="A886" s="117"/>
      <c r="B886" s="117"/>
      <c r="C886" s="117"/>
      <c r="D886" s="117"/>
      <c r="E886" s="117"/>
      <c r="F886" s="117"/>
      <c r="G886" s="117"/>
      <c r="H886" s="117"/>
      <c r="I886" s="117"/>
      <c r="J886" s="117"/>
      <c r="K886" s="117"/>
      <c r="L886" s="117"/>
      <c r="M886" s="117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</row>
    <row r="887">
      <c r="A887" s="117"/>
      <c r="B887" s="117"/>
      <c r="C887" s="117"/>
      <c r="D887" s="117"/>
      <c r="E887" s="117"/>
      <c r="F887" s="117"/>
      <c r="G887" s="117"/>
      <c r="H887" s="117"/>
      <c r="I887" s="117"/>
      <c r="J887" s="117"/>
      <c r="K887" s="117"/>
      <c r="L887" s="117"/>
      <c r="M887" s="117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</row>
    <row r="888">
      <c r="A888" s="117"/>
      <c r="B888" s="117"/>
      <c r="C888" s="117"/>
      <c r="D888" s="117"/>
      <c r="E888" s="117"/>
      <c r="F888" s="117"/>
      <c r="G888" s="117"/>
      <c r="H888" s="117"/>
      <c r="I888" s="117"/>
      <c r="J888" s="117"/>
      <c r="K888" s="117"/>
      <c r="L888" s="117"/>
      <c r="M888" s="117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</row>
    <row r="889">
      <c r="A889" s="117"/>
      <c r="B889" s="117"/>
      <c r="C889" s="117"/>
      <c r="D889" s="117"/>
      <c r="E889" s="117"/>
      <c r="F889" s="117"/>
      <c r="G889" s="117"/>
      <c r="H889" s="117"/>
      <c r="I889" s="117"/>
      <c r="J889" s="117"/>
      <c r="K889" s="117"/>
      <c r="L889" s="117"/>
      <c r="M889" s="117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17"/>
      <c r="Y889" s="117"/>
      <c r="Z889" s="117"/>
    </row>
    <row r="890">
      <c r="A890" s="117"/>
      <c r="B890" s="117"/>
      <c r="C890" s="117"/>
      <c r="D890" s="117"/>
      <c r="E890" s="117"/>
      <c r="F890" s="117"/>
      <c r="G890" s="117"/>
      <c r="H890" s="117"/>
      <c r="I890" s="117"/>
      <c r="J890" s="117"/>
      <c r="K890" s="117"/>
      <c r="L890" s="117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</row>
    <row r="891">
      <c r="A891" s="117"/>
      <c r="B891" s="117"/>
      <c r="C891" s="117"/>
      <c r="D891" s="117"/>
      <c r="E891" s="117"/>
      <c r="F891" s="117"/>
      <c r="G891" s="117"/>
      <c r="H891" s="117"/>
      <c r="I891" s="117"/>
      <c r="J891" s="117"/>
      <c r="K891" s="117"/>
      <c r="L891" s="117"/>
      <c r="M891" s="117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</row>
    <row r="892">
      <c r="A892" s="117"/>
      <c r="B892" s="117"/>
      <c r="C892" s="117"/>
      <c r="D892" s="117"/>
      <c r="E892" s="117"/>
      <c r="F892" s="117"/>
      <c r="G892" s="117"/>
      <c r="H892" s="117"/>
      <c r="I892" s="117"/>
      <c r="J892" s="117"/>
      <c r="K892" s="117"/>
      <c r="L892" s="117"/>
      <c r="M892" s="117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</row>
    <row r="893">
      <c r="A893" s="117"/>
      <c r="B893" s="117"/>
      <c r="C893" s="117"/>
      <c r="D893" s="117"/>
      <c r="E893" s="117"/>
      <c r="F893" s="117"/>
      <c r="G893" s="117"/>
      <c r="H893" s="117"/>
      <c r="I893" s="117"/>
      <c r="J893" s="117"/>
      <c r="K893" s="117"/>
      <c r="L893" s="117"/>
      <c r="M893" s="117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</row>
    <row r="894">
      <c r="A894" s="117"/>
      <c r="B894" s="117"/>
      <c r="C894" s="117"/>
      <c r="D894" s="117"/>
      <c r="E894" s="117"/>
      <c r="F894" s="117"/>
      <c r="G894" s="117"/>
      <c r="H894" s="117"/>
      <c r="I894" s="117"/>
      <c r="J894" s="117"/>
      <c r="K894" s="117"/>
      <c r="L894" s="117"/>
      <c r="M894" s="117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</row>
    <row r="895">
      <c r="A895" s="117"/>
      <c r="B895" s="117"/>
      <c r="C895" s="117"/>
      <c r="D895" s="117"/>
      <c r="E895" s="117"/>
      <c r="F895" s="117"/>
      <c r="G895" s="117"/>
      <c r="H895" s="117"/>
      <c r="I895" s="117"/>
      <c r="J895" s="117"/>
      <c r="K895" s="117"/>
      <c r="L895" s="117"/>
      <c r="M895" s="117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</row>
    <row r="896">
      <c r="A896" s="117"/>
      <c r="B896" s="117"/>
      <c r="C896" s="117"/>
      <c r="D896" s="117"/>
      <c r="E896" s="117"/>
      <c r="F896" s="117"/>
      <c r="G896" s="117"/>
      <c r="H896" s="117"/>
      <c r="I896" s="117"/>
      <c r="J896" s="117"/>
      <c r="K896" s="117"/>
      <c r="L896" s="117"/>
      <c r="M896" s="117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</row>
    <row r="897">
      <c r="A897" s="117"/>
      <c r="B897" s="117"/>
      <c r="C897" s="117"/>
      <c r="D897" s="117"/>
      <c r="E897" s="117"/>
      <c r="F897" s="117"/>
      <c r="G897" s="117"/>
      <c r="H897" s="117"/>
      <c r="I897" s="117"/>
      <c r="J897" s="117"/>
      <c r="K897" s="117"/>
      <c r="L897" s="117"/>
      <c r="M897" s="117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</row>
    <row r="898">
      <c r="A898" s="117"/>
      <c r="B898" s="117"/>
      <c r="C898" s="117"/>
      <c r="D898" s="117"/>
      <c r="E898" s="117"/>
      <c r="F898" s="117"/>
      <c r="G898" s="117"/>
      <c r="H898" s="117"/>
      <c r="I898" s="117"/>
      <c r="J898" s="117"/>
      <c r="K898" s="117"/>
      <c r="L898" s="117"/>
      <c r="M898" s="117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</row>
    <row r="899">
      <c r="A899" s="117"/>
      <c r="B899" s="117"/>
      <c r="C899" s="117"/>
      <c r="D899" s="117"/>
      <c r="E899" s="117"/>
      <c r="F899" s="117"/>
      <c r="G899" s="117"/>
      <c r="H899" s="117"/>
      <c r="I899" s="117"/>
      <c r="J899" s="117"/>
      <c r="K899" s="117"/>
      <c r="L899" s="117"/>
      <c r="M899" s="117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</row>
    <row r="900">
      <c r="A900" s="117"/>
      <c r="B900" s="117"/>
      <c r="C900" s="117"/>
      <c r="D900" s="117"/>
      <c r="E900" s="117"/>
      <c r="F900" s="117"/>
      <c r="G900" s="117"/>
      <c r="H900" s="117"/>
      <c r="I900" s="117"/>
      <c r="J900" s="117"/>
      <c r="K900" s="117"/>
      <c r="L900" s="117"/>
      <c r="M900" s="117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</row>
    <row r="901">
      <c r="A901" s="117"/>
      <c r="B901" s="117"/>
      <c r="C901" s="117"/>
      <c r="D901" s="117"/>
      <c r="E901" s="117"/>
      <c r="F901" s="117"/>
      <c r="G901" s="117"/>
      <c r="H901" s="117"/>
      <c r="I901" s="117"/>
      <c r="J901" s="117"/>
      <c r="K901" s="117"/>
      <c r="L901" s="117"/>
      <c r="M901" s="117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  <c r="X901" s="117"/>
      <c r="Y901" s="117"/>
      <c r="Z901" s="117"/>
    </row>
    <row r="902">
      <c r="A902" s="117"/>
      <c r="B902" s="117"/>
      <c r="C902" s="117"/>
      <c r="D902" s="117"/>
      <c r="E902" s="117"/>
      <c r="F902" s="117"/>
      <c r="G902" s="117"/>
      <c r="H902" s="117"/>
      <c r="I902" s="117"/>
      <c r="J902" s="117"/>
      <c r="K902" s="117"/>
      <c r="L902" s="117"/>
      <c r="M902" s="117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</row>
    <row r="903">
      <c r="A903" s="117"/>
      <c r="B903" s="117"/>
      <c r="C903" s="117"/>
      <c r="D903" s="117"/>
      <c r="E903" s="117"/>
      <c r="F903" s="117"/>
      <c r="G903" s="117"/>
      <c r="H903" s="117"/>
      <c r="I903" s="117"/>
      <c r="J903" s="117"/>
      <c r="K903" s="117"/>
      <c r="L903" s="117"/>
      <c r="M903" s="117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</row>
    <row r="904">
      <c r="A904" s="117"/>
      <c r="B904" s="117"/>
      <c r="C904" s="117"/>
      <c r="D904" s="117"/>
      <c r="E904" s="117"/>
      <c r="F904" s="117"/>
      <c r="G904" s="117"/>
      <c r="H904" s="117"/>
      <c r="I904" s="117"/>
      <c r="J904" s="117"/>
      <c r="K904" s="117"/>
      <c r="L904" s="117"/>
      <c r="M904" s="117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</row>
    <row r="905">
      <c r="A905" s="117"/>
      <c r="B905" s="117"/>
      <c r="C905" s="117"/>
      <c r="D905" s="117"/>
      <c r="E905" s="117"/>
      <c r="F905" s="117"/>
      <c r="G905" s="117"/>
      <c r="H905" s="117"/>
      <c r="I905" s="117"/>
      <c r="J905" s="117"/>
      <c r="K905" s="117"/>
      <c r="L905" s="117"/>
      <c r="M905" s="117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</row>
    <row r="906">
      <c r="A906" s="117"/>
      <c r="B906" s="117"/>
      <c r="C906" s="117"/>
      <c r="D906" s="117"/>
      <c r="E906" s="117"/>
      <c r="F906" s="117"/>
      <c r="G906" s="117"/>
      <c r="H906" s="117"/>
      <c r="I906" s="117"/>
      <c r="J906" s="117"/>
      <c r="K906" s="117"/>
      <c r="L906" s="117"/>
      <c r="M906" s="117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</row>
    <row r="907">
      <c r="A907" s="117"/>
      <c r="B907" s="117"/>
      <c r="C907" s="117"/>
      <c r="D907" s="117"/>
      <c r="E907" s="117"/>
      <c r="F907" s="117"/>
      <c r="G907" s="117"/>
      <c r="H907" s="117"/>
      <c r="I907" s="117"/>
      <c r="J907" s="117"/>
      <c r="K907" s="117"/>
      <c r="L907" s="117"/>
      <c r="M907" s="117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</row>
    <row r="908">
      <c r="A908" s="117"/>
      <c r="B908" s="117"/>
      <c r="C908" s="117"/>
      <c r="D908" s="117"/>
      <c r="E908" s="117"/>
      <c r="F908" s="117"/>
      <c r="G908" s="117"/>
      <c r="H908" s="117"/>
      <c r="I908" s="117"/>
      <c r="J908" s="117"/>
      <c r="K908" s="117"/>
      <c r="L908" s="117"/>
      <c r="M908" s="117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</row>
    <row r="909">
      <c r="A909" s="117"/>
      <c r="B909" s="117"/>
      <c r="C909" s="117"/>
      <c r="D909" s="117"/>
      <c r="E909" s="117"/>
      <c r="F909" s="117"/>
      <c r="G909" s="117"/>
      <c r="H909" s="117"/>
      <c r="I909" s="117"/>
      <c r="J909" s="117"/>
      <c r="K909" s="117"/>
      <c r="L909" s="117"/>
      <c r="M909" s="117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</row>
    <row r="910">
      <c r="A910" s="117"/>
      <c r="B910" s="117"/>
      <c r="C910" s="117"/>
      <c r="D910" s="117"/>
      <c r="E910" s="117"/>
      <c r="F910" s="117"/>
      <c r="G910" s="117"/>
      <c r="H910" s="117"/>
      <c r="I910" s="117"/>
      <c r="J910" s="117"/>
      <c r="K910" s="117"/>
      <c r="L910" s="117"/>
      <c r="M910" s="117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</row>
    <row r="911">
      <c r="A911" s="117"/>
      <c r="B911" s="117"/>
      <c r="C911" s="117"/>
      <c r="D911" s="117"/>
      <c r="E911" s="117"/>
      <c r="F911" s="117"/>
      <c r="G911" s="117"/>
      <c r="H911" s="117"/>
      <c r="I911" s="117"/>
      <c r="J911" s="117"/>
      <c r="K911" s="117"/>
      <c r="L911" s="117"/>
      <c r="M911" s="117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</row>
    <row r="912">
      <c r="A912" s="117"/>
      <c r="B912" s="117"/>
      <c r="C912" s="117"/>
      <c r="D912" s="117"/>
      <c r="E912" s="117"/>
      <c r="F912" s="117"/>
      <c r="G912" s="117"/>
      <c r="H912" s="117"/>
      <c r="I912" s="117"/>
      <c r="J912" s="117"/>
      <c r="K912" s="117"/>
      <c r="L912" s="117"/>
      <c r="M912" s="117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</row>
    <row r="913">
      <c r="A913" s="117"/>
      <c r="B913" s="117"/>
      <c r="C913" s="117"/>
      <c r="D913" s="117"/>
      <c r="E913" s="117"/>
      <c r="F913" s="117"/>
      <c r="G913" s="117"/>
      <c r="H913" s="117"/>
      <c r="I913" s="117"/>
      <c r="J913" s="117"/>
      <c r="K913" s="117"/>
      <c r="L913" s="117"/>
      <c r="M913" s="117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  <c r="X913" s="117"/>
      <c r="Y913" s="117"/>
      <c r="Z913" s="117"/>
    </row>
    <row r="914">
      <c r="A914" s="117"/>
      <c r="B914" s="117"/>
      <c r="C914" s="117"/>
      <c r="D914" s="117"/>
      <c r="E914" s="117"/>
      <c r="F914" s="117"/>
      <c r="G914" s="117"/>
      <c r="H914" s="117"/>
      <c r="I914" s="117"/>
      <c r="J914" s="117"/>
      <c r="K914" s="117"/>
      <c r="L914" s="117"/>
      <c r="M914" s="117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  <c r="X914" s="117"/>
      <c r="Y914" s="117"/>
      <c r="Z914" s="117"/>
    </row>
    <row r="915">
      <c r="A915" s="117"/>
      <c r="B915" s="117"/>
      <c r="C915" s="117"/>
      <c r="D915" s="117"/>
      <c r="E915" s="117"/>
      <c r="F915" s="117"/>
      <c r="G915" s="117"/>
      <c r="H915" s="117"/>
      <c r="I915" s="117"/>
      <c r="J915" s="117"/>
      <c r="K915" s="117"/>
      <c r="L915" s="117"/>
      <c r="M915" s="117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</row>
    <row r="916">
      <c r="A916" s="117"/>
      <c r="B916" s="117"/>
      <c r="C916" s="117"/>
      <c r="D916" s="117"/>
      <c r="E916" s="117"/>
      <c r="F916" s="117"/>
      <c r="G916" s="117"/>
      <c r="H916" s="117"/>
      <c r="I916" s="117"/>
      <c r="J916" s="117"/>
      <c r="K916" s="117"/>
      <c r="L916" s="117"/>
      <c r="M916" s="117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  <c r="X916" s="117"/>
      <c r="Y916" s="117"/>
      <c r="Z916" s="117"/>
    </row>
    <row r="917">
      <c r="A917" s="117"/>
      <c r="B917" s="117"/>
      <c r="C917" s="117"/>
      <c r="D917" s="117"/>
      <c r="E917" s="117"/>
      <c r="F917" s="117"/>
      <c r="G917" s="117"/>
      <c r="H917" s="117"/>
      <c r="I917" s="117"/>
      <c r="J917" s="117"/>
      <c r="K917" s="117"/>
      <c r="L917" s="117"/>
      <c r="M917" s="117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</row>
    <row r="918">
      <c r="A918" s="117"/>
      <c r="B918" s="117"/>
      <c r="C918" s="117"/>
      <c r="D918" s="117"/>
      <c r="E918" s="117"/>
      <c r="F918" s="117"/>
      <c r="G918" s="117"/>
      <c r="H918" s="117"/>
      <c r="I918" s="117"/>
      <c r="J918" s="117"/>
      <c r="K918" s="117"/>
      <c r="L918" s="117"/>
      <c r="M918" s="117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</row>
    <row r="919">
      <c r="A919" s="117"/>
      <c r="B919" s="117"/>
      <c r="C919" s="117"/>
      <c r="D919" s="117"/>
      <c r="E919" s="117"/>
      <c r="F919" s="117"/>
      <c r="G919" s="117"/>
      <c r="H919" s="117"/>
      <c r="I919" s="117"/>
      <c r="J919" s="117"/>
      <c r="K919" s="117"/>
      <c r="L919" s="117"/>
      <c r="M919" s="117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</row>
    <row r="920">
      <c r="A920" s="117"/>
      <c r="B920" s="117"/>
      <c r="C920" s="117"/>
      <c r="D920" s="117"/>
      <c r="E920" s="117"/>
      <c r="F920" s="117"/>
      <c r="G920" s="117"/>
      <c r="H920" s="117"/>
      <c r="I920" s="117"/>
      <c r="J920" s="117"/>
      <c r="K920" s="117"/>
      <c r="L920" s="117"/>
      <c r="M920" s="117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</row>
    <row r="921">
      <c r="A921" s="117"/>
      <c r="B921" s="117"/>
      <c r="C921" s="117"/>
      <c r="D921" s="117"/>
      <c r="E921" s="117"/>
      <c r="F921" s="117"/>
      <c r="G921" s="117"/>
      <c r="H921" s="117"/>
      <c r="I921" s="117"/>
      <c r="J921" s="117"/>
      <c r="K921" s="117"/>
      <c r="L921" s="117"/>
      <c r="M921" s="117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</row>
    <row r="922">
      <c r="A922" s="117"/>
      <c r="B922" s="117"/>
      <c r="C922" s="117"/>
      <c r="D922" s="117"/>
      <c r="E922" s="117"/>
      <c r="F922" s="117"/>
      <c r="G922" s="117"/>
      <c r="H922" s="117"/>
      <c r="I922" s="117"/>
      <c r="J922" s="117"/>
      <c r="K922" s="117"/>
      <c r="L922" s="117"/>
      <c r="M922" s="117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</row>
    <row r="923">
      <c r="A923" s="117"/>
      <c r="B923" s="117"/>
      <c r="C923" s="117"/>
      <c r="D923" s="117"/>
      <c r="E923" s="117"/>
      <c r="F923" s="117"/>
      <c r="G923" s="117"/>
      <c r="H923" s="117"/>
      <c r="I923" s="117"/>
      <c r="J923" s="117"/>
      <c r="K923" s="117"/>
      <c r="L923" s="117"/>
      <c r="M923" s="117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</row>
    <row r="924">
      <c r="A924" s="117"/>
      <c r="B924" s="117"/>
      <c r="C924" s="117"/>
      <c r="D924" s="117"/>
      <c r="E924" s="117"/>
      <c r="F924" s="117"/>
      <c r="G924" s="117"/>
      <c r="H924" s="117"/>
      <c r="I924" s="117"/>
      <c r="J924" s="117"/>
      <c r="K924" s="117"/>
      <c r="L924" s="117"/>
      <c r="M924" s="117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</row>
    <row r="925">
      <c r="A925" s="117"/>
      <c r="B925" s="117"/>
      <c r="C925" s="117"/>
      <c r="D925" s="117"/>
      <c r="E925" s="117"/>
      <c r="F925" s="117"/>
      <c r="G925" s="117"/>
      <c r="H925" s="117"/>
      <c r="I925" s="117"/>
      <c r="J925" s="117"/>
      <c r="K925" s="117"/>
      <c r="L925" s="117"/>
      <c r="M925" s="117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  <c r="X925" s="117"/>
      <c r="Y925" s="117"/>
      <c r="Z925" s="117"/>
    </row>
    <row r="926">
      <c r="A926" s="117"/>
      <c r="B926" s="117"/>
      <c r="C926" s="117"/>
      <c r="D926" s="117"/>
      <c r="E926" s="117"/>
      <c r="F926" s="117"/>
      <c r="G926" s="117"/>
      <c r="H926" s="117"/>
      <c r="I926" s="117"/>
      <c r="J926" s="117"/>
      <c r="K926" s="117"/>
      <c r="L926" s="117"/>
      <c r="M926" s="117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</row>
    <row r="927">
      <c r="A927" s="117"/>
      <c r="B927" s="117"/>
      <c r="C927" s="117"/>
      <c r="D927" s="117"/>
      <c r="E927" s="117"/>
      <c r="F927" s="117"/>
      <c r="G927" s="117"/>
      <c r="H927" s="117"/>
      <c r="I927" s="117"/>
      <c r="J927" s="117"/>
      <c r="K927" s="117"/>
      <c r="L927" s="117"/>
      <c r="M927" s="117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</row>
    <row r="928">
      <c r="A928" s="117"/>
      <c r="B928" s="117"/>
      <c r="C928" s="117"/>
      <c r="D928" s="117"/>
      <c r="E928" s="117"/>
      <c r="F928" s="117"/>
      <c r="G928" s="117"/>
      <c r="H928" s="117"/>
      <c r="I928" s="117"/>
      <c r="J928" s="117"/>
      <c r="K928" s="117"/>
      <c r="L928" s="117"/>
      <c r="M928" s="117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</row>
    <row r="929">
      <c r="A929" s="117"/>
      <c r="B929" s="117"/>
      <c r="C929" s="117"/>
      <c r="D929" s="117"/>
      <c r="E929" s="117"/>
      <c r="F929" s="117"/>
      <c r="G929" s="117"/>
      <c r="H929" s="117"/>
      <c r="I929" s="117"/>
      <c r="J929" s="117"/>
      <c r="K929" s="117"/>
      <c r="L929" s="117"/>
      <c r="M929" s="117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</row>
    <row r="930">
      <c r="A930" s="117"/>
      <c r="B930" s="117"/>
      <c r="C930" s="117"/>
      <c r="D930" s="117"/>
      <c r="E930" s="117"/>
      <c r="F930" s="117"/>
      <c r="G930" s="117"/>
      <c r="H930" s="117"/>
      <c r="I930" s="117"/>
      <c r="J930" s="117"/>
      <c r="K930" s="117"/>
      <c r="L930" s="117"/>
      <c r="M930" s="117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</row>
    <row r="931">
      <c r="A931" s="117"/>
      <c r="B931" s="117"/>
      <c r="C931" s="117"/>
      <c r="D931" s="117"/>
      <c r="E931" s="117"/>
      <c r="F931" s="117"/>
      <c r="G931" s="117"/>
      <c r="H931" s="117"/>
      <c r="I931" s="117"/>
      <c r="J931" s="117"/>
      <c r="K931" s="117"/>
      <c r="L931" s="117"/>
      <c r="M931" s="117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</row>
    <row r="932">
      <c r="A932" s="117"/>
      <c r="B932" s="117"/>
      <c r="C932" s="117"/>
      <c r="D932" s="117"/>
      <c r="E932" s="117"/>
      <c r="F932" s="117"/>
      <c r="G932" s="117"/>
      <c r="H932" s="117"/>
      <c r="I932" s="117"/>
      <c r="J932" s="117"/>
      <c r="K932" s="117"/>
      <c r="L932" s="117"/>
      <c r="M932" s="117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</row>
    <row r="933">
      <c r="A933" s="117"/>
      <c r="B933" s="117"/>
      <c r="C933" s="117"/>
      <c r="D933" s="117"/>
      <c r="E933" s="117"/>
      <c r="F933" s="117"/>
      <c r="G933" s="117"/>
      <c r="H933" s="117"/>
      <c r="I933" s="117"/>
      <c r="J933" s="117"/>
      <c r="K933" s="117"/>
      <c r="L933" s="117"/>
      <c r="M933" s="117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</row>
    <row r="934">
      <c r="A934" s="117"/>
      <c r="B934" s="117"/>
      <c r="C934" s="117"/>
      <c r="D934" s="117"/>
      <c r="E934" s="117"/>
      <c r="F934" s="117"/>
      <c r="G934" s="117"/>
      <c r="H934" s="117"/>
      <c r="I934" s="117"/>
      <c r="J934" s="117"/>
      <c r="K934" s="117"/>
      <c r="L934" s="117"/>
      <c r="M934" s="117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</row>
    <row r="935">
      <c r="A935" s="117"/>
      <c r="B935" s="117"/>
      <c r="C935" s="117"/>
      <c r="D935" s="117"/>
      <c r="E935" s="117"/>
      <c r="F935" s="117"/>
      <c r="G935" s="117"/>
      <c r="H935" s="117"/>
      <c r="I935" s="117"/>
      <c r="J935" s="117"/>
      <c r="K935" s="117"/>
      <c r="L935" s="117"/>
      <c r="M935" s="117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</row>
    <row r="936">
      <c r="A936" s="117"/>
      <c r="B936" s="117"/>
      <c r="C936" s="117"/>
      <c r="D936" s="117"/>
      <c r="E936" s="117"/>
      <c r="F936" s="117"/>
      <c r="G936" s="117"/>
      <c r="H936" s="117"/>
      <c r="I936" s="117"/>
      <c r="J936" s="117"/>
      <c r="K936" s="117"/>
      <c r="L936" s="117"/>
      <c r="M936" s="117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</row>
    <row r="937">
      <c r="A937" s="117"/>
      <c r="B937" s="117"/>
      <c r="C937" s="117"/>
      <c r="D937" s="117"/>
      <c r="E937" s="117"/>
      <c r="F937" s="117"/>
      <c r="G937" s="117"/>
      <c r="H937" s="117"/>
      <c r="I937" s="117"/>
      <c r="J937" s="117"/>
      <c r="K937" s="117"/>
      <c r="L937" s="117"/>
      <c r="M937" s="117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  <c r="X937" s="117"/>
      <c r="Y937" s="117"/>
      <c r="Z937" s="117"/>
    </row>
    <row r="938">
      <c r="A938" s="117"/>
      <c r="B938" s="117"/>
      <c r="C938" s="117"/>
      <c r="D938" s="117"/>
      <c r="E938" s="117"/>
      <c r="F938" s="117"/>
      <c r="G938" s="117"/>
      <c r="H938" s="117"/>
      <c r="I938" s="117"/>
      <c r="J938" s="117"/>
      <c r="K938" s="117"/>
      <c r="L938" s="117"/>
      <c r="M938" s="117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</row>
    <row r="939">
      <c r="A939" s="117"/>
      <c r="B939" s="117"/>
      <c r="C939" s="117"/>
      <c r="D939" s="117"/>
      <c r="E939" s="117"/>
      <c r="F939" s="117"/>
      <c r="G939" s="117"/>
      <c r="H939" s="117"/>
      <c r="I939" s="117"/>
      <c r="J939" s="117"/>
      <c r="K939" s="117"/>
      <c r="L939" s="117"/>
      <c r="M939" s="117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</row>
    <row r="940">
      <c r="A940" s="117"/>
      <c r="B940" s="117"/>
      <c r="C940" s="117"/>
      <c r="D940" s="117"/>
      <c r="E940" s="117"/>
      <c r="F940" s="117"/>
      <c r="G940" s="117"/>
      <c r="H940" s="117"/>
      <c r="I940" s="117"/>
      <c r="J940" s="117"/>
      <c r="K940" s="117"/>
      <c r="L940" s="117"/>
      <c r="M940" s="117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</row>
    <row r="941">
      <c r="A941" s="117"/>
      <c r="B941" s="117"/>
      <c r="C941" s="117"/>
      <c r="D941" s="117"/>
      <c r="E941" s="117"/>
      <c r="F941" s="117"/>
      <c r="G941" s="117"/>
      <c r="H941" s="117"/>
      <c r="I941" s="117"/>
      <c r="J941" s="117"/>
      <c r="K941" s="117"/>
      <c r="L941" s="117"/>
      <c r="M941" s="117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</row>
    <row r="942">
      <c r="A942" s="117"/>
      <c r="B942" s="117"/>
      <c r="C942" s="117"/>
      <c r="D942" s="117"/>
      <c r="E942" s="117"/>
      <c r="F942" s="117"/>
      <c r="G942" s="117"/>
      <c r="H942" s="117"/>
      <c r="I942" s="117"/>
      <c r="J942" s="117"/>
      <c r="K942" s="117"/>
      <c r="L942" s="117"/>
      <c r="M942" s="117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</row>
    <row r="943">
      <c r="A943" s="117"/>
      <c r="B943" s="117"/>
      <c r="C943" s="117"/>
      <c r="D943" s="117"/>
      <c r="E943" s="117"/>
      <c r="F943" s="117"/>
      <c r="G943" s="117"/>
      <c r="H943" s="117"/>
      <c r="I943" s="117"/>
      <c r="J943" s="117"/>
      <c r="K943" s="117"/>
      <c r="L943" s="117"/>
      <c r="M943" s="117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</row>
    <row r="944">
      <c r="A944" s="117"/>
      <c r="B944" s="117"/>
      <c r="C944" s="117"/>
      <c r="D944" s="117"/>
      <c r="E944" s="117"/>
      <c r="F944" s="117"/>
      <c r="G944" s="117"/>
      <c r="H944" s="117"/>
      <c r="I944" s="117"/>
      <c r="J944" s="117"/>
      <c r="K944" s="117"/>
      <c r="L944" s="117"/>
      <c r="M944" s="117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</row>
    <row r="945">
      <c r="A945" s="117"/>
      <c r="B945" s="117"/>
      <c r="C945" s="117"/>
      <c r="D945" s="117"/>
      <c r="E945" s="117"/>
      <c r="F945" s="117"/>
      <c r="G945" s="117"/>
      <c r="H945" s="117"/>
      <c r="I945" s="117"/>
      <c r="J945" s="117"/>
      <c r="K945" s="117"/>
      <c r="L945" s="117"/>
      <c r="M945" s="117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</row>
    <row r="946">
      <c r="A946" s="117"/>
      <c r="B946" s="117"/>
      <c r="C946" s="117"/>
      <c r="D946" s="117"/>
      <c r="E946" s="117"/>
      <c r="F946" s="117"/>
      <c r="G946" s="117"/>
      <c r="H946" s="117"/>
      <c r="I946" s="117"/>
      <c r="J946" s="117"/>
      <c r="K946" s="117"/>
      <c r="L946" s="117"/>
      <c r="M946" s="117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</row>
    <row r="947">
      <c r="A947" s="117"/>
      <c r="B947" s="117"/>
      <c r="C947" s="117"/>
      <c r="D947" s="117"/>
      <c r="E947" s="117"/>
      <c r="F947" s="117"/>
      <c r="G947" s="117"/>
      <c r="H947" s="117"/>
      <c r="I947" s="117"/>
      <c r="J947" s="117"/>
      <c r="K947" s="117"/>
      <c r="L947" s="117"/>
      <c r="M947" s="117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</row>
    <row r="948">
      <c r="A948" s="117"/>
      <c r="B948" s="117"/>
      <c r="C948" s="117"/>
      <c r="D948" s="117"/>
      <c r="E948" s="117"/>
      <c r="F948" s="117"/>
      <c r="G948" s="117"/>
      <c r="H948" s="117"/>
      <c r="I948" s="117"/>
      <c r="J948" s="117"/>
      <c r="K948" s="117"/>
      <c r="L948" s="117"/>
      <c r="M948" s="117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</row>
    <row r="949">
      <c r="A949" s="117"/>
      <c r="B949" s="117"/>
      <c r="C949" s="117"/>
      <c r="D949" s="117"/>
      <c r="E949" s="117"/>
      <c r="F949" s="117"/>
      <c r="G949" s="117"/>
      <c r="H949" s="117"/>
      <c r="I949" s="117"/>
      <c r="J949" s="117"/>
      <c r="K949" s="117"/>
      <c r="L949" s="117"/>
      <c r="M949" s="117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  <c r="X949" s="117"/>
      <c r="Y949" s="117"/>
      <c r="Z949" s="117"/>
    </row>
    <row r="950">
      <c r="A950" s="117"/>
      <c r="B950" s="117"/>
      <c r="C950" s="117"/>
      <c r="D950" s="117"/>
      <c r="E950" s="117"/>
      <c r="F950" s="117"/>
      <c r="G950" s="117"/>
      <c r="H950" s="117"/>
      <c r="I950" s="117"/>
      <c r="J950" s="117"/>
      <c r="K950" s="117"/>
      <c r="L950" s="117"/>
      <c r="M950" s="117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</row>
    <row r="951">
      <c r="A951" s="117"/>
      <c r="B951" s="117"/>
      <c r="C951" s="117"/>
      <c r="D951" s="117"/>
      <c r="E951" s="117"/>
      <c r="F951" s="117"/>
      <c r="G951" s="117"/>
      <c r="H951" s="117"/>
      <c r="I951" s="117"/>
      <c r="J951" s="117"/>
      <c r="K951" s="117"/>
      <c r="L951" s="117"/>
      <c r="M951" s="117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</row>
    <row r="952">
      <c r="A952" s="117"/>
      <c r="B952" s="117"/>
      <c r="C952" s="117"/>
      <c r="D952" s="117"/>
      <c r="E952" s="117"/>
      <c r="F952" s="117"/>
      <c r="G952" s="117"/>
      <c r="H952" s="117"/>
      <c r="I952" s="117"/>
      <c r="J952" s="117"/>
      <c r="K952" s="117"/>
      <c r="L952" s="117"/>
      <c r="M952" s="117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</row>
    <row r="953">
      <c r="A953" s="117"/>
      <c r="B953" s="117"/>
      <c r="C953" s="117"/>
      <c r="D953" s="117"/>
      <c r="E953" s="117"/>
      <c r="F953" s="117"/>
      <c r="G953" s="117"/>
      <c r="H953" s="117"/>
      <c r="I953" s="117"/>
      <c r="J953" s="117"/>
      <c r="K953" s="117"/>
      <c r="L953" s="117"/>
      <c r="M953" s="117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  <c r="X953" s="117"/>
      <c r="Y953" s="117"/>
      <c r="Z953" s="117"/>
    </row>
    <row r="954">
      <c r="A954" s="117"/>
      <c r="B954" s="117"/>
      <c r="C954" s="117"/>
      <c r="D954" s="117"/>
      <c r="E954" s="117"/>
      <c r="F954" s="117"/>
      <c r="G954" s="117"/>
      <c r="H954" s="117"/>
      <c r="I954" s="117"/>
      <c r="J954" s="117"/>
      <c r="K954" s="117"/>
      <c r="L954" s="117"/>
      <c r="M954" s="117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  <c r="X954" s="117"/>
      <c r="Y954" s="117"/>
      <c r="Z954" s="117"/>
    </row>
    <row r="955">
      <c r="A955" s="117"/>
      <c r="B955" s="117"/>
      <c r="C955" s="117"/>
      <c r="D955" s="117"/>
      <c r="E955" s="117"/>
      <c r="F955" s="117"/>
      <c r="G955" s="117"/>
      <c r="H955" s="117"/>
      <c r="I955" s="117"/>
      <c r="J955" s="117"/>
      <c r="K955" s="117"/>
      <c r="L955" s="117"/>
      <c r="M955" s="117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  <c r="X955" s="117"/>
      <c r="Y955" s="117"/>
      <c r="Z955" s="117"/>
    </row>
    <row r="956">
      <c r="A956" s="117"/>
      <c r="B956" s="117"/>
      <c r="C956" s="117"/>
      <c r="D956" s="117"/>
      <c r="E956" s="117"/>
      <c r="F956" s="117"/>
      <c r="G956" s="117"/>
      <c r="H956" s="117"/>
      <c r="I956" s="117"/>
      <c r="J956" s="117"/>
      <c r="K956" s="117"/>
      <c r="L956" s="117"/>
      <c r="M956" s="117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  <c r="X956" s="117"/>
      <c r="Y956" s="117"/>
      <c r="Z956" s="117"/>
    </row>
    <row r="957">
      <c r="A957" s="117"/>
      <c r="B957" s="117"/>
      <c r="C957" s="117"/>
      <c r="D957" s="117"/>
      <c r="E957" s="117"/>
      <c r="F957" s="117"/>
      <c r="G957" s="117"/>
      <c r="H957" s="117"/>
      <c r="I957" s="117"/>
      <c r="J957" s="117"/>
      <c r="K957" s="117"/>
      <c r="L957" s="117"/>
      <c r="M957" s="117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  <c r="X957" s="117"/>
      <c r="Y957" s="117"/>
      <c r="Z957" s="117"/>
    </row>
    <row r="958">
      <c r="A958" s="117"/>
      <c r="B958" s="117"/>
      <c r="C958" s="117"/>
      <c r="D958" s="117"/>
      <c r="E958" s="117"/>
      <c r="F958" s="117"/>
      <c r="G958" s="117"/>
      <c r="H958" s="117"/>
      <c r="I958" s="117"/>
      <c r="J958" s="117"/>
      <c r="K958" s="117"/>
      <c r="L958" s="117"/>
      <c r="M958" s="117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  <c r="X958" s="117"/>
      <c r="Y958" s="117"/>
      <c r="Z958" s="117"/>
    </row>
    <row r="959">
      <c r="A959" s="117"/>
      <c r="B959" s="117"/>
      <c r="C959" s="117"/>
      <c r="D959" s="117"/>
      <c r="E959" s="117"/>
      <c r="F959" s="117"/>
      <c r="G959" s="117"/>
      <c r="H959" s="117"/>
      <c r="I959" s="117"/>
      <c r="J959" s="117"/>
      <c r="K959" s="117"/>
      <c r="L959" s="117"/>
      <c r="M959" s="117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  <c r="X959" s="117"/>
      <c r="Y959" s="117"/>
      <c r="Z959" s="117"/>
    </row>
    <row r="960">
      <c r="A960" s="117"/>
      <c r="B960" s="117"/>
      <c r="C960" s="117"/>
      <c r="D960" s="117"/>
      <c r="E960" s="117"/>
      <c r="F960" s="117"/>
      <c r="G960" s="117"/>
      <c r="H960" s="117"/>
      <c r="I960" s="117"/>
      <c r="J960" s="117"/>
      <c r="K960" s="117"/>
      <c r="L960" s="117"/>
      <c r="M960" s="117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  <c r="X960" s="117"/>
      <c r="Y960" s="117"/>
      <c r="Z960" s="117"/>
    </row>
    <row r="961">
      <c r="A961" s="117"/>
      <c r="B961" s="117"/>
      <c r="C961" s="117"/>
      <c r="D961" s="117"/>
      <c r="E961" s="117"/>
      <c r="F961" s="117"/>
      <c r="G961" s="117"/>
      <c r="H961" s="117"/>
      <c r="I961" s="117"/>
      <c r="J961" s="117"/>
      <c r="K961" s="117"/>
      <c r="L961" s="117"/>
      <c r="M961" s="117"/>
      <c r="N961" s="117"/>
      <c r="O961" s="117"/>
      <c r="P961" s="117"/>
      <c r="Q961" s="117"/>
      <c r="R961" s="117"/>
      <c r="S961" s="117"/>
      <c r="T961" s="117"/>
      <c r="U961" s="117"/>
      <c r="V961" s="117"/>
      <c r="W961" s="117"/>
      <c r="X961" s="117"/>
      <c r="Y961" s="117"/>
      <c r="Z961" s="117"/>
    </row>
    <row r="962">
      <c r="A962" s="117"/>
      <c r="B962" s="117"/>
      <c r="C962" s="117"/>
      <c r="D962" s="117"/>
      <c r="E962" s="117"/>
      <c r="F962" s="117"/>
      <c r="G962" s="117"/>
      <c r="H962" s="117"/>
      <c r="I962" s="117"/>
      <c r="J962" s="117"/>
      <c r="K962" s="117"/>
      <c r="L962" s="117"/>
      <c r="M962" s="117"/>
      <c r="N962" s="117"/>
      <c r="O962" s="117"/>
      <c r="P962" s="117"/>
      <c r="Q962" s="117"/>
      <c r="R962" s="117"/>
      <c r="S962" s="117"/>
      <c r="T962" s="117"/>
      <c r="U962" s="117"/>
      <c r="V962" s="117"/>
      <c r="W962" s="117"/>
      <c r="X962" s="117"/>
      <c r="Y962" s="117"/>
      <c r="Z962" s="117"/>
    </row>
    <row r="963">
      <c r="A963" s="117"/>
      <c r="B963" s="117"/>
      <c r="C963" s="117"/>
      <c r="D963" s="117"/>
      <c r="E963" s="117"/>
      <c r="F963" s="117"/>
      <c r="G963" s="117"/>
      <c r="H963" s="117"/>
      <c r="I963" s="117"/>
      <c r="J963" s="117"/>
      <c r="K963" s="117"/>
      <c r="L963" s="117"/>
      <c r="M963" s="117"/>
      <c r="N963" s="117"/>
      <c r="O963" s="117"/>
      <c r="P963" s="117"/>
      <c r="Q963" s="117"/>
      <c r="R963" s="117"/>
      <c r="S963" s="117"/>
      <c r="T963" s="117"/>
      <c r="U963" s="117"/>
      <c r="V963" s="117"/>
      <c r="W963" s="117"/>
      <c r="X963" s="117"/>
      <c r="Y963" s="117"/>
      <c r="Z963" s="117"/>
    </row>
    <row r="964">
      <c r="A964" s="117"/>
      <c r="B964" s="117"/>
      <c r="C964" s="117"/>
      <c r="D964" s="117"/>
      <c r="E964" s="117"/>
      <c r="F964" s="117"/>
      <c r="G964" s="117"/>
      <c r="H964" s="117"/>
      <c r="I964" s="117"/>
      <c r="J964" s="117"/>
      <c r="K964" s="117"/>
      <c r="L964" s="117"/>
      <c r="M964" s="117"/>
      <c r="N964" s="117"/>
      <c r="O964" s="117"/>
      <c r="P964" s="117"/>
      <c r="Q964" s="117"/>
      <c r="R964" s="117"/>
      <c r="S964" s="117"/>
      <c r="T964" s="117"/>
      <c r="U964" s="117"/>
      <c r="V964" s="117"/>
      <c r="W964" s="117"/>
      <c r="X964" s="117"/>
      <c r="Y964" s="117"/>
      <c r="Z964" s="117"/>
    </row>
    <row r="965">
      <c r="A965" s="117"/>
      <c r="B965" s="117"/>
      <c r="C965" s="117"/>
      <c r="D965" s="117"/>
      <c r="E965" s="117"/>
      <c r="F965" s="117"/>
      <c r="G965" s="117"/>
      <c r="H965" s="117"/>
      <c r="I965" s="117"/>
      <c r="J965" s="117"/>
      <c r="K965" s="117"/>
      <c r="L965" s="117"/>
      <c r="M965" s="117"/>
      <c r="N965" s="117"/>
      <c r="O965" s="117"/>
      <c r="P965" s="117"/>
      <c r="Q965" s="117"/>
      <c r="R965" s="117"/>
      <c r="S965" s="117"/>
      <c r="T965" s="117"/>
      <c r="U965" s="117"/>
      <c r="V965" s="117"/>
      <c r="W965" s="117"/>
      <c r="X965" s="117"/>
      <c r="Y965" s="117"/>
      <c r="Z965" s="117"/>
    </row>
    <row r="966">
      <c r="A966" s="117"/>
      <c r="B966" s="117"/>
      <c r="C966" s="117"/>
      <c r="D966" s="117"/>
      <c r="E966" s="117"/>
      <c r="F966" s="117"/>
      <c r="G966" s="117"/>
      <c r="H966" s="117"/>
      <c r="I966" s="117"/>
      <c r="J966" s="117"/>
      <c r="K966" s="117"/>
      <c r="L966" s="117"/>
      <c r="M966" s="117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</row>
    <row r="967">
      <c r="A967" s="117"/>
      <c r="B967" s="117"/>
      <c r="C967" s="117"/>
      <c r="D967" s="117"/>
      <c r="E967" s="117"/>
      <c r="F967" s="117"/>
      <c r="G967" s="117"/>
      <c r="H967" s="117"/>
      <c r="I967" s="117"/>
      <c r="J967" s="117"/>
      <c r="K967" s="117"/>
      <c r="L967" s="117"/>
      <c r="M967" s="117"/>
      <c r="N967" s="117"/>
      <c r="O967" s="117"/>
      <c r="P967" s="117"/>
      <c r="Q967" s="117"/>
      <c r="R967" s="117"/>
      <c r="S967" s="117"/>
      <c r="T967" s="117"/>
      <c r="U967" s="117"/>
      <c r="V967" s="117"/>
      <c r="W967" s="117"/>
      <c r="X967" s="117"/>
      <c r="Y967" s="117"/>
      <c r="Z967" s="117"/>
    </row>
    <row r="968">
      <c r="A968" s="117"/>
      <c r="B968" s="117"/>
      <c r="C968" s="117"/>
      <c r="D968" s="117"/>
      <c r="E968" s="117"/>
      <c r="F968" s="117"/>
      <c r="G968" s="117"/>
      <c r="H968" s="117"/>
      <c r="I968" s="117"/>
      <c r="J968" s="117"/>
      <c r="K968" s="117"/>
      <c r="L968" s="117"/>
      <c r="M968" s="117"/>
      <c r="N968" s="117"/>
      <c r="O968" s="117"/>
      <c r="P968" s="117"/>
      <c r="Q968" s="117"/>
      <c r="R968" s="117"/>
      <c r="S968" s="117"/>
      <c r="T968" s="117"/>
      <c r="U968" s="117"/>
      <c r="V968" s="117"/>
      <c r="W968" s="117"/>
      <c r="X968" s="117"/>
      <c r="Y968" s="117"/>
      <c r="Z968" s="117"/>
    </row>
    <row r="969">
      <c r="A969" s="117"/>
      <c r="B969" s="117"/>
      <c r="C969" s="117"/>
      <c r="D969" s="117"/>
      <c r="E969" s="117"/>
      <c r="F969" s="117"/>
      <c r="G969" s="117"/>
      <c r="H969" s="117"/>
      <c r="I969" s="117"/>
      <c r="J969" s="117"/>
      <c r="K969" s="117"/>
      <c r="L969" s="117"/>
      <c r="M969" s="117"/>
      <c r="N969" s="117"/>
      <c r="O969" s="117"/>
      <c r="P969" s="117"/>
      <c r="Q969" s="117"/>
      <c r="R969" s="117"/>
      <c r="S969" s="117"/>
      <c r="T969" s="117"/>
      <c r="U969" s="117"/>
      <c r="V969" s="117"/>
      <c r="W969" s="117"/>
      <c r="X969" s="117"/>
      <c r="Y969" s="117"/>
      <c r="Z969" s="117"/>
    </row>
    <row r="970">
      <c r="A970" s="117"/>
      <c r="B970" s="117"/>
      <c r="C970" s="117"/>
      <c r="D970" s="117"/>
      <c r="E970" s="117"/>
      <c r="F970" s="117"/>
      <c r="G970" s="117"/>
      <c r="H970" s="117"/>
      <c r="I970" s="117"/>
      <c r="J970" s="117"/>
      <c r="K970" s="117"/>
      <c r="L970" s="117"/>
      <c r="M970" s="117"/>
      <c r="N970" s="117"/>
      <c r="O970" s="117"/>
      <c r="P970" s="117"/>
      <c r="Q970" s="117"/>
      <c r="R970" s="117"/>
      <c r="S970" s="117"/>
      <c r="T970" s="117"/>
      <c r="U970" s="117"/>
      <c r="V970" s="117"/>
      <c r="W970" s="117"/>
      <c r="X970" s="117"/>
      <c r="Y970" s="117"/>
      <c r="Z970" s="117"/>
    </row>
    <row r="971">
      <c r="A971" s="117"/>
      <c r="B971" s="117"/>
      <c r="C971" s="117"/>
      <c r="D971" s="117"/>
      <c r="E971" s="117"/>
      <c r="F971" s="117"/>
      <c r="G971" s="117"/>
      <c r="H971" s="117"/>
      <c r="I971" s="117"/>
      <c r="J971" s="117"/>
      <c r="K971" s="117"/>
      <c r="L971" s="117"/>
      <c r="M971" s="117"/>
      <c r="N971" s="117"/>
      <c r="O971" s="117"/>
      <c r="P971" s="117"/>
      <c r="Q971" s="117"/>
      <c r="R971" s="117"/>
      <c r="S971" s="117"/>
      <c r="T971" s="117"/>
      <c r="U971" s="117"/>
      <c r="V971" s="117"/>
      <c r="W971" s="117"/>
      <c r="X971" s="117"/>
      <c r="Y971" s="117"/>
      <c r="Z971" s="117"/>
    </row>
    <row r="972">
      <c r="A972" s="117"/>
      <c r="B972" s="117"/>
      <c r="C972" s="117"/>
      <c r="D972" s="117"/>
      <c r="E972" s="117"/>
      <c r="F972" s="117"/>
      <c r="G972" s="117"/>
      <c r="H972" s="117"/>
      <c r="I972" s="117"/>
      <c r="J972" s="117"/>
      <c r="K972" s="117"/>
      <c r="L972" s="117"/>
      <c r="M972" s="117"/>
      <c r="N972" s="117"/>
      <c r="O972" s="117"/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</row>
    <row r="973">
      <c r="A973" s="117"/>
      <c r="B973" s="117"/>
      <c r="C973" s="117"/>
      <c r="D973" s="117"/>
      <c r="E973" s="117"/>
      <c r="F973" s="117"/>
      <c r="G973" s="117"/>
      <c r="H973" s="117"/>
      <c r="I973" s="117"/>
      <c r="J973" s="117"/>
      <c r="K973" s="117"/>
      <c r="L973" s="117"/>
      <c r="M973" s="117"/>
      <c r="N973" s="117"/>
      <c r="O973" s="117"/>
      <c r="P973" s="117"/>
      <c r="Q973" s="117"/>
      <c r="R973" s="117"/>
      <c r="S973" s="117"/>
      <c r="T973" s="117"/>
      <c r="U973" s="117"/>
      <c r="V973" s="117"/>
      <c r="W973" s="117"/>
      <c r="X973" s="117"/>
      <c r="Y973" s="117"/>
      <c r="Z973" s="117"/>
    </row>
    <row r="974">
      <c r="A974" s="117"/>
      <c r="B974" s="117"/>
      <c r="C974" s="117"/>
      <c r="D974" s="117"/>
      <c r="E974" s="117"/>
      <c r="F974" s="117"/>
      <c r="G974" s="117"/>
      <c r="H974" s="117"/>
      <c r="I974" s="117"/>
      <c r="J974" s="117"/>
      <c r="K974" s="117"/>
      <c r="L974" s="117"/>
      <c r="M974" s="117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</row>
    <row r="975">
      <c r="A975" s="117"/>
      <c r="B975" s="117"/>
      <c r="C975" s="117"/>
      <c r="D975" s="117"/>
      <c r="E975" s="117"/>
      <c r="F975" s="117"/>
      <c r="G975" s="117"/>
      <c r="H975" s="117"/>
      <c r="I975" s="117"/>
      <c r="J975" s="117"/>
      <c r="K975" s="117"/>
      <c r="L975" s="117"/>
      <c r="M975" s="117"/>
      <c r="N975" s="117"/>
      <c r="O975" s="117"/>
      <c r="P975" s="117"/>
      <c r="Q975" s="117"/>
      <c r="R975" s="117"/>
      <c r="S975" s="117"/>
      <c r="T975" s="117"/>
      <c r="U975" s="117"/>
      <c r="V975" s="117"/>
      <c r="W975" s="117"/>
      <c r="X975" s="117"/>
      <c r="Y975" s="117"/>
      <c r="Z975" s="117"/>
    </row>
    <row r="976">
      <c r="A976" s="117"/>
      <c r="B976" s="117"/>
      <c r="C976" s="117"/>
      <c r="D976" s="117"/>
      <c r="E976" s="117"/>
      <c r="F976" s="117"/>
      <c r="G976" s="117"/>
      <c r="H976" s="117"/>
      <c r="I976" s="117"/>
      <c r="J976" s="117"/>
      <c r="K976" s="117"/>
      <c r="L976" s="117"/>
      <c r="M976" s="117"/>
      <c r="N976" s="117"/>
      <c r="O976" s="117"/>
      <c r="P976" s="117"/>
      <c r="Q976" s="117"/>
      <c r="R976" s="117"/>
      <c r="S976" s="117"/>
      <c r="T976" s="117"/>
      <c r="U976" s="117"/>
      <c r="V976" s="117"/>
      <c r="W976" s="117"/>
      <c r="X976" s="117"/>
      <c r="Y976" s="117"/>
      <c r="Z976" s="117"/>
    </row>
    <row r="977">
      <c r="A977" s="117"/>
      <c r="B977" s="117"/>
      <c r="C977" s="117"/>
      <c r="D977" s="117"/>
      <c r="E977" s="117"/>
      <c r="F977" s="117"/>
      <c r="G977" s="117"/>
      <c r="H977" s="117"/>
      <c r="I977" s="117"/>
      <c r="J977" s="117"/>
      <c r="K977" s="117"/>
      <c r="L977" s="117"/>
      <c r="M977" s="117"/>
      <c r="N977" s="117"/>
      <c r="O977" s="117"/>
      <c r="P977" s="117"/>
      <c r="Q977" s="117"/>
      <c r="R977" s="117"/>
      <c r="S977" s="117"/>
      <c r="T977" s="117"/>
      <c r="U977" s="117"/>
      <c r="V977" s="117"/>
      <c r="W977" s="117"/>
      <c r="X977" s="117"/>
      <c r="Y977" s="117"/>
      <c r="Z977" s="117"/>
    </row>
    <row r="978">
      <c r="A978" s="117"/>
      <c r="B978" s="117"/>
      <c r="C978" s="117"/>
      <c r="D978" s="117"/>
      <c r="E978" s="117"/>
      <c r="F978" s="117"/>
      <c r="G978" s="117"/>
      <c r="H978" s="117"/>
      <c r="I978" s="117"/>
      <c r="J978" s="117"/>
      <c r="K978" s="117"/>
      <c r="L978" s="117"/>
      <c r="M978" s="117"/>
      <c r="N978" s="117"/>
      <c r="O978" s="117"/>
      <c r="P978" s="117"/>
      <c r="Q978" s="117"/>
      <c r="R978" s="117"/>
      <c r="S978" s="117"/>
      <c r="T978" s="117"/>
      <c r="U978" s="117"/>
      <c r="V978" s="117"/>
      <c r="W978" s="117"/>
      <c r="X978" s="117"/>
      <c r="Y978" s="117"/>
      <c r="Z978" s="117"/>
    </row>
    <row r="979">
      <c r="A979" s="117"/>
      <c r="B979" s="117"/>
      <c r="C979" s="117"/>
      <c r="D979" s="117"/>
      <c r="E979" s="117"/>
      <c r="F979" s="117"/>
      <c r="G979" s="117"/>
      <c r="H979" s="117"/>
      <c r="I979" s="117"/>
      <c r="J979" s="117"/>
      <c r="K979" s="117"/>
      <c r="L979" s="117"/>
      <c r="M979" s="117"/>
      <c r="N979" s="117"/>
      <c r="O979" s="117"/>
      <c r="P979" s="117"/>
      <c r="Q979" s="117"/>
      <c r="R979" s="117"/>
      <c r="S979" s="117"/>
      <c r="T979" s="117"/>
      <c r="U979" s="117"/>
      <c r="V979" s="117"/>
      <c r="W979" s="117"/>
      <c r="X979" s="117"/>
      <c r="Y979" s="117"/>
      <c r="Z979" s="117"/>
    </row>
    <row r="980">
      <c r="A980" s="117"/>
      <c r="B980" s="117"/>
      <c r="C980" s="117"/>
      <c r="D980" s="117"/>
      <c r="E980" s="117"/>
      <c r="F980" s="117"/>
      <c r="G980" s="117"/>
      <c r="H980" s="117"/>
      <c r="I980" s="117"/>
      <c r="J980" s="117"/>
      <c r="K980" s="117"/>
      <c r="L980" s="117"/>
      <c r="M980" s="117"/>
      <c r="N980" s="117"/>
      <c r="O980" s="117"/>
      <c r="P980" s="117"/>
      <c r="Q980" s="117"/>
      <c r="R980" s="117"/>
      <c r="S980" s="117"/>
      <c r="T980" s="117"/>
      <c r="U980" s="117"/>
      <c r="V980" s="117"/>
      <c r="W980" s="117"/>
      <c r="X980" s="117"/>
      <c r="Y980" s="117"/>
      <c r="Z980" s="117"/>
    </row>
    <row r="981">
      <c r="A981" s="117"/>
      <c r="B981" s="117"/>
      <c r="C981" s="117"/>
      <c r="D981" s="117"/>
      <c r="E981" s="117"/>
      <c r="F981" s="117"/>
      <c r="G981" s="117"/>
      <c r="H981" s="117"/>
      <c r="I981" s="117"/>
      <c r="J981" s="117"/>
      <c r="K981" s="117"/>
      <c r="L981" s="117"/>
      <c r="M981" s="117"/>
      <c r="N981" s="117"/>
      <c r="O981" s="117"/>
      <c r="P981" s="117"/>
      <c r="Q981" s="117"/>
      <c r="R981" s="117"/>
      <c r="S981" s="117"/>
      <c r="T981" s="117"/>
      <c r="U981" s="117"/>
      <c r="V981" s="117"/>
      <c r="W981" s="117"/>
      <c r="X981" s="117"/>
      <c r="Y981" s="117"/>
      <c r="Z981" s="117"/>
    </row>
    <row r="982">
      <c r="A982" s="117"/>
      <c r="B982" s="117"/>
      <c r="C982" s="117"/>
      <c r="D982" s="117"/>
      <c r="E982" s="117"/>
      <c r="F982" s="117"/>
      <c r="G982" s="117"/>
      <c r="H982" s="117"/>
      <c r="I982" s="117"/>
      <c r="J982" s="117"/>
      <c r="K982" s="117"/>
      <c r="L982" s="117"/>
      <c r="M982" s="117"/>
      <c r="N982" s="117"/>
      <c r="O982" s="117"/>
      <c r="P982" s="117"/>
      <c r="Q982" s="117"/>
      <c r="R982" s="117"/>
      <c r="S982" s="117"/>
      <c r="T982" s="117"/>
      <c r="U982" s="117"/>
      <c r="V982" s="117"/>
      <c r="W982" s="117"/>
      <c r="X982" s="117"/>
      <c r="Y982" s="117"/>
      <c r="Z982" s="117"/>
    </row>
    <row r="983">
      <c r="A983" s="117"/>
      <c r="B983" s="117"/>
      <c r="C983" s="117"/>
      <c r="D983" s="117"/>
      <c r="E983" s="117"/>
      <c r="F983" s="117"/>
      <c r="G983" s="117"/>
      <c r="H983" s="117"/>
      <c r="I983" s="117"/>
      <c r="J983" s="117"/>
      <c r="K983" s="117"/>
      <c r="L983" s="117"/>
      <c r="M983" s="117"/>
      <c r="N983" s="117"/>
      <c r="O983" s="117"/>
      <c r="P983" s="117"/>
      <c r="Q983" s="117"/>
      <c r="R983" s="117"/>
      <c r="S983" s="117"/>
      <c r="T983" s="117"/>
      <c r="U983" s="117"/>
      <c r="V983" s="117"/>
      <c r="W983" s="117"/>
      <c r="X983" s="117"/>
      <c r="Y983" s="117"/>
      <c r="Z983" s="117"/>
    </row>
    <row r="984">
      <c r="A984" s="117"/>
      <c r="B984" s="117"/>
      <c r="C984" s="117"/>
      <c r="D984" s="117"/>
      <c r="E984" s="117"/>
      <c r="F984" s="117"/>
      <c r="G984" s="117"/>
      <c r="H984" s="117"/>
      <c r="I984" s="117"/>
      <c r="J984" s="117"/>
      <c r="K984" s="117"/>
      <c r="L984" s="117"/>
      <c r="M984" s="117"/>
      <c r="N984" s="117"/>
      <c r="O984" s="117"/>
      <c r="P984" s="117"/>
      <c r="Q984" s="117"/>
      <c r="R984" s="117"/>
      <c r="S984" s="117"/>
      <c r="T984" s="117"/>
      <c r="U984" s="117"/>
      <c r="V984" s="117"/>
      <c r="W984" s="117"/>
      <c r="X984" s="117"/>
      <c r="Y984" s="117"/>
      <c r="Z984" s="117"/>
    </row>
    <row r="985">
      <c r="A985" s="117"/>
      <c r="B985" s="117"/>
      <c r="C985" s="117"/>
      <c r="D985" s="117"/>
      <c r="E985" s="117"/>
      <c r="F985" s="117"/>
      <c r="G985" s="117"/>
      <c r="H985" s="117"/>
      <c r="I985" s="117"/>
      <c r="J985" s="117"/>
      <c r="K985" s="117"/>
      <c r="L985" s="117"/>
      <c r="M985" s="117"/>
      <c r="N985" s="117"/>
      <c r="O985" s="117"/>
      <c r="P985" s="117"/>
      <c r="Q985" s="117"/>
      <c r="R985" s="117"/>
      <c r="S985" s="117"/>
      <c r="T985" s="117"/>
      <c r="U985" s="117"/>
      <c r="V985" s="117"/>
      <c r="W985" s="117"/>
      <c r="X985" s="117"/>
      <c r="Y985" s="117"/>
      <c r="Z985" s="117"/>
    </row>
    <row r="986">
      <c r="A986" s="117"/>
      <c r="B986" s="117"/>
      <c r="C986" s="117"/>
      <c r="D986" s="117"/>
      <c r="E986" s="117"/>
      <c r="F986" s="117"/>
      <c r="G986" s="117"/>
      <c r="H986" s="117"/>
      <c r="I986" s="117"/>
      <c r="J986" s="117"/>
      <c r="K986" s="117"/>
      <c r="L986" s="117"/>
      <c r="M986" s="117"/>
      <c r="N986" s="117"/>
      <c r="O986" s="117"/>
      <c r="P986" s="117"/>
      <c r="Q986" s="117"/>
      <c r="R986" s="117"/>
      <c r="S986" s="117"/>
      <c r="T986" s="117"/>
      <c r="U986" s="117"/>
      <c r="V986" s="117"/>
      <c r="W986" s="117"/>
      <c r="X986" s="117"/>
      <c r="Y986" s="117"/>
      <c r="Z986" s="117"/>
    </row>
    <row r="987">
      <c r="A987" s="117"/>
      <c r="B987" s="117"/>
      <c r="C987" s="117"/>
      <c r="D987" s="117"/>
      <c r="E987" s="117"/>
      <c r="F987" s="117"/>
      <c r="G987" s="117"/>
      <c r="H987" s="117"/>
      <c r="I987" s="117"/>
      <c r="J987" s="117"/>
      <c r="K987" s="117"/>
      <c r="L987" s="117"/>
      <c r="M987" s="117"/>
      <c r="N987" s="117"/>
      <c r="O987" s="117"/>
      <c r="P987" s="117"/>
      <c r="Q987" s="117"/>
      <c r="R987" s="117"/>
      <c r="S987" s="117"/>
      <c r="T987" s="117"/>
      <c r="U987" s="117"/>
      <c r="V987" s="117"/>
      <c r="W987" s="117"/>
      <c r="X987" s="117"/>
      <c r="Y987" s="117"/>
      <c r="Z987" s="117"/>
    </row>
    <row r="988">
      <c r="A988" s="117"/>
      <c r="B988" s="117"/>
      <c r="C988" s="117"/>
      <c r="D988" s="117"/>
      <c r="E988" s="117"/>
      <c r="F988" s="117"/>
      <c r="G988" s="117"/>
      <c r="H988" s="117"/>
      <c r="I988" s="117"/>
      <c r="J988" s="117"/>
      <c r="K988" s="117"/>
      <c r="L988" s="117"/>
      <c r="M988" s="117"/>
      <c r="N988" s="117"/>
      <c r="O988" s="117"/>
      <c r="P988" s="117"/>
      <c r="Q988" s="117"/>
      <c r="R988" s="117"/>
      <c r="S988" s="117"/>
      <c r="T988" s="117"/>
      <c r="U988" s="117"/>
      <c r="V988" s="117"/>
      <c r="W988" s="117"/>
      <c r="X988" s="117"/>
      <c r="Y988" s="117"/>
      <c r="Z988" s="117"/>
    </row>
    <row r="989">
      <c r="A989" s="117"/>
      <c r="B989" s="117"/>
      <c r="C989" s="117"/>
      <c r="D989" s="117"/>
      <c r="E989" s="117"/>
      <c r="F989" s="117"/>
      <c r="G989" s="117"/>
      <c r="H989" s="117"/>
      <c r="I989" s="117"/>
      <c r="J989" s="117"/>
      <c r="K989" s="117"/>
      <c r="L989" s="117"/>
      <c r="M989" s="117"/>
      <c r="N989" s="117"/>
      <c r="O989" s="117"/>
      <c r="P989" s="117"/>
      <c r="Q989" s="117"/>
      <c r="R989" s="117"/>
      <c r="S989" s="117"/>
      <c r="T989" s="117"/>
      <c r="U989" s="117"/>
      <c r="V989" s="117"/>
      <c r="W989" s="117"/>
      <c r="X989" s="117"/>
      <c r="Y989" s="117"/>
      <c r="Z989" s="117"/>
    </row>
  </sheetData>
  <drawing r:id="rId1"/>
</worksheet>
</file>