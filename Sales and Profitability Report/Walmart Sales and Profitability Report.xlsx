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 to Date Profitability Repo" sheetId="1" r:id="rId4"/>
    <sheet state="visible" name="Statements Legacy Report " sheetId="2" r:id="rId5"/>
    <sheet state="visible" name="Listing SKU - Fill SKU Mapping" sheetId="3" r:id="rId6"/>
  </sheets>
  <definedNames>
    <definedName name="Walmart">'Year to Date Profitability Repo'!$1:$989</definedName>
    <definedName hidden="1" localSheetId="1" name="_xlnm._FilterDatabase">'Statements Legacy Report '!$A$1:$CG$105</definedName>
  </definedNames>
  <calcPr/>
</workbook>
</file>

<file path=xl/sharedStrings.xml><?xml version="1.0" encoding="utf-8"?>
<sst xmlns="http://schemas.openxmlformats.org/spreadsheetml/2006/main" count="8165" uniqueCount="1663">
  <si>
    <t>Walmart</t>
  </si>
  <si>
    <t>Net Margins</t>
  </si>
  <si>
    <t>20% Projection</t>
  </si>
  <si>
    <t>Net Profit Walmart</t>
  </si>
  <si>
    <t>Item Profit Vs. Returned Items</t>
  </si>
  <si>
    <t>Walmart Item Sales Profit</t>
  </si>
  <si>
    <t>Keystone</t>
  </si>
  <si>
    <t>eBay</t>
  </si>
  <si>
    <t>TAAS</t>
  </si>
  <si>
    <t>Returns Items Cost</t>
  </si>
  <si>
    <t>Other Fees</t>
  </si>
  <si>
    <t>Adjustment Charges</t>
  </si>
  <si>
    <t>Purchase Reconciliations</t>
  </si>
  <si>
    <t>Sales</t>
  </si>
  <si>
    <t>All Vendors</t>
  </si>
  <si>
    <t>Ads and Campaigns</t>
  </si>
  <si>
    <t>Walmart.com Order #</t>
  </si>
  <si>
    <t>Walmart.com Order Line #</t>
  </si>
  <si>
    <t>Walmart.com PO #</t>
  </si>
  <si>
    <t>Walmart.com P.O. Line #</t>
  </si>
  <si>
    <t>Partner Order #</t>
  </si>
  <si>
    <t>Transaction Type</t>
  </si>
  <si>
    <t>Transaction Date Time</t>
  </si>
  <si>
    <t>Shipped Qty</t>
  </si>
  <si>
    <t>Partner Item ID</t>
  </si>
  <si>
    <t>Partner GTIN</t>
  </si>
  <si>
    <t>Partner Item name</t>
  </si>
  <si>
    <t>Product tax code</t>
  </si>
  <si>
    <t>Shipping tax code</t>
  </si>
  <si>
    <t>Gift wrap tax code</t>
  </si>
  <si>
    <t>Ship to state</t>
  </si>
  <si>
    <t>Ship to county</t>
  </si>
  <si>
    <t>County Code</t>
  </si>
  <si>
    <t>Ship to city</t>
  </si>
  <si>
    <t>Zip code</t>
  </si>
  <si>
    <t>shipping_method</t>
  </si>
  <si>
    <t>Total tender to / from customer</t>
  </si>
  <si>
    <t>Payable to Partner from Sale</t>
  </si>
  <si>
    <t>Commission from Sale</t>
  </si>
  <si>
    <t>Commission Rate</t>
  </si>
  <si>
    <t>Gross Sales Revenue</t>
  </si>
  <si>
    <t>Refunded Retail Sales</t>
  </si>
  <si>
    <t>Sales refund for Escalation</t>
  </si>
  <si>
    <t>Gross Shipping Revenue</t>
  </si>
  <si>
    <t>Gross Shipping Refunded</t>
  </si>
  <si>
    <t>Shipping refund for Escalation</t>
  </si>
  <si>
    <t>Net Shipping Revenue</t>
  </si>
  <si>
    <t>Gross Fee Revenue</t>
  </si>
  <si>
    <t>Gross Fee Refunded</t>
  </si>
  <si>
    <t>Fee refund for Escalation</t>
  </si>
  <si>
    <t>Net Fee Revenue</t>
  </si>
  <si>
    <t>Gift Wrap Quantity</t>
  </si>
  <si>
    <t>Gross Gift-Wrap Revenue</t>
  </si>
  <si>
    <t>Gross Gift-Wrap Refunded</t>
  </si>
  <si>
    <t>Gift wrap refund for Escalation</t>
  </si>
  <si>
    <t>Net Gift Wrap Revenue</t>
  </si>
  <si>
    <t>Tax on Sales Revenue</t>
  </si>
  <si>
    <t>Tax on Shipping Revenue</t>
  </si>
  <si>
    <t>Tax on Gift-Wrap Revenue</t>
  </si>
  <si>
    <t>Tax on Fee Revenue</t>
  </si>
  <si>
    <t>Effective tax rate</t>
  </si>
  <si>
    <t>Tax on Refunded Sales</t>
  </si>
  <si>
    <t>Tax on Shipping Refund</t>
  </si>
  <si>
    <t>Tax on Gift-Wrap Refund</t>
  </si>
  <si>
    <t>Tax on Fee Refund</t>
  </si>
  <si>
    <t>Tax on Sales refund for Escalation</t>
  </si>
  <si>
    <t>Tax on Shipping Refund for Escalation</t>
  </si>
  <si>
    <t>Tax on Gift-Wrap Refund for escalation</t>
  </si>
  <si>
    <t>Tax on Fee Refund for escalation</t>
  </si>
  <si>
    <t>Total NET Tax Collected</t>
  </si>
  <si>
    <t>Tax Withheld</t>
  </si>
  <si>
    <t>Adjustment Description</t>
  </si>
  <si>
    <t>Adjustment Code</t>
  </si>
  <si>
    <t>Original Item price</t>
  </si>
  <si>
    <t>Original Commission Amount</t>
  </si>
  <si>
    <t>Spec Category</t>
  </si>
  <si>
    <t>Contract Category</t>
  </si>
  <si>
    <t>Product Type</t>
  </si>
  <si>
    <t>Flex Commission Rule</t>
  </si>
  <si>
    <t>Return Reason Code</t>
  </si>
  <si>
    <t>Return Reason Description</t>
  </si>
  <si>
    <t>Fee Withheld Flag</t>
  </si>
  <si>
    <t>Fulfillment Type</t>
  </si>
  <si>
    <t>Fulfillment Details</t>
  </si>
  <si>
    <t>Commission Incentive Program</t>
  </si>
  <si>
    <t>Commission Saving</t>
  </si>
  <si>
    <t>Customer Promo Type</t>
  </si>
  <si>
    <t>Total Walmart Funded Savings</t>
  </si>
  <si>
    <t>Total Walmart Funded Savings Program</t>
  </si>
  <si>
    <t>Item Condition</t>
  </si>
  <si>
    <t>Vendor</t>
  </si>
  <si>
    <t>Fill PN</t>
  </si>
  <si>
    <t>Item Cost</t>
  </si>
  <si>
    <t>Ship Cost</t>
  </si>
  <si>
    <t>Total Cost</t>
  </si>
  <si>
    <t>Net Profit</t>
  </si>
  <si>
    <t>Returned Item</t>
  </si>
  <si>
    <t>Returned Item Vendor</t>
  </si>
  <si>
    <t>Year</t>
  </si>
  <si>
    <t>Month</t>
  </si>
  <si>
    <t>SALE</t>
  </si>
  <si>
    <t>WM-FR-IMP-4261104150-16CH6VP</t>
  </si>
  <si>
    <t>16 Chrome Wheel Skins Set Compatible with 16-23 Toyota Tacoma TRD Off-Road TRD Sport SR SR5 Limited 17-23 Tacoma TRD Pro 2021 Tacoma Trail &amp; 2023 Tacoma Trail Special Edition</t>
  </si>
  <si>
    <t>FL</t>
  </si>
  <si>
    <t>Miami</t>
  </si>
  <si>
    <t>Marketplace standard</t>
  </si>
  <si>
    <t>Y</t>
  </si>
  <si>
    <t>Wheels &amp; Wheel Components</t>
  </si>
  <si>
    <t>Tires &amp; Wheels</t>
  </si>
  <si>
    <t>Automotive Wheel Covers &amp; Hub Caps</t>
  </si>
  <si>
    <t>PRO-119076-18.0</t>
  </si>
  <si>
    <t>N</t>
  </si>
  <si>
    <t>Seller Fulfilled</t>
  </si>
  <si>
    <t>Delivery</t>
  </si>
  <si>
    <t>New Seller Saving</t>
  </si>
  <si>
    <t>WM-FR-IMP-6BG71GSAAB-17CH10S</t>
  </si>
  <si>
    <t>Set of 4 17 inch Chrome ABS Wheel Skins Compatible with 2019 - 2021 Jeep Cherokee Latitude; 2019 - 2021 Jeep Cherokee Latitude Plus Impostors for 6BG71GSAAB Wheel Series</t>
  </si>
  <si>
    <t>MD</t>
  </si>
  <si>
    <t>Essex</t>
  </si>
  <si>
    <t>PRO-119076-17.0</t>
  </si>
  <si>
    <t>WM-KS-FRHC-53094-17SL</t>
  </si>
  <si>
    <t>Fuel Rider Set of 4 17 inch Silver Snap-On Hubcaps With 10 Spoke Compatible With 2014-2020 Nissan Rogue S Standard Steel Wheel Covers</t>
  </si>
  <si>
    <t>TN</t>
  </si>
  <si>
    <t>Dresden</t>
  </si>
  <si>
    <t>WM-FR-IMP-9965087590-19GB5SS</t>
  </si>
  <si>
    <t>Set of 4 19 inch Gloss Black ABS Wheel Skins Compatible with 2014 - 2017 Mazda 6 Touring Impostors for 9965087590 Wheel Series</t>
  </si>
  <si>
    <t>NC</t>
  </si>
  <si>
    <t>Fayetteville</t>
  </si>
  <si>
    <t>REFUNDED</t>
  </si>
  <si>
    <t>Seller Initiated Returns</t>
  </si>
  <si>
    <t>No Longer Wanted</t>
  </si>
  <si>
    <t>WM-KS-FRHC-53073-15SL</t>
  </si>
  <si>
    <t>Fuel Rider Set of 4 15 inch Silver Snap-On Hubcaps With 6 Spoke Compatible With 2007-2012 Nissan Sentra Standard Steel Wheel Covers</t>
  </si>
  <si>
    <t>MA</t>
  </si>
  <si>
    <t>Chicopee</t>
  </si>
  <si>
    <t>WM-FR-IMP-3943-17CH5SP</t>
  </si>
  <si>
    <t>17 inch Chrome ABS Wheel Skins Set Compatible with 2013-2016 Ford Escape 2017-2019 Escape SE &amp; Impostors for 3943 Wheel Series</t>
  </si>
  <si>
    <t>OH</t>
  </si>
  <si>
    <t>Amherst</t>
  </si>
  <si>
    <t>WM-FR-IMP-84760166-18GB6VS</t>
  </si>
  <si>
    <t>Set of 4 18 inch Gloss Black ABS Wheel Skins Compatible with 2017 - 2019 GMC Acadia SLE; 2017 - 2019 GMC Acadia SLT Impostors for 84760166 22996315 Wheel Series</t>
  </si>
  <si>
    <t>New Orleans</t>
  </si>
  <si>
    <t>LA</t>
  </si>
  <si>
    <t>WM-FR-IMP-3957-17GB5DS</t>
  </si>
  <si>
    <t>Set of 4 17 inch Gloss Black Wheel Skins Covers Compatible with 13-16 Ford Fusion Impostors for 3957 Wheel Series</t>
  </si>
  <si>
    <t>GA</t>
  </si>
  <si>
    <t>Pooler</t>
  </si>
  <si>
    <t>WM-KS-FRHC-530696-16SL</t>
  </si>
  <si>
    <t>Fuel Rider Set of 4 16 inch Silver Snap-On Hubcaps With 6 Spoke Compatible With 2005-2006 Nissan Altima Standard Steel Wheel Covers</t>
  </si>
  <si>
    <t>MS</t>
  </si>
  <si>
    <t>Brandon</t>
  </si>
  <si>
    <t>WM-FR-IMP-94775676-16GB6S</t>
  </si>
  <si>
    <t>Set of 4 16 Gloss Black ABS Wheel Skins Compatible with 2015-2020 Chevrolet Colorado Base 2015-2022 Colorado WT LT Z71 2017-2022 Colorado ZR2 Impostors for 94775676 Wheel Series</t>
  </si>
  <si>
    <t>OK</t>
  </si>
  <si>
    <t>Okmulgee</t>
  </si>
  <si>
    <t>PRO-119076-16.0</t>
  </si>
  <si>
    <t>Return Refund</t>
  </si>
  <si>
    <t>Not as described/pictured</t>
  </si>
  <si>
    <t>ADJMNT</t>
  </si>
  <si>
    <t>WM-FR-IMP-3943-17GB5SP</t>
  </si>
  <si>
    <t>Set of 4 17 inch Gloss Black Wheel Skins Covers Compatible with 17-19 Ford Escape SE 13-16 Ford Escape Impostors for 3943 Wheel Series</t>
  </si>
  <si>
    <t>CA</t>
  </si>
  <si>
    <t>Whittier</t>
  </si>
  <si>
    <t>Walmart Return Shipping Charge</t>
  </si>
  <si>
    <t>WM-FR-IMP-5833-17GB5DS</t>
  </si>
  <si>
    <t>17 inch Gloss Black ABS Wheel Skins Set Compatible with 2018-2021 GMC Terrain SL 2018-2023 GMC Terrain SLE &amp; Impostors for 5833 Wheel Series</t>
  </si>
  <si>
    <t>VA</t>
  </si>
  <si>
    <t>South Prince George</t>
  </si>
  <si>
    <t>WM-FR-IMP-2363-20CH5SP</t>
  </si>
  <si>
    <t>Set of 4 20 inch Chrome Wheel Skins Covers compatible with 09-10 Dodge Ram 1500 11-24 Ram 1500 Classic Sport Laramie Rebel Tradesman Big Horn SLT Express Lone Star Limited Impostors</t>
  </si>
  <si>
    <t>IN</t>
  </si>
  <si>
    <t>Beech Grove</t>
  </si>
  <si>
    <t>WM-FR-IMP-10043-18CH5DS</t>
  </si>
  <si>
    <t>Set of 4 18 inch Chrome Wheel Skins Covers Compatible with 15-18 Ford Edge Impostors for 10043 Wheel Series</t>
  </si>
  <si>
    <t>TX</t>
  </si>
  <si>
    <t>Houston</t>
  </si>
  <si>
    <t>WM-FR-IMP-DS7Z1007Q-17CC10S</t>
  </si>
  <si>
    <t>Set of 4 17 Chrome &amp; Charcoal ABS Wheel Skins Compatible with 2017-2020 Ford Fusion SE 2015-2016 Ford Fusion Impostors for DS7Z1007Q Wheel Series</t>
  </si>
  <si>
    <t>Roanoke</t>
  </si>
  <si>
    <t>WM-FR-IMP-5473-16GB5SP</t>
  </si>
  <si>
    <t>Set of 4 16 inch Gloss Black ABS Wheel Skins Compatible with 11-15 Chevrolet Cruze 16 Cruze Limited Impostors for 5473 5674 Wheel Series</t>
  </si>
  <si>
    <t>Mcallen</t>
  </si>
  <si>
    <t>PRO-119076-14.0</t>
  </si>
  <si>
    <t>WM-FR-IMP-5646-18CH5DS</t>
  </si>
  <si>
    <t>18 inch Chrome ABS Wheel Skins Set Compatible with 2014-2018 Chevrolet Silverado 1500 LT LTZ 2015-2020 Tahoe Suburban LS LT &amp; Impostors for 5646 Wheel Series</t>
  </si>
  <si>
    <t>Evansville</t>
  </si>
  <si>
    <t>PRO-119076-15.0</t>
  </si>
  <si>
    <t>WM-FR-IMP-4261148040-16CH5DMS</t>
  </si>
  <si>
    <t>Set of 4 16 inch Chrome Wheel Skins Covers compatible with 01-05 Toyota RAV4 01-07 Toyota Highlander Impostors for 4261148040 Wheel Series</t>
  </si>
  <si>
    <t>Palm Bay</t>
  </si>
  <si>
    <t>WM-FR-IMP-63927-17CH5SP</t>
  </si>
  <si>
    <t>Set of 4 17 inch Chrome Wheel Skins Covers compatible with 07-11 Honda CR-V LX Impostors for 63927 Wheel Series</t>
  </si>
  <si>
    <t>WI</t>
  </si>
  <si>
    <t>New Berlin</t>
  </si>
  <si>
    <t>WM-FR-IMP-LJ6Z1007A-17GB10S</t>
  </si>
  <si>
    <t>17 inch Gloss Black ABS Wheel Skins Set Compatible with 2020-2022 Ford Escape &amp; Impostors for LJ6Z1007A Wheel Series</t>
  </si>
  <si>
    <t>Frederick</t>
  </si>
  <si>
    <t>Ponte Vedra</t>
  </si>
  <si>
    <t>WM-FR-IMP-22996312-17GB6S</t>
  </si>
  <si>
    <t>17 inch Gloss Black ABS Wheel Skins Set Compatible with 2017-2021 GMC Acadia SL 2017-2023 Acadia SLE &amp; Impostors for 22996312 Wheel Series</t>
  </si>
  <si>
    <t>Bought Somewhere Else</t>
  </si>
  <si>
    <t>WM-FR-IMP-5934-18CH6SS</t>
  </si>
  <si>
    <t>18 inch Chrome ABS Wheel Skins Set Compatible with 2019-2025 Chevrolet Blazer &amp; Impostors for 5934 Wheel Series</t>
  </si>
  <si>
    <t>Ossian</t>
  </si>
  <si>
    <t>Defective/Broken</t>
  </si>
  <si>
    <t>WM-FR-IMP-62593-17CH5DS</t>
  </si>
  <si>
    <t>17 inch Chrome ABS Wheel Skins Set Compatible with 2013-2018 Nissan Altima &amp; Impostors for 62593 Wheel Series</t>
  </si>
  <si>
    <t>AR</t>
  </si>
  <si>
    <t>Little Rock</t>
  </si>
  <si>
    <t>WM-FR-IMP-KT4Z1007A-18GB5SS</t>
  </si>
  <si>
    <t>Set of 4 18 inch Gloss Black ABS Wheel Skins Compatible with 2019 - 2022 Ford Edge SEL Impostors for KT4Z1007A Wheel Series</t>
  </si>
  <si>
    <t>AL</t>
  </si>
  <si>
    <t>Gadsden</t>
  </si>
  <si>
    <t>WM-FR-IMP-5712-18GB10S</t>
  </si>
  <si>
    <t>Set of 4 18 inch Gloss Black Wheel Skins Covers Compatible with 18-24 Chevrolet Equinox LS LT Premier 18-21 Equinox L 16-20 Impala Impostors for 5712 Wheel Series</t>
  </si>
  <si>
    <t>Galesburg</t>
  </si>
  <si>
    <t>WM-FR-IMP-5629-18CH10S</t>
  </si>
  <si>
    <t>18 inch Chrome ABS Wheel Skins Set Compatible with 2013-2015 Chevrolet Camaro LS LT &amp; Impostors for 5629 5575 Wheel Series</t>
  </si>
  <si>
    <t>New Albany</t>
  </si>
  <si>
    <t>PRO-119076-13.0</t>
  </si>
  <si>
    <t>WM-FR-IMP-22968927-17GB5VS</t>
  </si>
  <si>
    <t>Set of 4 17 inch Gloss Black ABS Wheel Skins Wheel Covers compatible with 18-24 Chevrolet Equinox LT LS 18-21 Equinox L Impostors for 22968927 Wheel Series</t>
  </si>
  <si>
    <t>San Antonio</t>
  </si>
  <si>
    <t>WM-FR-IMP-9077-16GB5SP</t>
  </si>
  <si>
    <t>Set of 4 16 inch Gloss Black Wheel Skins Covers Compatible with 07-17 Jeep Patriot 14-16 Jeep Compass Impostors for 9077 Wheel Series</t>
  </si>
  <si>
    <t>DE</t>
  </si>
  <si>
    <t>Newark</t>
  </si>
  <si>
    <t>MI</t>
  </si>
  <si>
    <t>Niles</t>
  </si>
  <si>
    <t>PRO-119076-12.0</t>
  </si>
  <si>
    <t>WM-FR-IMP-5657-17GB5SP</t>
  </si>
  <si>
    <t>Set of 4 17 inch Gloss Black Wheel Skins Covers Compatible with 15-18 Chevrolet Silverado 1500 LS Impostors for 5657 Wheel Series</t>
  </si>
  <si>
    <t>PA</t>
  </si>
  <si>
    <t>Mount Union</t>
  </si>
  <si>
    <t>WM-FR-IMP-5908-17GB6S</t>
  </si>
  <si>
    <t>17 Gloss Black Wheel Skins Set Compatible with 2019-2025 GMC Sierra 1500 2019-2021 Chevrolet Silverado 1500 2022-2025 Silverado 1500 Custom RST LT ZR2 High Country Impostors</t>
  </si>
  <si>
    <t>Canton</t>
  </si>
  <si>
    <t>SC</t>
  </si>
  <si>
    <t>Conway</t>
  </si>
  <si>
    <t>WM-FR-IMP-10010-16GB10S</t>
  </si>
  <si>
    <t>16 inch Gloss Black ABS Wheel Skins Set Compatible with 2015-2018 Ford Focus SE &amp; Impostors for 10010 Wheel Series</t>
  </si>
  <si>
    <t>UT</t>
  </si>
  <si>
    <t>West Valley City</t>
  </si>
  <si>
    <t>PRO-119076-11.0</t>
  </si>
  <si>
    <t>WM-FR-IMP-5299-17CH5SP</t>
  </si>
  <si>
    <t>Set of 4 17 inch Chrome Wheel Skins Covers compatible with 07-14 Chevrolet Suburban 1500 Tahoe 07-13 Suburban 2500 Silverado 1500 Impostors for 5299 5421 Wheel Series</t>
  </si>
  <si>
    <t>STANWOOD</t>
  </si>
  <si>
    <t>PRO-119076-8.0</t>
  </si>
  <si>
    <t>WM-FR-IMP-2521-18GB5SP</t>
  </si>
  <si>
    <t>Set of 4 18 inch Gloss Black Wheel Skins Covers Compatible with 15-17 Dodge Charger SXT 15-23 Dodge Challenger SXT 18 Charger SXT Plus Impostors for 2521 Wheel Series</t>
  </si>
  <si>
    <t>Lyndhurst</t>
  </si>
  <si>
    <t>PRO-119076-10.0</t>
  </si>
  <si>
    <t>WM-FR-IMP-2511-17GB10S</t>
  </si>
  <si>
    <t>17 inch Gloss Black ABS Wheel Skins Set Compatible with 2015-2017 Chrysler 200 Limited &amp; Impostors for 2511 Wheel Series</t>
  </si>
  <si>
    <t>Hammond</t>
  </si>
  <si>
    <t>PRO-119076-9.0</t>
  </si>
  <si>
    <t>Automotive Rims</t>
  </si>
  <si>
    <t>Ashland</t>
  </si>
  <si>
    <t>Incorrect item received</t>
  </si>
  <si>
    <t>WM-FR-IMP-8130-17CH12H</t>
  </si>
  <si>
    <t>Set of 4 17 inch Chrome Wheel Skins Covers compatible with 19-25 Chevrolet Silverado 1500 WT LT RST ZR2 Trail Boss High Country Custom LTZ PPV LTD Impostors for 8130 Wheel Series</t>
  </si>
  <si>
    <t>MN</t>
  </si>
  <si>
    <t>Saint Cloud</t>
  </si>
  <si>
    <t>WM-FR-IMP-3857-17GB9S</t>
  </si>
  <si>
    <t>17 Gloss Black ABS Wheel Skins Set Compatible with 2017-2023 Ford F-150 Limited King Ranch XLT Lariat Platinum Raptor XL SSV Police Responder &amp; 2013 F-150 Impostors 3857 3996</t>
  </si>
  <si>
    <t>Bakersfield</t>
  </si>
  <si>
    <t>Carnegie</t>
  </si>
  <si>
    <t>BSE-31-4.0</t>
  </si>
  <si>
    <t>WM-FR-IMP-5748-16CH5DS</t>
  </si>
  <si>
    <t>16 inch Chrome ABS Wheel Skins Set Compatible with 2016-2018 Chevrolet Cruze LT &amp; Impostors for 5748 Wheel Series</t>
  </si>
  <si>
    <t>IA</t>
  </si>
  <si>
    <t>Davenport</t>
  </si>
  <si>
    <t>WM-FR-IMP-10149-16GB7S</t>
  </si>
  <si>
    <t>16 inch Gloss Black ABS Wheel Skins Set Compatible with 2018-2022 Ford EcoSport &amp; Impostors for 10149 Wheel Series</t>
  </si>
  <si>
    <t>MO</t>
  </si>
  <si>
    <t>Affton</t>
  </si>
  <si>
    <t>IL</t>
  </si>
  <si>
    <t>Colona</t>
  </si>
  <si>
    <t>PRO-119076-7.0</t>
  </si>
  <si>
    <t>WM-KS-FRHC-3276-17SL</t>
  </si>
  <si>
    <t>Fuel Rider Set of 4 17 inch Silver Screw-On Hubcaps With 5 Spoke Compatible With 07-10 Pontiac G6 08-12 Chevrolet Malibu Standard Steel Wheel Covers</t>
  </si>
  <si>
    <t>Hartsville</t>
  </si>
  <si>
    <t>PRO-119076-19.0</t>
  </si>
  <si>
    <t>WM-FR-IMP-3781-17CH5SP</t>
  </si>
  <si>
    <t>Set of 4 17 inch Chrome Wheel Skins Covers compatible with 2009-2014 Ford F-150 Impostors for 3781 Wheel Series</t>
  </si>
  <si>
    <t>Forrest City</t>
  </si>
  <si>
    <t>PRO-119076-21.0</t>
  </si>
  <si>
    <t>WM-KS-FRHC-53088-16SL</t>
  </si>
  <si>
    <t>Fuel Rider Set of 4 16 inch Silver Snap-On Hubcaps With 10 Spoke Compatible With 2013-2018 Nissan Altima Standard Steel Wheel Covers</t>
  </si>
  <si>
    <t>Miramar</t>
  </si>
  <si>
    <t>PRO-119076-20.0</t>
  </si>
  <si>
    <t>WM-KS-FRHC-3299-18SL</t>
  </si>
  <si>
    <t>Fuel Rider Set of 4 18 inch Silver Screw-On Hubcaps With 5 Spoke Compatible With 2014-2020 Chevrolet Impala Standard Steel Wheel Covers</t>
  </si>
  <si>
    <t>Greenwood</t>
  </si>
  <si>
    <t>WM-FR-IMP-75162-18GB5VS</t>
  </si>
  <si>
    <t>18 inch Gloss Black ABS Wheel Skins Set Compatible with 2014-2019 Toyota Highlander LE XLE &amp; Impostors for 75162 Wheel Series</t>
  </si>
  <si>
    <t>South Bend</t>
  </si>
  <si>
    <t>CO</t>
  </si>
  <si>
    <t>Aurora</t>
  </si>
  <si>
    <t>WM-FR-IMP-68813-17CH5SP</t>
  </si>
  <si>
    <t>17 inch Chrome ABS Wheel Skins Set Compatible with 2014-2018 Subaru Forester &amp; Impostors for 68813 Wheel Series</t>
  </si>
  <si>
    <t>MT Pleasant</t>
  </si>
  <si>
    <t>WM-FR-IMP-84428928-16GB5SP</t>
  </si>
  <si>
    <t>16 inch Gloss Black ABS Wheel Skins Set Compatible with 2019-2025 Chevrolet Malibu LS &amp; Impostors for 84428928 Wheel Series</t>
  </si>
  <si>
    <t>Tyler</t>
  </si>
  <si>
    <t>WM-KS-FRHC-8033-16SL</t>
  </si>
  <si>
    <t>Fuel Rider Set of 4 16 inch Silver Bolt-On Hubcaps With 6 Spoke Compatible With 2008-2013 Dodge Grand Caravan Standard Steel Wheel Covers</t>
  </si>
  <si>
    <t>Baxley</t>
  </si>
  <si>
    <t>WM-KS-FRHC-70811B-16SL</t>
  </si>
  <si>
    <t>Fuel Rider Set of 4 16 inch Silver Snap-On Hubcaps with 5 Double Spoke Compatible with 2011-2017 Nissan Quest S Standard Steel Wheel Covers</t>
  </si>
  <si>
    <t>Cambridge</t>
  </si>
  <si>
    <t>WM-KS-FRHC-61175-16SL</t>
  </si>
  <si>
    <t>Fuel Rider Set of 4 16 inch Silver Snap-On Hubcaps With 10 Spoke Compatible With 2015-2017 Toyota Camry Standard Steel Wheel Covers</t>
  </si>
  <si>
    <t>Auburn</t>
  </si>
  <si>
    <t>Spanish Fork</t>
  </si>
  <si>
    <t>WM-KS-FRHC-61088-14SL</t>
  </si>
  <si>
    <t>PRO-119076-23.0</t>
  </si>
  <si>
    <t>PRO</t>
  </si>
  <si>
    <t>PricingIncentives</t>
  </si>
  <si>
    <t>WM-KS-FRHC-3021-16SL</t>
  </si>
  <si>
    <t>PRO-119076-22.0</t>
  </si>
  <si>
    <t>WM-FR-IMP-8069-17GB8H</t>
  </si>
  <si>
    <t>WM-KS-FRHC-53089-16GBK</t>
  </si>
  <si>
    <t>WM-KS-FRHC-53072-15SL</t>
  </si>
  <si>
    <t>WM-KS-FRTR-69450-15SL</t>
  </si>
  <si>
    <t>Wheel Trim Rings</t>
  </si>
  <si>
    <t>WM-FR-IMP-2380-17GB5SP</t>
  </si>
  <si>
    <t>WM-KS-FRHC-53088-16CH</t>
  </si>
  <si>
    <t>WM-KS-FRHC-61173-16SL</t>
  </si>
  <si>
    <t>WM-KS-FRCC-799-CH</t>
  </si>
  <si>
    <t>WM-KS-FRHC-61179-17SBK</t>
  </si>
  <si>
    <t>WM-KS-FRHC-8038-17SL</t>
  </si>
  <si>
    <t>WM-FR-IMP-ML3Z-1007-A-17GB6S</t>
  </si>
  <si>
    <t>PRO-119071-7.0</t>
  </si>
  <si>
    <t>WM-KS-FRHC-3285-15SL</t>
  </si>
  <si>
    <t>WM-KS-FRHC-61124-16SL</t>
  </si>
  <si>
    <t>PRO-119076-24.0</t>
  </si>
  <si>
    <t>WM-FR-IMP-9074-17GB5SP</t>
  </si>
  <si>
    <t>WM-KS-FRHC-4260202540-16GBK</t>
  </si>
  <si>
    <t>PRO-119076-25.0</t>
  </si>
  <si>
    <t>WM-FR-IMP-9146-16GB5S</t>
  </si>
  <si>
    <t>WM-KS-FRHC-LJ6Z-1130-A-17GBK</t>
  </si>
  <si>
    <t>WM-KS-FRHC-53084-16SL</t>
  </si>
  <si>
    <t>WM-FR-IMP-9148-17GB10V</t>
  </si>
  <si>
    <t>WM-FR-IMP-10108-17CH5DS</t>
  </si>
  <si>
    <t>WM-KS-FRHC-53089-16SL</t>
  </si>
  <si>
    <t>PRO-119076-28.0</t>
  </si>
  <si>
    <t>WM-KS-FRHC-55092-15SL</t>
  </si>
  <si>
    <t>Others</t>
  </si>
  <si>
    <t>WM-FR-IMP-69457-15CH5H</t>
  </si>
  <si>
    <t>WM-KS-FRHC-7062-17CH</t>
  </si>
  <si>
    <t>WM-KS-FRHC-55099-16SBK</t>
  </si>
  <si>
    <t>WM-FR-IMP-75240-17CH5SP</t>
  </si>
  <si>
    <t>PRO-119076-29.0</t>
  </si>
  <si>
    <t>WM-KS-FRHC-3021-18GBK</t>
  </si>
  <si>
    <t>WM-KS-FRHC-7052-17SL</t>
  </si>
  <si>
    <t>WM-FR-IMP-BC3Z1015C-17GB5SC</t>
  </si>
  <si>
    <t>WM-KS-FRHC-5859MG-15CH</t>
  </si>
  <si>
    <t>WM-KS-FRHC-KT1Z-1130-A-16SL</t>
  </si>
  <si>
    <t>WM-KS-FRHC-55071-16SL</t>
  </si>
  <si>
    <t>WM-FR-IMP-2451-20GB5S</t>
  </si>
  <si>
    <t>WM-FR-IMP-LB5Z1007L-18GB5SS</t>
  </si>
  <si>
    <t>WM-KS-FRHC-7054-15SL</t>
  </si>
  <si>
    <t>PRO-119076-30.0</t>
  </si>
  <si>
    <t>WM-FR-IMP-5715-17GB10S</t>
  </si>
  <si>
    <t>WM-FR-IMP-KS7Z1007F-17GB5SS</t>
  </si>
  <si>
    <t>WM-FR-IMP-ML3Z1007DA-18CH6YS</t>
  </si>
  <si>
    <t>WM-KS-FRHC-1922TORA-17GBK</t>
  </si>
  <si>
    <t>WM-KS-FRCC-3689R-CH</t>
  </si>
  <si>
    <t>WM-KS-FRHC-55058-15SL</t>
  </si>
  <si>
    <t>WM-FR-IMP-10027-17GB5SP</t>
  </si>
  <si>
    <t>WM-KS-FRHC-61181-16GBK</t>
  </si>
  <si>
    <t>PRO-119076-31.0</t>
  </si>
  <si>
    <t>WM-KS-FRCC-5712-GBK</t>
  </si>
  <si>
    <t>WM-KS-FRHC-61115-15SL</t>
  </si>
  <si>
    <t>WM-FR-IMP-95109-16GB5SP</t>
  </si>
  <si>
    <t>WM-FR-IMP-94775676-16CH6S</t>
  </si>
  <si>
    <t>WM-KS-FRHC-61104-15SL</t>
  </si>
  <si>
    <t>WM-KS-FRHC-52960H9150-15GBK</t>
  </si>
  <si>
    <t>WM-FR-IMP-5712-18CH10S</t>
  </si>
  <si>
    <t>WM-KS-FRHC-61181-16SL</t>
  </si>
  <si>
    <t>PRO-119076-32.0</t>
  </si>
  <si>
    <t>WM-KS-FRHC-3021-16GBK</t>
  </si>
  <si>
    <t>WM-FR-IMP-5832-19GB5DS</t>
  </si>
  <si>
    <t>WM-KS-FRHC-7030-16SL</t>
  </si>
  <si>
    <t>WM-FR-IMP-5659-17CH7S</t>
  </si>
  <si>
    <t>WM-KS-FRTR-1515P-15CH</t>
  </si>
  <si>
    <t>WM-KS-FRHC-61133-15SL</t>
  </si>
  <si>
    <t>WM-KS-FRHC-53087-15SL</t>
  </si>
  <si>
    <t>WM-KS-FRHC-7070-17GBK</t>
  </si>
  <si>
    <t>WM-FR-IMP-69394-16CH5DS</t>
  </si>
  <si>
    <t>WM-KS-FRHC-7052-17CH</t>
  </si>
  <si>
    <t>PRO-119076-33.0</t>
  </si>
  <si>
    <t>WM-KS-FRHC-55068-15SL</t>
  </si>
  <si>
    <t>PRO-119076-34.0</t>
  </si>
  <si>
    <t>WM-KS-FRHC-61163-16SL-WLH</t>
  </si>
  <si>
    <t>WM-KS-FRHC-55045-15SL</t>
  </si>
  <si>
    <t>WM-FR-IMP-5433-17CH5SP</t>
  </si>
  <si>
    <t>WM-KS-FRHC-61159-16SL</t>
  </si>
  <si>
    <t>WM-KS-FRCC-5449-CH</t>
  </si>
  <si>
    <t>WM-FR-IMP-10043-18PB5DS</t>
  </si>
  <si>
    <t>WM-KS-FRHC-53088-16BK</t>
  </si>
  <si>
    <t>WM-FR-IMP-5715-17CH10S</t>
  </si>
  <si>
    <t>WM-FR-IMP-8069-17CH8S</t>
  </si>
  <si>
    <t>WM-KS-FRHC-61123-15SL</t>
  </si>
  <si>
    <t>Item arrived damaged</t>
  </si>
  <si>
    <t>PRO-119076-35.0</t>
  </si>
  <si>
    <t>PRO-119076-36.0</t>
  </si>
  <si>
    <t>WM-KS-FRHC-8052-16SL</t>
  </si>
  <si>
    <t>WM-FR-IMP-5748-16GB5DS</t>
  </si>
  <si>
    <t>WM-KS-FRHC-8046B-17SL</t>
  </si>
  <si>
    <t>WM-KS-FRHC-53089-16CH</t>
  </si>
  <si>
    <t>WM-KS-FRHC-61109-14SL</t>
  </si>
  <si>
    <t>WM-KS-FRHC-55069-16SL</t>
  </si>
  <si>
    <t>WM-KS-FRHC-7044-15SL</t>
  </si>
  <si>
    <t>WM-KS-FRHC-4260202540-16SL</t>
  </si>
  <si>
    <t>WM-KS-FRHC-3299-18CH</t>
  </si>
  <si>
    <t>WM-KS-FRCC-3192-CH</t>
  </si>
  <si>
    <t>Missing parts or instructions</t>
  </si>
  <si>
    <t>WM-FR-IMP-8095-17CH5SP</t>
  </si>
  <si>
    <t>WM-WFS-UTV-RVMP-01</t>
  </si>
  <si>
    <t>Vehicle Parts &amp; Accessories</t>
  </si>
  <si>
    <t>Automotive &amp; Powersports</t>
  </si>
  <si>
    <t>Side View Mirrors</t>
  </si>
  <si>
    <t>Walmart-fulfilled(WFS)</t>
  </si>
  <si>
    <t>WFS Fulfillment fee</t>
  </si>
  <si>
    <t>WM-FR-IMP-5649-18CH6DS</t>
  </si>
  <si>
    <t>WM-FR-IMP-DS7Z1007Q-17GB10S</t>
  </si>
  <si>
    <t>WM-KS-FRHC-52970K0000-16GBK</t>
  </si>
  <si>
    <t>WM-KS-FRHC-61159-16GBK</t>
  </si>
  <si>
    <t>PRO-119076-38.0</t>
  </si>
  <si>
    <t>WM-KS-FRHC-SWUNWSPK-15CH</t>
  </si>
  <si>
    <t>PRO-119076-37.0</t>
  </si>
  <si>
    <t>WM-KS-FRHC-3251-16SL</t>
  </si>
  <si>
    <t>WM-KS-FRTR-1513-13CH</t>
  </si>
  <si>
    <t>WM-KS-FRHC-3021-17SL</t>
  </si>
  <si>
    <t>WM-KS-FRHC-53094-17GBK</t>
  </si>
  <si>
    <t>Marketplace expedited</t>
  </si>
  <si>
    <t>PRO-119073-11.0</t>
  </si>
  <si>
    <t>WM-FR-IMP-5654-17CH6S</t>
  </si>
  <si>
    <t>WM-KS-FRHC-61116-16SL</t>
  </si>
  <si>
    <t>WM-FR-IMP-9130-17GB10V</t>
  </si>
  <si>
    <t>WM-KS-FRTR-1517-17CH</t>
  </si>
  <si>
    <t>WM-KS-FRHC-7036-16CHS</t>
  </si>
  <si>
    <t>WM-FR-IMP-3859-18GB5SS</t>
  </si>
  <si>
    <t>WM-FR-IMP-63894-17CH5SP</t>
  </si>
  <si>
    <t>Seller Triggered Refund</t>
  </si>
  <si>
    <t>CustomerChangedMind</t>
  </si>
  <si>
    <t>Fuel Rider Set of 4 17 inch Gloss Black Snap-On Hubcaps With 6 Spoke Compatible With 2019-2024 Toyota RAV4 LE Standard Steel Wheel Covers</t>
  </si>
  <si>
    <t>Largo</t>
  </si>
  <si>
    <t>PRO-119076-39.0</t>
  </si>
  <si>
    <t>WM-KS-FRCC-5646-AL</t>
  </si>
  <si>
    <t>Fuel Rider Set of 4 Aluminum Center Caps Compatible with Select Years and Sub Models for Chevrolet Silverado 1500 Tahoe GMC Yukon Sierra 1500</t>
  </si>
  <si>
    <t>WM-KS-FRHC-61136-15SL</t>
  </si>
  <si>
    <t>Fuel Rider Set of 4 15 inch Silver Snap-On Hubcaps With 9 Spoke Compatible With 2004-2006 Toyota Camry Standard Steel Wheel Covers</t>
  </si>
  <si>
    <t>Tunnel Hill</t>
  </si>
  <si>
    <t>Fuel Rider Set of 4 17 inch Gloss Black Snap-On Hubcaps With 10 Spoke Compatible With 2014-2020 Nissan Rogue S Standard Steel Wheel Covers</t>
  </si>
  <si>
    <t>KY</t>
  </si>
  <si>
    <t>Russellville</t>
  </si>
  <si>
    <t>PRO-119071-8.0</t>
  </si>
  <si>
    <t>Fuel Rider Set of 4 16 inch Silver Snap-On Hubcaps With 10 Spoke Compatible With 13-19 Nissan Sentra S 2013-19 Sentra SV Standard Steel Wheel Covers</t>
  </si>
  <si>
    <t>Grove City</t>
  </si>
  <si>
    <t>WM-FR-IMP-74735-17GB10S</t>
  </si>
  <si>
    <t>17 inch Gloss Black ABS Wheel Skins Set Compatible with 2016-2020 Kia Sorento EX &amp; Impostors for 74735 Wheel Series</t>
  </si>
  <si>
    <t>Del City</t>
  </si>
  <si>
    <t>Fuel Rider Set of 4 Gloss Black ABS Center Caps Compatible with 2016-2020 Chevrolet Impala 2018-2024 Chevrolet Equinox 2.25 Diameter</t>
  </si>
  <si>
    <t>Red Hill</t>
  </si>
  <si>
    <t>Fuel Rider Set of 4 15 inch Silver Bolt-On Hubcaps With 5 Directional Spoke Compatible With 2013-2015 Honda Civic Standard Steel Wheel Covers</t>
  </si>
  <si>
    <t>Burlington</t>
  </si>
  <si>
    <t>Fuel Rider Set of 4 16 inch Silver Bolt-On Hubcaps With 10 Spoke Compatible With 2010-2012 Nissan Sentra Standard Steel Wheel Covers</t>
  </si>
  <si>
    <t>Denver</t>
  </si>
  <si>
    <t>Fuel Rider Set of 4 16 inch Gloss Black Snap-On Hubcaps With 6 Spoke Compatible With 2017-2019 Toyota Corolla LE Standard Steel Wheel Covers</t>
  </si>
  <si>
    <t>Chesapeake</t>
  </si>
  <si>
    <t>PRO-119076-40.0</t>
  </si>
  <si>
    <t>Fuel Rider Set of 4 17 inch Chrome Bolt-On Hubcaps Compatible With Select Ford Escape 13-16 17-19 Escape S SE Titanium Standard Steel Wheel Covers</t>
  </si>
  <si>
    <t>Manchester</t>
  </si>
  <si>
    <t>Asheville</t>
  </si>
  <si>
    <t>Lewisburg</t>
  </si>
  <si>
    <t>Fuel Rider Set of 4 15 inch Silver Screw-On Hubcaps With 12 Spoke Compatible With 2005-2010 Chevrolet Cobalt Standard Steel Wheel Covers</t>
  </si>
  <si>
    <t>Independence</t>
  </si>
  <si>
    <t>Fuel Rider Set of 4 16 inch Gloss Black Snap-On Hubcaps With 8 Spoke Compatible With 2020-2025 Toyota Corolla Standard Steel Wheel Covers</t>
  </si>
  <si>
    <t>CT</t>
  </si>
  <si>
    <t>Groton</t>
  </si>
  <si>
    <t>Fuel Rider UTV Rear View Side Mirrors - Shatter-Proof Adjustable Universal Fit 1.6 - 2 Roll Cage Bar - High Impact Tempered Glass</t>
  </si>
  <si>
    <t>Judsonia</t>
  </si>
  <si>
    <t>Fuel Rider Set of 4 15 inch Silver Snap-On Hubcaps With 12 Spoke Compatible With 2000-2001 Toyota Camry Standard Steel Wheel Covers</t>
  </si>
  <si>
    <t>Covington</t>
  </si>
  <si>
    <t>WM-KS-FRHC-7014-16CH</t>
  </si>
  <si>
    <t>Fuel Rider Set of 4 16 inch Chrome Snap-On Hubcaps With 24 Hole Compatible With 1998-2002 Ford Crown Victoria Standard Steel Wheel Covers</t>
  </si>
  <si>
    <t>WM-FR-IMP-2672-18CH6S</t>
  </si>
  <si>
    <t>18 inch Chrome ABS Wheel Skins Set Compatible with 2019-2024 Ram 1500 Laramie &amp; Impostors for 2672 Wheel Series</t>
  </si>
  <si>
    <t>Marshall</t>
  </si>
  <si>
    <t>WM-FR-IMP-2449-17GB5SP</t>
  </si>
  <si>
    <t>17 inch Gloss Black ABS Wheel Skins Set Compatible with 2013-2018 Ram 1500 2014-2018 Lone Star 2019-2024 Ram 1500 Classic Rebel Laramie Tradesman &amp; Impostors for 2449 Wheel Series</t>
  </si>
  <si>
    <t>Charlotte</t>
  </si>
  <si>
    <t>Fuel Rider Set of 4 17 inch Silver Bolt-On Hubcaps With 5 Split Spoke Compatible With 2011-2014 Dodge Avenger Standard Steel Wheel Covers</t>
  </si>
  <si>
    <t>Lafayette</t>
  </si>
  <si>
    <t>Cranberry Twp</t>
  </si>
  <si>
    <t>WM-KS-FRHC-61159-16SL-WLH</t>
  </si>
  <si>
    <t>Fuel Rider Set of 4 16 inch Silver Snap-On Hubcaps With 10 Spoke Compatible With 2011-2013 Toyota Corolla Standard Steel Wheel Covers</t>
  </si>
  <si>
    <t>NJ</t>
  </si>
  <si>
    <t>Blackwood</t>
  </si>
  <si>
    <t>Set of 4 17 inch Gloss Black Wheel Skins Covers Compatible with 16-22 Chevrolet Malibu LT Impostors for 5715 Wheel Series</t>
  </si>
  <si>
    <t>NY</t>
  </si>
  <si>
    <t>Ellenville</t>
  </si>
  <si>
    <t>WM-FR-IMP-LR3Z-1007-A-17GB5SP</t>
  </si>
  <si>
    <t>Set of 4 17 inch Gloss Black ABS Wheel Skins Compatible with 2020 - 2023 Ford Mustang EcoBoost Impostors for LR3Z-1007-A Wheel Series</t>
  </si>
  <si>
    <t>WA</t>
  </si>
  <si>
    <t>Spanaway</t>
  </si>
  <si>
    <t>Fuel Rider Set of 4 16 inch Silver Screw-On Hubcaps With 5 Spoke Compatible With 2006-2011 Chevrolet HHR Standard Steel Wheel Covers</t>
  </si>
  <si>
    <t>Southaven</t>
  </si>
  <si>
    <t>WM-KS-FRHC-3275-16CH</t>
  </si>
  <si>
    <t>Fuel Rider Set of 4 16 inch Chrome Screw-On Hubcaps With 5 Spoke Compatible With 07-11 Chevrolet HHR 08 Malibu Standard Steel Wheel Covers</t>
  </si>
  <si>
    <t>ID</t>
  </si>
  <si>
    <t>Caldwell</t>
  </si>
  <si>
    <t>WM-KS-FRHC-61155-16GBK</t>
  </si>
  <si>
    <t>Fuel Rider Set of 4 16 inch Gloss Black Snap-On Hubcaps With 7 Spoke Compatible With 2010-2011 Toyota Camry Standard Steel Wheel Covers</t>
  </si>
  <si>
    <t>High Point</t>
  </si>
  <si>
    <t>Fuel Rider Set of 4 15 inch Silver Snap-On Hubcaps With 6 Hole Compatible With 2007-2009 Nissan Versa Standard Steel Wheel Covers</t>
  </si>
  <si>
    <t>Moss Bluff</t>
  </si>
  <si>
    <t>Kinder</t>
  </si>
  <si>
    <t>Santa Rosa</t>
  </si>
  <si>
    <t>Set of 4 17 inch Chrome Wheel Skins Covers compatible with 09-15 Honda Pilot 06-14 Honda Ridgeline Impostors for 63894 64011 Wheel Series</t>
  </si>
  <si>
    <t>Delavan</t>
  </si>
  <si>
    <t>WM-KS-FRHC-61163-16GBK</t>
  </si>
  <si>
    <t>Fuel Rider Set of 4 16 inch Gloss Black Snap-On Hubcaps With 10 Split Spoke Compatible With 2012-2014 Toyota Camry Standard Steel Wheel Covers</t>
  </si>
  <si>
    <t>Milton</t>
  </si>
  <si>
    <t>Set of 4 17 inch Chrome Wheel Skins Covers compatible with 10-17 Chevrolet Equinox LS Impostors for 5433 Wheel Series</t>
  </si>
  <si>
    <t>Oceanside</t>
  </si>
  <si>
    <t>WM-FR-IMP-69506-17CH5SP</t>
  </si>
  <si>
    <t>Set of 4 17 inch Chrome Wheel Skins Covers compatible with 06-12 Toyota RAV4 Impostors for 69506 Wheel Series</t>
  </si>
  <si>
    <t>Southfield</t>
  </si>
  <si>
    <t>Set of 4 18 inch Gloss Black ABS Wheel Skins Compatible with 2020 - 2022 Ford Explorer Impostors for LB5Z1007L Wheel Series</t>
  </si>
  <si>
    <t>Sacramento</t>
  </si>
  <si>
    <t>Quincy</t>
  </si>
  <si>
    <t>PRO-119076-41.0</t>
  </si>
  <si>
    <t>AZ</t>
  </si>
  <si>
    <t>Chino Valley</t>
  </si>
  <si>
    <t>PRO-119076-43.0</t>
  </si>
  <si>
    <t>WM-FR-IMP-2359-18GB5SP</t>
  </si>
  <si>
    <t>Set of 4 18 inch Gloss Black Wheel Skins Covers compatible with 09-10 Dodge Challenger 11 Challenger SE Impostors for 2359 2441 Wheel Series</t>
  </si>
  <si>
    <t>Columbus</t>
  </si>
  <si>
    <t>WM-KS-FRHC-8046B-17CH</t>
  </si>
  <si>
    <t>Fuel Rider Set of 4 17 inch Chrome Bolt-On Hubcaps Compatible With 14-20 Dodge Grand Caravan SE 14-19 Journey SE Standard Steel Wheel Covers</t>
  </si>
  <si>
    <t>Green isle</t>
  </si>
  <si>
    <t>Winter Haven</t>
  </si>
  <si>
    <t>Fuel Rider Set of 4 16 inch Gloss Black Snap-On Hubcaps With 10 Spoke Compatible With 13-19 Nissan Sentra S SV Standard Steel Wheel Covers</t>
  </si>
  <si>
    <t>Boynton Beach</t>
  </si>
  <si>
    <t>PRO-119076-42.0</t>
  </si>
  <si>
    <t>Fuel Rider Set of 4 Semi-Universal 18 inch Gloss Black Snap-On Hubcaps With 5 Spokes</t>
  </si>
  <si>
    <t>Bean Station</t>
  </si>
  <si>
    <t>PRO-119076-44.0</t>
  </si>
  <si>
    <t>WM-FR-IMP-2451-20CH5S</t>
  </si>
  <si>
    <t>Set of 4 20 inch Chrome Wheel Skins Covers compatible with 13-24 Ram 1500 Classic 2500 3500 SLT Laramie Big Horn Tradesman Rebel Express Lone Star Limited Sport Outdoorsman Impostors</t>
  </si>
  <si>
    <t>Reidsville</t>
  </si>
  <si>
    <t>Gainesville</t>
  </si>
  <si>
    <t>PRO-119073-13.0</t>
  </si>
  <si>
    <t>WM-KS-FRHC-53094-17CH</t>
  </si>
  <si>
    <t>Fuel Rider Set of 4 17 inch Chrome Snap-On Hubcaps With 10 Spoke Compatible With 2014-2020 Nissan Rogue S Standard Steel Wheel Covers</t>
  </si>
  <si>
    <t>Pineville</t>
  </si>
  <si>
    <t>WM-KS-FRHC-1153-15CH</t>
  </si>
  <si>
    <t>Fuel Rider Set of 4 15 inch Chrome Screw-On Hubcaps With 24 Hole Compatible With 1997-2005 Buick Century Standard Steel Wheel Covers</t>
  </si>
  <si>
    <t>Waco</t>
  </si>
  <si>
    <t>Fuel Rider Set of 4 16 inch Gloss Black Snap-On Hubcaps With 5 Spoke Compatible With 2006-2013 Chevrolet Impala Standard Steel Wheel Covers</t>
  </si>
  <si>
    <t>Phoenix</t>
  </si>
  <si>
    <t>Dayton</t>
  </si>
  <si>
    <t>Set of 4 17 inch Gloss Black Wheel Skins Covers Compatible with 10-17 Jeep Compass 11-17 Jeep Patriot 10-12 Dodge Caliber Impostors for 2380 Wheel Series</t>
  </si>
  <si>
    <t>WV</t>
  </si>
  <si>
    <t>Williamstown</t>
  </si>
  <si>
    <t>Foreston</t>
  </si>
  <si>
    <t>WM-KS-FRHC-403156CA0B-16GBK</t>
  </si>
  <si>
    <t>Fuel Rider Set of 4 16 inch Gloss Black Snap-On Hubcaps With 5 Split Spoke Compatible With 2019-2024 Nissan Altima Standard Steel Wheel Covers</t>
  </si>
  <si>
    <t>Cleveland</t>
  </si>
  <si>
    <t>Fuel Rider Set of 4 Semi-Universal 17 inch Silver Snap-On Hubcaps With 5 Spokes</t>
  </si>
  <si>
    <t>San Jose</t>
  </si>
  <si>
    <t>Fuel Rider Set of 4 16 inch Chrome Snap-On Hubcaps With 10 Spoke Compatible With 2013-2018 Nissan Altima Standard Steel Wheel Covers</t>
  </si>
  <si>
    <t>NV</t>
  </si>
  <si>
    <t>Las Vegas</t>
  </si>
  <si>
    <t>Lost After Delivery</t>
  </si>
  <si>
    <t>WM-KS-FRHC-40315-5RB0E-16GBK</t>
  </si>
  <si>
    <t>Fuel Rider Set of 4 16 inch Gloss Black Snap-On Hubcaps with 5 Double Spoke Compatible with 2018-2024 Nissan Kicks S Standard Steel Wheel Covers</t>
  </si>
  <si>
    <t>Inverness</t>
  </si>
  <si>
    <t>Monett</t>
  </si>
  <si>
    <t>Port Huron</t>
  </si>
  <si>
    <t>WM-KS-FRHC-42602-F4010-17GBK</t>
  </si>
  <si>
    <t>Fuel Rider Set of 4 17 inch Gloss Black Snap-On Hubcaps Compatible with 21-22 Toyota C-HR LE 22-24 Corolla Cross LE Standard Steel Wheel Covers</t>
  </si>
  <si>
    <t>Chesterfield</t>
  </si>
  <si>
    <t>17 Chrome ABS Wheel Skins Set Compatible with 14-18 Chevy Silverado 1500 LS LT LTZ High Country 15-20 Tahoe Yukon 2019 Silverado LD Sierra Limited &amp; Impostors for 5654</t>
  </si>
  <si>
    <t>Delhi</t>
  </si>
  <si>
    <t>WM-KS-FRHC-7055-17CH</t>
  </si>
  <si>
    <t>Fuel Rider Set of 4 17 inch Chrome Bolt-On Hubcaps Compatible With Select Ford Explorer 11-15/ 18-19 Base and Limited 13-15 Sport Steel Wheel Covers</t>
  </si>
  <si>
    <t>Ashford</t>
  </si>
  <si>
    <t>Texarkana</t>
  </si>
  <si>
    <t>WM-KS-FRCC-3689F4WD-CH</t>
  </si>
  <si>
    <t>Fuel Rider Set of 2 Chrome ABS Center Caps Compatible with 2005-2009 Ford F-250 Super Duty 2005-2009 Ford F-350 Super Duty Front Pair Only 4Wd</t>
  </si>
  <si>
    <t>Waldorf</t>
  </si>
  <si>
    <t>Napoleonville</t>
  </si>
  <si>
    <t>WM-KS-FRHC-61156-15SL</t>
  </si>
  <si>
    <t>Fuel Rider Set of 4 15 inch Silver Snap-On Hubcaps With Directional 5 Spoke Compatible With 2010-2014 Toyota Prius Standard Steel Wheel Covers</t>
  </si>
  <si>
    <t>Silver Spring</t>
  </si>
  <si>
    <t>Fuel Rider Set of 4 17 inch Chrome Bolt-On Hubcaps With 5 Spoke Compatible With 2010-2012 Ford Fusion Standard Steel Wheel Covers</t>
  </si>
  <si>
    <t>Fort Collins</t>
  </si>
  <si>
    <t>SD</t>
  </si>
  <si>
    <t>Sturgis</t>
  </si>
  <si>
    <t>LA Puente</t>
  </si>
  <si>
    <t>Fuel Rider Set of 4 16 inch Chrome &amp; Silver Snap-On Hubcaps With 12 Spoke Compatible With 2003-2008 Ford Crown Victoria Standard Steel Wheel Covers</t>
  </si>
  <si>
    <t>Latham</t>
  </si>
  <si>
    <t>WM-FR-IMP-3995-17GB6S</t>
  </si>
  <si>
    <t>Set of 4 17 inch Gloss Black Wheel Skins Covers Compatible with 15-20 Ford F-150 XLT XL Impostors for 3995 Wheel Series</t>
  </si>
  <si>
    <t>Tucson</t>
  </si>
  <si>
    <t>Fuel Rider Set of 4 15 inch Silver Snap-On Hubcaps With 9 Spoke Compatible With 2006-2011 Honda Civic Standard Steel Wheel Covers</t>
  </si>
  <si>
    <t>Nokesville</t>
  </si>
  <si>
    <t>Fuel Rider Set of 4 16 inch Silver Snap-On Hubcaps with 6 Spoke Compatible with 2017-2019 Toyota Corolla LE Standard Steel Wheel Covers</t>
  </si>
  <si>
    <t>Cullman</t>
  </si>
  <si>
    <t>PRO-119076-45.0</t>
  </si>
  <si>
    <t>WM-FR-IMP-4261104150-16GB6VP</t>
  </si>
  <si>
    <t>Set of 4 16 Gloss Black ABS Wheel Skins Compatible with 2016-2023 Toyota Tacoma TRD Off-Road TRD Sport SR SR5 Limited 2017-2023 Tacoma TRD Pro 2023 Tacoma Trail Special Edition</t>
  </si>
  <si>
    <t>Blair</t>
  </si>
  <si>
    <t>Fuel Rider Set of 4 17 inch Silver Bolt-On Hubcaps With 5 Spoke Compatible With 2010-2012 Ford Fusion Standard Steel Wheel Covers</t>
  </si>
  <si>
    <t>Oldsmar</t>
  </si>
  <si>
    <t>WM-FR-IMP-53910S9120-18GB5SS</t>
  </si>
  <si>
    <t>Set of 4 18 inch Gloss Black ABS Wheel Skins Compatible with 2020 - 2021 Kia Telluride LX Impostors for 53910S9120 Wheel Series</t>
  </si>
  <si>
    <t>Cincinnati</t>
  </si>
  <si>
    <t>PRO-119076-46.0</t>
  </si>
  <si>
    <t>Fuel Rider Set of 4 15 inch Silver Snap-On Hubcaps With 7 Spoke Compatible With 2002-2004 Toyota Camry Standard Steel Wheel Covers</t>
  </si>
  <si>
    <t>cheney</t>
  </si>
  <si>
    <t>West Melbourne</t>
  </si>
  <si>
    <t>17 inch Gloss Black ABS Wheel Skins Set Compatible with 14-18 Jeep Cherokee Latitude 14-17 Sport 2018 Latitude Plus Trailhawk Limited Overland &amp; Impostors for 9130 Wheel Series</t>
  </si>
  <si>
    <t>Corpus Christi</t>
  </si>
  <si>
    <t>Pleasant Valley</t>
  </si>
  <si>
    <t>North Chesterfield</t>
  </si>
  <si>
    <t>WM-FR-IMP-5647-18GB5SP</t>
  </si>
  <si>
    <t>Set of 4 18 Black Wheel Skins Compatible with 14-18 GMC Sierra 1500 SLT SLE Denali Base 2019 Sierra 1500 Limited 15-20 Yukon Denali SLE SLT 14-19 Silverado 1500</t>
  </si>
  <si>
    <t>WY</t>
  </si>
  <si>
    <t>Greybull</t>
  </si>
  <si>
    <t>Fuel Rider Set of 4 16 inch Chrome Snap-On Hubcaps Compatible With 13-19 Nissan Sentra S 13-19 Nissan Sentra SV Standard Steel Wheel Covers</t>
  </si>
  <si>
    <t>RI</t>
  </si>
  <si>
    <t>Cranston</t>
  </si>
  <si>
    <t>Fuel Rider Beauty Trim Rings for 15 inch Rally Wheels 1 1/2 inch Deep Chrome ABS with Metal Clip &amp; Ring Retention</t>
  </si>
  <si>
    <t>Fuel Rider Set of 4 16 inch Silver Bolt-On Hubcaps With 7 Spoke Compatible With 2006-2009 Honda Civic Standard Steel Wheel Covers</t>
  </si>
  <si>
    <t>Winslow</t>
  </si>
  <si>
    <t>WM-FR-IMP-5894-17GB10S</t>
  </si>
  <si>
    <t>17 Gloss Black ABS Wheel Skins Set Compatible with 2019-2021 Chevrolet Malibu L Premier 2019-2025 Chevrolet Malibu LS LT RS 2019 Chevrolet Malibu Hybrid Impostors for 5894 Wheel Series</t>
  </si>
  <si>
    <t>St. Louis</t>
  </si>
  <si>
    <t>Fuel Rider Set of 4 15 inch Silver Snap-On Hubcaps With 7 Spoke Compatible With 2003-2004 Honda Accord Standard Steel Wheel Covers</t>
  </si>
  <si>
    <t>Toledo</t>
  </si>
  <si>
    <t>Pascagoula</t>
  </si>
  <si>
    <t>Hyattsville</t>
  </si>
  <si>
    <t>WM-KS-FRHC-61163-16SL</t>
  </si>
  <si>
    <t>Fuel Rider Set of 4 16 inch Silver Snap-On Hubcaps With 10 Split Spoke Compatible With 2012-2014 Toyota Camry Standard Steel Wheel Covers</t>
  </si>
  <si>
    <t>Wheat Ridge</t>
  </si>
  <si>
    <t>Martinsville</t>
  </si>
  <si>
    <t>Fuel Rider 15 Inch Beauty Trim Rings Compatible with 2004-2009 Toyota Prius Snap-on Set of 4 Silver</t>
  </si>
  <si>
    <t>Apache Junction</t>
  </si>
  <si>
    <t>WM-KS-FRHC-99081-14GBK</t>
  </si>
  <si>
    <t>Fuel Rider Set of 4 14 inch Gloss Black Snap-On Hubcaps With 10 Spoke Compatible With 2017-2024 Mitsubishi Mirage ES Standard Steel Wheel Covers</t>
  </si>
  <si>
    <t>New Richmond</t>
  </si>
  <si>
    <t>Laurel</t>
  </si>
  <si>
    <t>Worton</t>
  </si>
  <si>
    <t>NH</t>
  </si>
  <si>
    <t>Berlin</t>
  </si>
  <si>
    <t>Greenville</t>
  </si>
  <si>
    <t>Gulfport</t>
  </si>
  <si>
    <t>Oswego</t>
  </si>
  <si>
    <t>WM-KS-FRHC-7068H-16BK</t>
  </si>
  <si>
    <t>Fuel Rider Set of 4 16 inch Black Snap-On Hubcaps Compatible With Select Year Models for Ford Transit 150 250 350 Base 150 XL XLT PTV PTV Steel Wheels</t>
  </si>
  <si>
    <t>Farmingville</t>
  </si>
  <si>
    <t>Fuel Rider Set of 4 16 inch Silver Snap-On Hubcaps with 10 Spoke Compatible with 2011-2013 Toyota Corolla Standard Steel Wheel Covers</t>
  </si>
  <si>
    <t>Walnut Creek</t>
  </si>
  <si>
    <t>Fuel Rider Set of 4 18 inch Chrome Screw-On Hubcaps With 5 Spoke Compatible With 2014-2019 Chevrolet Impala Standard Steel Wheel Covers</t>
  </si>
  <si>
    <t>Stedman</t>
  </si>
  <si>
    <t>Iowa</t>
  </si>
  <si>
    <t>Mayer</t>
  </si>
  <si>
    <t>Mccomb</t>
  </si>
  <si>
    <t>WM-FR-IMP-69514-18GB5SP</t>
  </si>
  <si>
    <t>Set of 4 18 inch Gloss Black ABS Wheel Skins Compatible with 10-21 Toyota Tundra Platinum 07-21 Limited SR5 07-13 Base 14-21 SR 1794 Edition 16-21 TRD Pro 21 Trail Nightshade Impostors</t>
  </si>
  <si>
    <t>Gilbert</t>
  </si>
  <si>
    <t>Fuel Rider Set of 4 16 inch Silver Snap-On Hubcaps With 6 Split Spoke Compatible With 2004-2010 Toyota Sienna Standard Steel Wheel Covers</t>
  </si>
  <si>
    <t>Rolla</t>
  </si>
  <si>
    <t>PRO-119071-10.0</t>
  </si>
  <si>
    <t>Customer Favorites - Assortment Growth</t>
  </si>
  <si>
    <t>Rapid City</t>
  </si>
  <si>
    <t>WM-FR-IMP-4261108200-17GB10S</t>
  </si>
  <si>
    <t>Set of 4 17 inch Gloss Black ABS Wheel Skins Compatible with 2021 - 2025 Toyota Sienna LE Impostors for 4261108200 Wheel Series</t>
  </si>
  <si>
    <t>Benton</t>
  </si>
  <si>
    <t>Pierre Part</t>
  </si>
  <si>
    <t>Greensboro</t>
  </si>
  <si>
    <t>schenectady</t>
  </si>
  <si>
    <t>House Springs</t>
  </si>
  <si>
    <t>WFS Return Processing Fee</t>
  </si>
  <si>
    <t>Newport News</t>
  </si>
  <si>
    <t>Trinidad</t>
  </si>
  <si>
    <t>Clinton</t>
  </si>
  <si>
    <t>18 inch Polished Black Wheel Skins Set Compatible with 2015-2018 Ford Edge &amp; Impostors for 10043 Wheel Series</t>
  </si>
  <si>
    <t>Wausau</t>
  </si>
  <si>
    <t>Fuel Rider Set of 4 16 inch Silver Snap-On Hubcaps With 14 Spoke Compatible With 2002-2006 Toyota Camry Standard Steel Wheel Covers</t>
  </si>
  <si>
    <t>Inglewood</t>
  </si>
  <si>
    <t>WM-KS-FRHC-GJ5Z1130A-17SL</t>
  </si>
  <si>
    <t>Fuel Rider Set of 4 17 inch Silver Bolt-On Hubcaps With 5 Spoke Compatible With 2017-2019 Ford Escape S Standard Steel Wheel Covers</t>
  </si>
  <si>
    <t>MORENO VALLEY</t>
  </si>
  <si>
    <t>Birmingham</t>
  </si>
  <si>
    <t>Rising Sun</t>
  </si>
  <si>
    <t>Eminence</t>
  </si>
  <si>
    <t>WM-FR-IMP-2448-17CH5SP</t>
  </si>
  <si>
    <t>17 inch Chrome ABS Wheel Skins Set Compatible with 2013-2018 Ram 1500 Big Horn Sport Express Tradesman Laramie Rebel Lone Star &amp; Impostors for 2448 Wheel Series</t>
  </si>
  <si>
    <t>Newburgh</t>
  </si>
  <si>
    <t>Listing SKU</t>
  </si>
  <si>
    <t>Part Number</t>
  </si>
  <si>
    <t>WM-KS-FRHC-SWUN5SPK-15SL</t>
  </si>
  <si>
    <t>102815S</t>
  </si>
  <si>
    <t>WM-KS-FRHC-SWUN5SPK-16SL</t>
  </si>
  <si>
    <t>102816S</t>
  </si>
  <si>
    <t>WM-KS-FRHC-56554-16GBK</t>
  </si>
  <si>
    <t>103216BLK</t>
  </si>
  <si>
    <t>WM-KS-FRHC-56554-16SL</t>
  </si>
  <si>
    <t>103216S</t>
  </si>
  <si>
    <t>WM-KS-FRHC-61163-15GBK</t>
  </si>
  <si>
    <t>103715BLK</t>
  </si>
  <si>
    <t>WM-KS-FRHC-61163-15SL</t>
  </si>
  <si>
    <t>103715S</t>
  </si>
  <si>
    <t>103716BLK</t>
  </si>
  <si>
    <t>103716S</t>
  </si>
  <si>
    <t>103816BLK</t>
  </si>
  <si>
    <t>103816S</t>
  </si>
  <si>
    <t>WM-KS-FRHC-SWUN10USPK-15SL</t>
  </si>
  <si>
    <t>105115S</t>
  </si>
  <si>
    <t>WM-KS-FRHC-SWUN10USPK-15SBK</t>
  </si>
  <si>
    <t>105115SB</t>
  </si>
  <si>
    <t>WM-KS-FRHC-SEMIUNI16SB-16BSL</t>
  </si>
  <si>
    <t>105116SB</t>
  </si>
  <si>
    <t>WM-KS-FRHC-SWUN10USPK-15GBK</t>
  </si>
  <si>
    <t>106115BLK</t>
  </si>
  <si>
    <t>WM-KS-FRHC-SWUN11SPK-15SL</t>
  </si>
  <si>
    <t>11815S</t>
  </si>
  <si>
    <t>WM-KS-FRHC-SWUN8SPK-14SL</t>
  </si>
  <si>
    <t>12414S</t>
  </si>
  <si>
    <t>12415S</t>
  </si>
  <si>
    <t>WM-KS-FRHC-SWUN5SPK-16CH</t>
  </si>
  <si>
    <t>13416C</t>
  </si>
  <si>
    <t>WM-KS-FRHC-7007-16CH</t>
  </si>
  <si>
    <t>15016CN</t>
  </si>
  <si>
    <t>17816C</t>
  </si>
  <si>
    <t>WM-KS-FRHC-61531-16SL</t>
  </si>
  <si>
    <t>18016S</t>
  </si>
  <si>
    <t>WM-KS-FRHC-SWUN15SPK-15CH</t>
  </si>
  <si>
    <t>18815C</t>
  </si>
  <si>
    <t>WM-KS-FRHC-SWUN15SPK-16CH</t>
  </si>
  <si>
    <t>18816C</t>
  </si>
  <si>
    <t>WM-KS-FRHC-SWUN15SPK-17CH</t>
  </si>
  <si>
    <t>18817C</t>
  </si>
  <si>
    <t>WM-KS-FRHC-3232-16SL</t>
  </si>
  <si>
    <t>18916S</t>
  </si>
  <si>
    <t>19314S</t>
  </si>
  <si>
    <t>WM-KS-FRHC-3168-15CH</t>
  </si>
  <si>
    <t>20215C</t>
  </si>
  <si>
    <t>20515S</t>
  </si>
  <si>
    <t>WM-KS-FRHC-61111-14SL</t>
  </si>
  <si>
    <t>40414S</t>
  </si>
  <si>
    <t>WM-KS-FRHC-53065-14SL</t>
  </si>
  <si>
    <t>40814S</t>
  </si>
  <si>
    <t>41015S</t>
  </si>
  <si>
    <t>41216CN</t>
  </si>
  <si>
    <t>WM-KS-FRHC-61530-15SL</t>
  </si>
  <si>
    <t>41315S</t>
  </si>
  <si>
    <t>41415S</t>
  </si>
  <si>
    <t>41616S</t>
  </si>
  <si>
    <t>WM-KS-FRHC-8020-15SL</t>
  </si>
  <si>
    <t>41915S</t>
  </si>
  <si>
    <t>WM-KS-FRHC-SWUN10SPK-15CH</t>
  </si>
  <si>
    <t>42015C</t>
  </si>
  <si>
    <t>WM-KS-FRHC-61133-15GBK</t>
  </si>
  <si>
    <t>42215BLK</t>
  </si>
  <si>
    <t>WM-KS-FRHC-61133-15CH</t>
  </si>
  <si>
    <t>42215C</t>
  </si>
  <si>
    <t>42215S</t>
  </si>
  <si>
    <t>WM-KS-FRHC-61136-15CH</t>
  </si>
  <si>
    <t>42315C</t>
  </si>
  <si>
    <t>42315S</t>
  </si>
  <si>
    <t>WM-KS-FRHC-SWUN6SPK-14CH</t>
  </si>
  <si>
    <t>42914C</t>
  </si>
  <si>
    <t>WM-KS-FRHC-61137-16CH</t>
  </si>
  <si>
    <t>42916C</t>
  </si>
  <si>
    <t>WM-KS-FRHC-61137-16SL</t>
  </si>
  <si>
    <t>42916S</t>
  </si>
  <si>
    <t>43116BLK</t>
  </si>
  <si>
    <t>WM-KS-FRHC-3021-16CH</t>
  </si>
  <si>
    <t>43116C</t>
  </si>
  <si>
    <t>43116S</t>
  </si>
  <si>
    <t>WM-KS-FRHC-3021-17GBK</t>
  </si>
  <si>
    <t>43117BLK</t>
  </si>
  <si>
    <t>WM-KS-FRHC-3021-17CH</t>
  </si>
  <si>
    <t>43117C</t>
  </si>
  <si>
    <t>43117S</t>
  </si>
  <si>
    <t>43118BLK</t>
  </si>
  <si>
    <t>43215S</t>
  </si>
  <si>
    <t>WM-KS-FRHC-7050-17SL</t>
  </si>
  <si>
    <t>43317S</t>
  </si>
  <si>
    <t>WM-KS-FRHC-3276-17CH</t>
  </si>
  <si>
    <t>43517C</t>
  </si>
  <si>
    <t>43517S</t>
  </si>
  <si>
    <t>43615S</t>
  </si>
  <si>
    <t>WM-KS-FRHC-53076-16SL</t>
  </si>
  <si>
    <t>43716S</t>
  </si>
  <si>
    <t>43916S</t>
  </si>
  <si>
    <t>44016C</t>
  </si>
  <si>
    <t>WM-KS-FRHC-3275-16SL</t>
  </si>
  <si>
    <t>44016S</t>
  </si>
  <si>
    <t>44115C</t>
  </si>
  <si>
    <t>WM-KS-FRHC-1153-15SL</t>
  </si>
  <si>
    <t>44115S</t>
  </si>
  <si>
    <t>WM-KS-FRHC-57577-16SL</t>
  </si>
  <si>
    <t>44216S</t>
  </si>
  <si>
    <t>WM-KS-FRHC-53077-16CH</t>
  </si>
  <si>
    <t>44316C</t>
  </si>
  <si>
    <t>WM-KS-FRHC-53077-16SL</t>
  </si>
  <si>
    <t>44316S</t>
  </si>
  <si>
    <t>44415S</t>
  </si>
  <si>
    <t>44516BLK</t>
  </si>
  <si>
    <t>WM-KS-FRHC-61155-16CH</t>
  </si>
  <si>
    <t>44516C</t>
  </si>
  <si>
    <t>WM-KS-FRHC-61155-16SL</t>
  </si>
  <si>
    <t>44516S</t>
  </si>
  <si>
    <t>44715S</t>
  </si>
  <si>
    <t>44815S</t>
  </si>
  <si>
    <t>WM-KS-FRHC-61147-15CH</t>
  </si>
  <si>
    <t>45015C</t>
  </si>
  <si>
    <t>WM-KS-FRHC-61147-15SL</t>
  </si>
  <si>
    <t>45015S</t>
  </si>
  <si>
    <t>WM-KS-FRHC-8033-16CH</t>
  </si>
  <si>
    <t>45116C</t>
  </si>
  <si>
    <t>45116S</t>
  </si>
  <si>
    <t>45216S</t>
  </si>
  <si>
    <t>WM-KS-FRHC-3285-15CH</t>
  </si>
  <si>
    <t>45315C</t>
  </si>
  <si>
    <t>45315S</t>
  </si>
  <si>
    <t>WM-KS-FRHC-3284-17CH</t>
  </si>
  <si>
    <t>45417C</t>
  </si>
  <si>
    <t>WM-KS-FRHC-53078-16CH</t>
  </si>
  <si>
    <t>45516C</t>
  </si>
  <si>
    <t>WM-KS-FRHC-53078-16SL</t>
  </si>
  <si>
    <t>45516S</t>
  </si>
  <si>
    <t>45717C</t>
  </si>
  <si>
    <t>45717S</t>
  </si>
  <si>
    <t>WM-KS-FRHC-3251-16CH</t>
  </si>
  <si>
    <t>45916C</t>
  </si>
  <si>
    <t>45916S</t>
  </si>
  <si>
    <t>46217C</t>
  </si>
  <si>
    <t>WM-KS-FRHC-7059-16SL</t>
  </si>
  <si>
    <t>46316S</t>
  </si>
  <si>
    <t>WM-KS-FRHC-55565-16SL</t>
  </si>
  <si>
    <t>46416S</t>
  </si>
  <si>
    <t>46616S</t>
  </si>
  <si>
    <t>WM-KS-FRHC-3294-16CH</t>
  </si>
  <si>
    <t>46716C</t>
  </si>
  <si>
    <t>WM-KS-FRHC-3294-16SL</t>
  </si>
  <si>
    <t>46716S</t>
  </si>
  <si>
    <t>WM-KS-FRHC-8038-17CH</t>
  </si>
  <si>
    <t>46817C</t>
  </si>
  <si>
    <t>46817S</t>
  </si>
  <si>
    <t>47016S</t>
  </si>
  <si>
    <t>47117C</t>
  </si>
  <si>
    <t>47218C</t>
  </si>
  <si>
    <t>47218S</t>
  </si>
  <si>
    <t>WM-KS-FRHC-8041-16CH</t>
  </si>
  <si>
    <t>47316C</t>
  </si>
  <si>
    <t>49514BLK</t>
  </si>
  <si>
    <t>WM-KS-FRHC-99081-14SL</t>
  </si>
  <si>
    <t>49514S</t>
  </si>
  <si>
    <t>49615S</t>
  </si>
  <si>
    <t>WM-KS-FRHC-53083-15SL</t>
  </si>
  <si>
    <t>49715S</t>
  </si>
  <si>
    <t>WM-KS-FRHC-61167-15SL</t>
  </si>
  <si>
    <t>49815S</t>
  </si>
  <si>
    <t>WM-KS-FRHC-7051-15SL</t>
  </si>
  <si>
    <t>50015S</t>
  </si>
  <si>
    <t>WM-KS-FRHC-55568-16SL</t>
  </si>
  <si>
    <t>50116S</t>
  </si>
  <si>
    <t>WM-KS-FRHC-61165-16SL</t>
  </si>
  <si>
    <t>50216S</t>
  </si>
  <si>
    <t>WM-KS-FRHC-61170-17SL</t>
  </si>
  <si>
    <t>50417S</t>
  </si>
  <si>
    <t>50516BLK</t>
  </si>
  <si>
    <t>50516C</t>
  </si>
  <si>
    <t>50516S</t>
  </si>
  <si>
    <t>WM-KS-FRHC-61559-16SL</t>
  </si>
  <si>
    <t>50616S</t>
  </si>
  <si>
    <t>WM-KS-FRHC-61560-15CH</t>
  </si>
  <si>
    <t>50715C</t>
  </si>
  <si>
    <t>WM-KS-FRHC-61560-15SL</t>
  </si>
  <si>
    <t>50715S</t>
  </si>
  <si>
    <t>50816S</t>
  </si>
  <si>
    <t>WM-KS-FRHC-61164-15CH</t>
  </si>
  <si>
    <t>50915C</t>
  </si>
  <si>
    <t>WM-KS-FRHC-61164-15SL</t>
  </si>
  <si>
    <t>50915S</t>
  </si>
  <si>
    <t>51015S</t>
  </si>
  <si>
    <t>51216BLK</t>
  </si>
  <si>
    <t>WM-KS-FRHC-7068H-16CH</t>
  </si>
  <si>
    <t>51216C</t>
  </si>
  <si>
    <t>WM-KS-FRHC-7068H-16SL</t>
  </si>
  <si>
    <t>51216S</t>
  </si>
  <si>
    <t>WM-KS-FRHC-61172-16CC</t>
  </si>
  <si>
    <t>51316CC</t>
  </si>
  <si>
    <t>WM-KS-FRHC-61172-16SL</t>
  </si>
  <si>
    <t>51316S</t>
  </si>
  <si>
    <t>51416S</t>
  </si>
  <si>
    <t>WM-KS-FRHC-8052-16CH</t>
  </si>
  <si>
    <t>51516C</t>
  </si>
  <si>
    <t>51516S</t>
  </si>
  <si>
    <t>WM-KS-FRHC-61180B-15SBK</t>
  </si>
  <si>
    <t>51615SB</t>
  </si>
  <si>
    <t>51817SB</t>
  </si>
  <si>
    <t>WM-KS-FRHC-53094-16GBK</t>
  </si>
  <si>
    <t>51916BLK</t>
  </si>
  <si>
    <t>WM-KS-FRHC-SWUN10SPK-16CH</t>
  </si>
  <si>
    <t>51916C</t>
  </si>
  <si>
    <t>51917BLK</t>
  </si>
  <si>
    <t>51917C</t>
  </si>
  <si>
    <t>51917S</t>
  </si>
  <si>
    <t>52016SB</t>
  </si>
  <si>
    <t>52116BLK</t>
  </si>
  <si>
    <t>52116C</t>
  </si>
  <si>
    <t>52116S</t>
  </si>
  <si>
    <t>52217C</t>
  </si>
  <si>
    <t>52217S</t>
  </si>
  <si>
    <t>WM-KS-FRHC-61173-16CH</t>
  </si>
  <si>
    <t>52316C</t>
  </si>
  <si>
    <t>NA</t>
  </si>
  <si>
    <t>52316S</t>
  </si>
  <si>
    <t>WM-KS-FRHC-8053-15CH</t>
  </si>
  <si>
    <t>52415C</t>
  </si>
  <si>
    <t>WM-KS-FRHC-8053-15SL</t>
  </si>
  <si>
    <t>52415S</t>
  </si>
  <si>
    <t>52517BLK</t>
  </si>
  <si>
    <t>WM-KS-FRHC-GJ5Z1130A-17CH</t>
  </si>
  <si>
    <t>52517C</t>
  </si>
  <si>
    <t>52517S</t>
  </si>
  <si>
    <t>WM-KS-FRHC-61188-15SCH</t>
  </si>
  <si>
    <t>52615SC</t>
  </si>
  <si>
    <t>WM-KS-FRHC-4260202490-15SL</t>
  </si>
  <si>
    <t>52715S</t>
  </si>
  <si>
    <t>52816BLK</t>
  </si>
  <si>
    <t>52816S</t>
  </si>
  <si>
    <t>WM-KS-FRHC-61171-15SL</t>
  </si>
  <si>
    <t>52915S</t>
  </si>
  <si>
    <t>WM-KS-FRHC-42602-06141-16GBK</t>
  </si>
  <si>
    <t>53016BLK</t>
  </si>
  <si>
    <t>WM-KS-FRHC-42602-06141-16SCH</t>
  </si>
  <si>
    <t>53016SC</t>
  </si>
  <si>
    <t>WM-KS-FRHC-3951-15CH</t>
  </si>
  <si>
    <t>53115C</t>
  </si>
  <si>
    <t>WM-KS-FRHC-3300-15SL</t>
  </si>
  <si>
    <t>53215S</t>
  </si>
  <si>
    <t>WM-KS-FRHC-SWUN6YSPK-14SL</t>
  </si>
  <si>
    <t>53314S</t>
  </si>
  <si>
    <t>WM-KS-FRHC-61184-15GBK</t>
  </si>
  <si>
    <t>53315BLK</t>
  </si>
  <si>
    <t>WM-KS-FRHC-61184-15SL</t>
  </si>
  <si>
    <t>53315S</t>
  </si>
  <si>
    <t>WM-KS-FRHC-SWUN6YSPK-16GBK</t>
  </si>
  <si>
    <t>53316BLK</t>
  </si>
  <si>
    <t>WM-KS-FRHC-55098-15GBK</t>
  </si>
  <si>
    <t>53415BLK</t>
  </si>
  <si>
    <t>WM-KS-FRHC-55098-15SL</t>
  </si>
  <si>
    <t>53415S</t>
  </si>
  <si>
    <t>WM-KS-FRHC-SWUN6DSPK-16SL</t>
  </si>
  <si>
    <t>53416S</t>
  </si>
  <si>
    <t>WM-KS-FRHC-SWUN6DSPK-17GBK</t>
  </si>
  <si>
    <t>53417BLK</t>
  </si>
  <si>
    <t>WM-KS-FRHC-SWUN6DSPK-17SL</t>
  </si>
  <si>
    <t>53417S</t>
  </si>
  <si>
    <t>WM-KS-FRHC-403159ME0B-15GBK</t>
  </si>
  <si>
    <t>53515BLK</t>
  </si>
  <si>
    <t>WM-KS-FRHC-403159ME0B-15SL</t>
  </si>
  <si>
    <t>53515S</t>
  </si>
  <si>
    <t>WM-KS-FRHC-55575-16SL</t>
  </si>
  <si>
    <t>53616S</t>
  </si>
  <si>
    <t>WM-KS-FRHC-61563-16SL</t>
  </si>
  <si>
    <t>53716S</t>
  </si>
  <si>
    <t>53816BLK</t>
  </si>
  <si>
    <t>WM-KS-FRHC-403156CA0B-16SBK</t>
  </si>
  <si>
    <t>53816SB</t>
  </si>
  <si>
    <t>53917BLK</t>
  </si>
  <si>
    <t>WM-KS-FRHC-1922TORA-17SL</t>
  </si>
  <si>
    <t>53917S</t>
  </si>
  <si>
    <t>WM-KS-FRHC-10226-16GBK</t>
  </si>
  <si>
    <t>54016BLK</t>
  </si>
  <si>
    <t>WM-KS-FRHC-10226-16CH</t>
  </si>
  <si>
    <t>54016C</t>
  </si>
  <si>
    <t>WM-KS-FRHC-10226-16SL</t>
  </si>
  <si>
    <t>54016S</t>
  </si>
  <si>
    <t>WM-KS-FRHC-44733TBAA23-16GBK</t>
  </si>
  <si>
    <t>54116BLK</t>
  </si>
  <si>
    <t>WM-KS-FRHC-44733TBAA23-16SCC</t>
  </si>
  <si>
    <t>54116SC</t>
  </si>
  <si>
    <t>54216BLK</t>
  </si>
  <si>
    <t>54216S</t>
  </si>
  <si>
    <t>WM-KS-FRHC-KT1Z-1130-A-16GBK</t>
  </si>
  <si>
    <t>54316BLK</t>
  </si>
  <si>
    <t>54316S</t>
  </si>
  <si>
    <t>WM-KS-FRHC-68263172AA-16SL</t>
  </si>
  <si>
    <t>54416S</t>
  </si>
  <si>
    <t>WM-KS-FRHC-68157838AB-16SL</t>
  </si>
  <si>
    <t>54516S</t>
  </si>
  <si>
    <t>WM-KS-FRHC-403156LB0A-16GBK</t>
  </si>
  <si>
    <t>54616BLK</t>
  </si>
  <si>
    <t>WM-KS-FRHC-403156LB0A-16SL</t>
  </si>
  <si>
    <t>54616S</t>
  </si>
  <si>
    <t>WM-KS-FRHC-5C0601147EQLV-16SL</t>
  </si>
  <si>
    <t>54716S</t>
  </si>
  <si>
    <t>54816BLK</t>
  </si>
  <si>
    <t>WM-KS-FRHC-52970K0000-16SL</t>
  </si>
  <si>
    <t>54816S</t>
  </si>
  <si>
    <t>54915BLK</t>
  </si>
  <si>
    <t>WM-KS-FRHC-52960H9150-15SL</t>
  </si>
  <si>
    <t>54915S</t>
  </si>
  <si>
    <t>55017BLK</t>
  </si>
  <si>
    <t>WM-KS-FRHC-LJ6Z-1130-A-17SL</t>
  </si>
  <si>
    <t>55017S</t>
  </si>
  <si>
    <t>WM-KS-FRHC-403155SA0B-16SL</t>
  </si>
  <si>
    <t>55116S</t>
  </si>
  <si>
    <t>WM-KS-FRHC-403155SA0B-16SBK</t>
  </si>
  <si>
    <t>55116SB</t>
  </si>
  <si>
    <t>55216BLK</t>
  </si>
  <si>
    <t>WM-KS-FRHC-40315-5RB0E-16SL</t>
  </si>
  <si>
    <t>55216S</t>
  </si>
  <si>
    <t>55316S</t>
  </si>
  <si>
    <t>WM-KS-FRHC-403151KL0B-16GBK</t>
  </si>
  <si>
    <t>55416BLK</t>
  </si>
  <si>
    <t>WM-KS-FRHC-403151KL0B-16SL</t>
  </si>
  <si>
    <t>55416S</t>
  </si>
  <si>
    <t>WM-KS-FRHC-69926-16SL</t>
  </si>
  <si>
    <t>55516S</t>
  </si>
  <si>
    <t>55617BLK</t>
  </si>
  <si>
    <t>WM-KS-FRHC-42602-F4010-17SL</t>
  </si>
  <si>
    <t>55617S</t>
  </si>
  <si>
    <t>55815C</t>
  </si>
  <si>
    <t>WM-KS-FRHC-5859MG-15SL</t>
  </si>
  <si>
    <t>55815S</t>
  </si>
  <si>
    <t>WM-KS-FRHC-44733-T20-A12-16GBK</t>
  </si>
  <si>
    <t>55916BLK</t>
  </si>
  <si>
    <t>WM-KS-FRHC-44733-T20-A12-16SBK</t>
  </si>
  <si>
    <t>55916SB</t>
  </si>
  <si>
    <t>WM-KS-FRHC-44733-3A0-A02-17SBK</t>
  </si>
  <si>
    <t>56217S</t>
  </si>
  <si>
    <t>WM-KS-FRHC-44733-3A0-A02-17GBK</t>
  </si>
  <si>
    <t>56217BLK</t>
  </si>
  <si>
    <t>WM-KS-FRHC-47651-17BCC</t>
  </si>
  <si>
    <t>56317CB</t>
  </si>
  <si>
    <t>WM-KS-FRHC-42849058-17SL</t>
  </si>
  <si>
    <t>56417S</t>
  </si>
  <si>
    <t>WM-KS-FRHC-42849058-17SCC</t>
  </si>
  <si>
    <t>56417SC</t>
  </si>
  <si>
    <t>WM-KS-FRHC-923-15CH</t>
  </si>
  <si>
    <t>9415C</t>
  </si>
  <si>
    <t>WM-KS-FRHC-923-16SCR</t>
  </si>
  <si>
    <t>9416C</t>
  </si>
  <si>
    <t>WM-KS-FRHC-61114-16SL</t>
  </si>
  <si>
    <t>B808816S</t>
  </si>
  <si>
    <t>WM-KS-FRHC-55039-15SL</t>
  </si>
  <si>
    <t>B809415S</t>
  </si>
  <si>
    <t>B811115S</t>
  </si>
  <si>
    <t>WM-KS-FRHC-61058-14SL</t>
  </si>
  <si>
    <t>B86314S</t>
  </si>
  <si>
    <t>B87714S</t>
  </si>
  <si>
    <t>WM-KS-FRHC-57563-15SL</t>
  </si>
  <si>
    <t>B881315S</t>
  </si>
  <si>
    <t>B883916S</t>
  </si>
  <si>
    <t>B887216S</t>
  </si>
  <si>
    <t>WM-KS-FRHC-55056-15SL</t>
  </si>
  <si>
    <t>B890215S</t>
  </si>
  <si>
    <t>B9416S</t>
  </si>
  <si>
    <t>WM-KS-FRHC-53066-16SL</t>
  </si>
  <si>
    <t>B94216S</t>
  </si>
  <si>
    <t>B94415S</t>
  </si>
  <si>
    <t>WM-KS-FRHC-RD14-14BSS</t>
  </si>
  <si>
    <t>RD14</t>
  </si>
  <si>
    <t>WM-KS-FRHC-RD15-15BSS</t>
  </si>
  <si>
    <t>RD15</t>
  </si>
  <si>
    <t>WM-KS-FRHC-RD16-16BSS</t>
  </si>
  <si>
    <t>RD16</t>
  </si>
  <si>
    <t>WM-FR-IMP-3557-17CH5SP</t>
  </si>
  <si>
    <t>IMP59XN</t>
  </si>
  <si>
    <t>IMP64GBLK</t>
  </si>
  <si>
    <t>IMP64X</t>
  </si>
  <si>
    <t>IMP77BLK</t>
  </si>
  <si>
    <t>WM-FR-IMP-4665-18GB7DS</t>
  </si>
  <si>
    <t>IMP357BLK</t>
  </si>
  <si>
    <t>IMP375BLK</t>
  </si>
  <si>
    <t>IMP392BLK</t>
  </si>
  <si>
    <t>WM-FR-IMP-5629-18GB10S</t>
  </si>
  <si>
    <t>IMP398BLK</t>
  </si>
  <si>
    <t>WM-FR-IMP-4798-18CH12S</t>
  </si>
  <si>
    <t>IMP402X</t>
  </si>
  <si>
    <t>WM-FR-IMP-5672-17GB5SP</t>
  </si>
  <si>
    <t>IMP405BLK</t>
  </si>
  <si>
    <t>IMP409BLK</t>
  </si>
  <si>
    <t>WM-FR-IMP-9597724-17GB5SP</t>
  </si>
  <si>
    <t>IMP411BLK</t>
  </si>
  <si>
    <t>IMP412BLKN</t>
  </si>
  <si>
    <t>WM-FR-IMP-403004FU1B-16CH10S</t>
  </si>
  <si>
    <t>IMP465X</t>
  </si>
  <si>
    <t>WM-FR-IMP-403004FU1B-16GB10S</t>
  </si>
  <si>
    <t>IMP465BLK</t>
  </si>
  <si>
    <t>WM-FR-IMP-3195-16CH5DS</t>
  </si>
  <si>
    <t>IMP01X</t>
  </si>
  <si>
    <t>WM-FR-IMP-5128-16CH5FS</t>
  </si>
  <si>
    <t>IMP08X</t>
  </si>
  <si>
    <t>IMP19X</t>
  </si>
  <si>
    <t>WM-FR-IMP-3404-15CH7DS</t>
  </si>
  <si>
    <t>IMP21</t>
  </si>
  <si>
    <t>WM-FR-IMP-9040-16CH5RDS</t>
  </si>
  <si>
    <t>IMP40X</t>
  </si>
  <si>
    <t>IMP42X</t>
  </si>
  <si>
    <t>WM-FR-IMP-5195-16CH5FS</t>
  </si>
  <si>
    <t>IMP50X</t>
  </si>
  <si>
    <t>WM-FR-IMP-68727-15CH5SP</t>
  </si>
  <si>
    <t>IMP52X</t>
  </si>
  <si>
    <t>IMP66X</t>
  </si>
  <si>
    <t>WM-FR-IMP-69459-16GB5S</t>
  </si>
  <si>
    <t>IMP68BLK</t>
  </si>
  <si>
    <t>WM-FR-IMP-69459-16CH5S</t>
  </si>
  <si>
    <t>IMP68X</t>
  </si>
  <si>
    <t>IMP73X</t>
  </si>
  <si>
    <t>WM-FR-IMP-69514-18CH5SP</t>
  </si>
  <si>
    <t>IMP77X</t>
  </si>
  <si>
    <t>WM-FR-IMP-9077-16CH5SP</t>
  </si>
  <si>
    <t>IMP78X</t>
  </si>
  <si>
    <t>WM-FR-IMP-3857-17CH9S</t>
  </si>
  <si>
    <t>IMP80X</t>
  </si>
  <si>
    <t>IMP82X</t>
  </si>
  <si>
    <t>IMP84X</t>
  </si>
  <si>
    <t>WM-FR-IMP-64041-16CH5SP</t>
  </si>
  <si>
    <t>IMP86X</t>
  </si>
  <si>
    <t>WM-FR-IMP-69450-15CH6S</t>
  </si>
  <si>
    <t>IMP324X</t>
  </si>
  <si>
    <t>IMP326X</t>
  </si>
  <si>
    <t>IMP331X</t>
  </si>
  <si>
    <t>WM-FR-IMP-5441-19CH5SP</t>
  </si>
  <si>
    <t>IMP339X</t>
  </si>
  <si>
    <t>IMP347X</t>
  </si>
  <si>
    <t>WM-FR-IMP-70804-18CH5DS</t>
  </si>
  <si>
    <t>IMP353X</t>
  </si>
  <si>
    <t>IMP355BLK</t>
  </si>
  <si>
    <t>WM-FR-IMP-62449-16CH6RDS</t>
  </si>
  <si>
    <t>IMP69X</t>
  </si>
  <si>
    <t>WM-FR-IMP-4665-18CH7DS</t>
  </si>
  <si>
    <t>IMP357X</t>
  </si>
  <si>
    <t>IMP75X</t>
  </si>
  <si>
    <t>WM-FR-IMP-5433-17GB5SP</t>
  </si>
  <si>
    <t>IMP360BLK</t>
  </si>
  <si>
    <t>IMP360X</t>
  </si>
  <si>
    <t>IMP361X</t>
  </si>
  <si>
    <t>WM-FR-IMP-9072-16GB5SP</t>
  </si>
  <si>
    <t>IMP76GBLK</t>
  </si>
  <si>
    <t>IMP89X</t>
  </si>
  <si>
    <t>WM-FR-IMP-8096-18CH8S</t>
  </si>
  <si>
    <t>IMP92X</t>
  </si>
  <si>
    <t>WM-FR-IMP-8109-16CH6V</t>
  </si>
  <si>
    <t>IMP93X</t>
  </si>
  <si>
    <t>IMP96BLK</t>
  </si>
  <si>
    <t>WM-FR-IMP-8130-17GB12H</t>
  </si>
  <si>
    <t>IMP100BLK</t>
  </si>
  <si>
    <t>IMP100X</t>
  </si>
  <si>
    <t>WM-FR-IMP-10005-20GB6S</t>
  </si>
  <si>
    <t>IMP380BLK</t>
  </si>
  <si>
    <t>WM-FR-IMP-2405-17CH5SP</t>
  </si>
  <si>
    <t>IMP352X</t>
  </si>
  <si>
    <t>WM-FR-IMP-5296-17CHCCI</t>
  </si>
  <si>
    <t>IMP358X</t>
  </si>
  <si>
    <t>IMP370BLK</t>
  </si>
  <si>
    <t>WM-FR-IMP-3859-18CH5SS</t>
  </si>
  <si>
    <t>IMP370X</t>
  </si>
  <si>
    <t>IMP371BLK</t>
  </si>
  <si>
    <t>IMP372BLKN</t>
  </si>
  <si>
    <t>WM-FR-IMP-3957-17CH5DS</t>
  </si>
  <si>
    <t>IMP372XN</t>
  </si>
  <si>
    <t>IMP373BLK</t>
  </si>
  <si>
    <t>WM-FR-IMP-5646-18GB5DS</t>
  </si>
  <si>
    <t>IMP377BLKN</t>
  </si>
  <si>
    <t>WM-FR-IMP-5756-17GB5VS</t>
  </si>
  <si>
    <t>IMP384BLK</t>
  </si>
  <si>
    <t>IMP385X</t>
  </si>
  <si>
    <t>WM-FR-IMP-9148-17CH10V</t>
  </si>
  <si>
    <t>IMP386X</t>
  </si>
  <si>
    <t>IMP387BLK</t>
  </si>
  <si>
    <t>WM-FR-IMP-3995-17CH6S</t>
  </si>
  <si>
    <t>IMP387X</t>
  </si>
  <si>
    <t>IMP390BLKN</t>
  </si>
  <si>
    <t>WM-FR-IMP-5758-18GB5SP</t>
  </si>
  <si>
    <t>IMP393BLK</t>
  </si>
  <si>
    <t>WM-FR-IMP-5714-16GB5SP</t>
  </si>
  <si>
    <t>IMP394BLK</t>
  </si>
  <si>
    <t>IMP401BLK</t>
  </si>
  <si>
    <t>IMP406BLK</t>
  </si>
  <si>
    <t>IMP407BLK</t>
  </si>
  <si>
    <t>WM-FR-IMP-62451-15CH6RDS</t>
  </si>
  <si>
    <t>IMP71X</t>
  </si>
  <si>
    <t>IMP80BLK</t>
  </si>
  <si>
    <t>IMP78BLK</t>
  </si>
  <si>
    <t>WM-FR-IMP-62575-17CH6SV</t>
  </si>
  <si>
    <t>IMP87X</t>
  </si>
  <si>
    <t>IMP88BLK</t>
  </si>
  <si>
    <t>WM-FR-IMP-2449-17CH5SP</t>
  </si>
  <si>
    <t>IMP88X</t>
  </si>
  <si>
    <t>WM-FR-IMP-62602-18GB6S</t>
  </si>
  <si>
    <t>IMP90BLK</t>
  </si>
  <si>
    <t>WM-FR-IMP-9128-17CH5SP</t>
  </si>
  <si>
    <t>IMP91X</t>
  </si>
  <si>
    <t>IMP95X</t>
  </si>
  <si>
    <t>IMP97BLK</t>
  </si>
  <si>
    <t>WM-FR-IMP-9220-17GB5S</t>
  </si>
  <si>
    <t>IMP98BLK</t>
  </si>
  <si>
    <t>WM-FR-IMP-9220-17CH5S</t>
  </si>
  <si>
    <t>IMP98X</t>
  </si>
  <si>
    <t>WM-FR-IMP-62725-17CH12S</t>
  </si>
  <si>
    <t>IMP101X</t>
  </si>
  <si>
    <t>WM-FR-IMP-62725-17GB12S</t>
  </si>
  <si>
    <t>IMP101BLK</t>
  </si>
  <si>
    <t>IMP340BLK</t>
  </si>
  <si>
    <t>WM-FR-IMP-2448-17GB5SP</t>
  </si>
  <si>
    <t>IMP345BLKN</t>
  </si>
  <si>
    <t>IMP345XN</t>
  </si>
  <si>
    <t>WM-FR-IMP-5449-17CH6S</t>
  </si>
  <si>
    <t>IMP351X</t>
  </si>
  <si>
    <t>WM-FR-IMP-3848-18CH5SP</t>
  </si>
  <si>
    <t>IMP359XN</t>
  </si>
  <si>
    <t>IMP361BLK</t>
  </si>
  <si>
    <t>WM-FR-IMP-70802-16CH5SS</t>
  </si>
  <si>
    <t>IMP363X</t>
  </si>
  <si>
    <t>WM-FR-IMP-9135-17GB5SP</t>
  </si>
  <si>
    <t>IMP365BLK</t>
  </si>
  <si>
    <t>WM-FR-IMP-5710-18CH5SS</t>
  </si>
  <si>
    <t>IMP366X</t>
  </si>
  <si>
    <t>WM-FR-IMP-5642-17CH6S</t>
  </si>
  <si>
    <t>IMP369X</t>
  </si>
  <si>
    <t>IMP371X</t>
  </si>
  <si>
    <t>WM-FR-IMP-2380-17CH5SP</t>
  </si>
  <si>
    <t>IMP373X</t>
  </si>
  <si>
    <t>WM-FR-IMP-5473-16CH5SP</t>
  </si>
  <si>
    <t>IMP375X</t>
  </si>
  <si>
    <t>IMP377XN</t>
  </si>
  <si>
    <t>WM-FR-IMP-62593-17CC5DS</t>
  </si>
  <si>
    <t>IMP378CC</t>
  </si>
  <si>
    <t>IMP378X</t>
  </si>
  <si>
    <t>WM-FR-IMP-10005-20CH6S</t>
  </si>
  <si>
    <t>IMP380X</t>
  </si>
  <si>
    <t>WM-FR-IMP-2535-17GB10S</t>
  </si>
  <si>
    <t>IMP381BLK</t>
  </si>
  <si>
    <t>WM-FR-IMP-2535-17CC10S</t>
  </si>
  <si>
    <t>IMP381CC</t>
  </si>
  <si>
    <t>IMP382BLK</t>
  </si>
  <si>
    <t>WM-FR-IMP-5756-17CH5VS</t>
  </si>
  <si>
    <t>IMP384X</t>
  </si>
  <si>
    <t>IMP385BLK</t>
  </si>
  <si>
    <t>IMP386BLK</t>
  </si>
  <si>
    <t>IMP388BLK</t>
  </si>
  <si>
    <t>WM-FR-IMP-2511-17CH10S</t>
  </si>
  <si>
    <t>IMP388X</t>
  </si>
  <si>
    <t>WM-FR-IMP-5280-18CH5SP</t>
  </si>
  <si>
    <t>IMP389X</t>
  </si>
  <si>
    <t>WM-FR-IMP-5657-17CH5SP</t>
  </si>
  <si>
    <t>IMP390XN</t>
  </si>
  <si>
    <t>IMP391X</t>
  </si>
  <si>
    <t>WM-FR-IMP-5647-18CH5SP</t>
  </si>
  <si>
    <t>IMP392X</t>
  </si>
  <si>
    <t>WM-FR-IMP-5758-18CH5SP</t>
  </si>
  <si>
    <t>IMP393X</t>
  </si>
  <si>
    <t>WM-FR-IMP-5714-16CH5SP</t>
  </si>
  <si>
    <t>IMP394X</t>
  </si>
  <si>
    <t>IMP395BLK</t>
  </si>
  <si>
    <t>WM-FR-IMP-5772-18CHCCI</t>
  </si>
  <si>
    <t>IMP396X</t>
  </si>
  <si>
    <t>IMP398X</t>
  </si>
  <si>
    <t>IMP399BLK</t>
  </si>
  <si>
    <t>WM-FR-IMP-74735-17CH10S</t>
  </si>
  <si>
    <t>IMP399X</t>
  </si>
  <si>
    <t>WM-FR-IMP-74692-16GB5FS</t>
  </si>
  <si>
    <t>IMP400BLK</t>
  </si>
  <si>
    <t>WM-FR-IMP-62752-18GB6S</t>
  </si>
  <si>
    <t>IMP403BLK</t>
  </si>
  <si>
    <t>WM-FR-IMP-62752-18CH6S</t>
  </si>
  <si>
    <t>IMP403X</t>
  </si>
  <si>
    <t>IMP404X</t>
  </si>
  <si>
    <t>WM-FR-IMP-5672-17CH5SP</t>
  </si>
  <si>
    <t>IMP405X</t>
  </si>
  <si>
    <t>IMP406X</t>
  </si>
  <si>
    <t>IMP407X</t>
  </si>
  <si>
    <t>IMP408BLK</t>
  </si>
  <si>
    <t>WM-FR-IMP-22968927-17CH5VS</t>
  </si>
  <si>
    <t>IMP409X</t>
  </si>
  <si>
    <t>IMP410BLK</t>
  </si>
  <si>
    <t>WM-FR-IMP-75162-18CH5VS</t>
  </si>
  <si>
    <t>IMP410X</t>
  </si>
  <si>
    <t>WM-FR-IMP-9597724-17CH5SP</t>
  </si>
  <si>
    <t>IMP411X</t>
  </si>
  <si>
    <t>IMP412XN</t>
  </si>
  <si>
    <t>WM-FR-IMP-75153-17GB6S</t>
  </si>
  <si>
    <t>IMP413BLKN</t>
  </si>
  <si>
    <t>WM-FR-IMP-10108-17GB5DS</t>
  </si>
  <si>
    <t>IMP414BLK</t>
  </si>
  <si>
    <t>IMP414X</t>
  </si>
  <si>
    <t>WM-FR-IMP-5832-19CH5DS</t>
  </si>
  <si>
    <t>IMP415X</t>
  </si>
  <si>
    <t>IMP415BLK</t>
  </si>
  <si>
    <t>WM-FR-IMP-23457322-18GB5SS</t>
  </si>
  <si>
    <t>IMP416BLKN</t>
  </si>
  <si>
    <t>WM-FR-IMP-23457322-18CH5SS</t>
  </si>
  <si>
    <t>IMP416XN</t>
  </si>
  <si>
    <t>IMP417BLK</t>
  </si>
  <si>
    <t>WM-FR-IMP-5833-17CH5DS</t>
  </si>
  <si>
    <t>IMP417X</t>
  </si>
  <si>
    <t>WM-FR-IMP-22968931-18GB5SP</t>
  </si>
  <si>
    <t>IMP418BLK</t>
  </si>
  <si>
    <t>WM-FR-IMP-22968931-18CH5SP</t>
  </si>
  <si>
    <t>IMP418X</t>
  </si>
  <si>
    <t>WM-FR-IMP-9195-17GB5SP</t>
  </si>
  <si>
    <t>IMP420BLK</t>
  </si>
  <si>
    <t>WM-FR-IMP-9195-17CH5SP</t>
  </si>
  <si>
    <t>IMP420X</t>
  </si>
  <si>
    <t>WM-FR-IMP-9119-18GB5SP</t>
  </si>
  <si>
    <t>IMP421BLK</t>
  </si>
  <si>
    <t>WM-FR-IMP-9119-18CH5SP</t>
  </si>
  <si>
    <t>IMP421X</t>
  </si>
  <si>
    <t>Discontinued</t>
  </si>
  <si>
    <t>IMP423BLK</t>
  </si>
  <si>
    <t>WM-FR-IMP-10010-16CH10S</t>
  </si>
  <si>
    <t>IMP423X</t>
  </si>
  <si>
    <t>WM-FR-IMP-5650-20GB6S</t>
  </si>
  <si>
    <t>IMP426BLK</t>
  </si>
  <si>
    <t>WM-FR-IMP-5650-20CH6S</t>
  </si>
  <si>
    <t>IMP426X</t>
  </si>
  <si>
    <t>WM-FR-IMP-62611-16GB6VP</t>
  </si>
  <si>
    <t>IMP427BLK</t>
  </si>
  <si>
    <t>WM-FR-IMP-62611-16CH6VP</t>
  </si>
  <si>
    <t>IMP427X</t>
  </si>
  <si>
    <t>WM-FR-IMP-75221-18GB20S</t>
  </si>
  <si>
    <t>IMP428BLK</t>
  </si>
  <si>
    <t>WM-FR-IMP-75221-18CH20S</t>
  </si>
  <si>
    <t>IMP428X</t>
  </si>
  <si>
    <t>WM-FR-IMP-5760-20CH5SP</t>
  </si>
  <si>
    <t>IMP430X</t>
  </si>
  <si>
    <t>WM-FR-IMP-2672-18GB6S</t>
  </si>
  <si>
    <t>IMP431BLK</t>
  </si>
  <si>
    <t>IMP431X</t>
  </si>
  <si>
    <t>WM-FR-IMP-5912-18GB5SS</t>
  </si>
  <si>
    <t>IMP432BLK</t>
  </si>
  <si>
    <t>WM-FR-IMP-5912-18CH5SS</t>
  </si>
  <si>
    <t>IMP432X</t>
  </si>
  <si>
    <t>WM-FR-IMP-62749-17GB5VS</t>
  </si>
  <si>
    <t>IMP433BLK</t>
  </si>
  <si>
    <t>WM-FR-IMP-62749-17CH5VS</t>
  </si>
  <si>
    <t>IMP433X</t>
  </si>
  <si>
    <t>WM-FR-IMP-75240-17GB5SP</t>
  </si>
  <si>
    <t>IMP434BLK</t>
  </si>
  <si>
    <t>IMP434X</t>
  </si>
  <si>
    <t>IMP436BLK</t>
  </si>
  <si>
    <t>WM-FR-IMP-5908-17CH6S</t>
  </si>
  <si>
    <t>IMP436X</t>
  </si>
  <si>
    <t>WM-FR-IMP-5790-16GB5SP</t>
  </si>
  <si>
    <t>IMP437BLK</t>
  </si>
  <si>
    <t>WM-FR-IMP-5790-16CH5SP</t>
  </si>
  <si>
    <t>IMP437X</t>
  </si>
  <si>
    <t>WM-FR-IMP-5934-18GB6SS</t>
  </si>
  <si>
    <t>IMP438BLK</t>
  </si>
  <si>
    <t>IMP438X</t>
  </si>
  <si>
    <t>WM-FR-IMP-KB3Z1007G-17GB6S</t>
  </si>
  <si>
    <t>IMP439BLK</t>
  </si>
  <si>
    <t>WM-FR-IMP-KB3Z1007G-17CH6S</t>
  </si>
  <si>
    <t>IMP439X</t>
  </si>
  <si>
    <t>IMP440BLK</t>
  </si>
  <si>
    <t>WM-FR-IMP-5894-17CC10S</t>
  </si>
  <si>
    <t>IMP440CC</t>
  </si>
  <si>
    <t>WM-FR-IMP-10182-18GB5SS</t>
  </si>
  <si>
    <t>IMP441BLK</t>
  </si>
  <si>
    <t>WM-FR-IMP-10182-18CH5SS</t>
  </si>
  <si>
    <t>IMP441X</t>
  </si>
  <si>
    <t>WM-FR-IMP-5879-16GB10S</t>
  </si>
  <si>
    <t>IMP442BLK</t>
  </si>
  <si>
    <t>WM-FR-IMP-5879-16CC10S</t>
  </si>
  <si>
    <t>IMP442CC</t>
  </si>
  <si>
    <t>WM-FR-IMP-6VN20MAAAA-17CH5VS</t>
  </si>
  <si>
    <t>IMP443BLK</t>
  </si>
  <si>
    <t>IMP444BLK</t>
  </si>
  <si>
    <t>IMP444X</t>
  </si>
  <si>
    <t>IMP445BLK</t>
  </si>
  <si>
    <t>IMP445X</t>
  </si>
  <si>
    <t>WM-FR-IMP-74748-17GB5SS</t>
  </si>
  <si>
    <t>IMP446BLK</t>
  </si>
  <si>
    <t>IMP447BLK</t>
  </si>
  <si>
    <t>IMP447CC</t>
  </si>
  <si>
    <t>WM-FR-IMP-2670-18CH5SP</t>
  </si>
  <si>
    <t>IMP451X</t>
  </si>
  <si>
    <t>WM-FR-IMP-70866-16GB5DS</t>
  </si>
  <si>
    <t>IMP453BLK</t>
  </si>
  <si>
    <t>WM-FR-IMP-42700TVAA73-17GB10S</t>
  </si>
  <si>
    <t>IMP455BLK</t>
  </si>
  <si>
    <t>WM-FR-IMP-42700TVAA73-17CH10S</t>
  </si>
  <si>
    <t>IMP455X</t>
  </si>
  <si>
    <t>WM-FR-IMP-10149-16CH7S</t>
  </si>
  <si>
    <t>IMP456X</t>
  </si>
  <si>
    <t>IMP456BLK</t>
  </si>
  <si>
    <t>IMP457X</t>
  </si>
  <si>
    <t>WM-FR-IMP-6BG71GSAAB-17GB10S</t>
  </si>
  <si>
    <t>IMP457BLK</t>
  </si>
  <si>
    <t>WM-FR-IMP-64075-17CH5SP</t>
  </si>
  <si>
    <t>IMP458X</t>
  </si>
  <si>
    <t>WM-FR-IMP-64075-17GB5SP</t>
  </si>
  <si>
    <t>IMP458BLK</t>
  </si>
  <si>
    <t>WM-FR-IMP-70907-17GB5SS</t>
  </si>
  <si>
    <t>IMP460BLK</t>
  </si>
  <si>
    <t>WM-FR-IMP-70907-17CH5SS</t>
  </si>
  <si>
    <t>IMP460X</t>
  </si>
  <si>
    <t>WM-FR-IMP-403006FL3A-18GB5VS</t>
  </si>
  <si>
    <t>IMP461BLK</t>
  </si>
  <si>
    <t>WM-FR-IMP-403006FL3A-18CH5VS</t>
  </si>
  <si>
    <t>IMP461X</t>
  </si>
  <si>
    <t>IMP462BLK</t>
  </si>
  <si>
    <t>WM-FR-IMP-LJ6Z1007A-17CH10S</t>
  </si>
  <si>
    <t>IMP462X</t>
  </si>
  <si>
    <t>IMP463BLK</t>
  </si>
  <si>
    <t>WM-FR-IMP-95109-16CH5SP</t>
  </si>
  <si>
    <t>IMP463X</t>
  </si>
  <si>
    <t>WM-FR-IMP-84428928-16CH5SP</t>
  </si>
  <si>
    <t>IMP464X</t>
  </si>
  <si>
    <t>IMP464BLK</t>
  </si>
  <si>
    <t>WM-FR-IMP-84760166-18CH6VS</t>
  </si>
  <si>
    <t>IMP466X</t>
  </si>
  <si>
    <t>IMP466BLK</t>
  </si>
  <si>
    <t>WM-FR-IMP-53910S9120-18CH5SS</t>
  </si>
  <si>
    <t>IMP467X</t>
  </si>
  <si>
    <t>IMP467BLK</t>
  </si>
  <si>
    <t>WM-FR-IMP-LB5Z1007L-18CH5SS</t>
  </si>
  <si>
    <t>IMP468X</t>
  </si>
  <si>
    <t>IMP468BLK</t>
  </si>
  <si>
    <t>WM-FR-IMP-60004441-17CH5SS</t>
  </si>
  <si>
    <t>IMP469X</t>
  </si>
  <si>
    <t>WM-FR-IMP-60004441-17GB5SS</t>
  </si>
  <si>
    <t>IMP469BLK</t>
  </si>
  <si>
    <t>WM-FR-IMP-HC3Z1007B-18CH12S</t>
  </si>
  <si>
    <t>IMP470X</t>
  </si>
  <si>
    <t>WM-FR-IMP-HC3Z1007B-18GB12S</t>
  </si>
  <si>
    <t>IMP470BLK</t>
  </si>
  <si>
    <t>WM-FR-IMP-KS7Z1007F-17CH5SS</t>
  </si>
  <si>
    <t>IMP471X</t>
  </si>
  <si>
    <t>IMP471BLK</t>
  </si>
  <si>
    <t>WM-FR-IMP-9965087590-19CH5SS</t>
  </si>
  <si>
    <t>IMP472X</t>
  </si>
  <si>
    <t>IMP472BLK</t>
  </si>
  <si>
    <t>WM-FR-IMP-9965087590-18CH5SS</t>
  </si>
  <si>
    <t>IMP473X</t>
  </si>
  <si>
    <t>WM-FR-IMP-9965087590-18GB5SS</t>
  </si>
  <si>
    <t>IMP473BLK</t>
  </si>
  <si>
    <t>WM-FR-IMP-LR3Z-1007-A-17CH5SP</t>
  </si>
  <si>
    <t>IMP474X</t>
  </si>
  <si>
    <t>IMP474BLK</t>
  </si>
  <si>
    <t>WM-FR-IMP-52910R5120-17CH5SP</t>
  </si>
  <si>
    <t>IMP475X</t>
  </si>
  <si>
    <t>WM-FR-IMP-52910R5120-17GB5SP</t>
  </si>
  <si>
    <t>IMP475BLK</t>
  </si>
  <si>
    <t>WM-FR-IMP-M1PC1007E1B-17CH5SP</t>
  </si>
  <si>
    <t>IMP476X</t>
  </si>
  <si>
    <t>WM-FR-IMP-M1PC1007E1B-17GB5SP</t>
  </si>
  <si>
    <t>IMP476BLK</t>
  </si>
  <si>
    <t>WM-FR-IMP-ML3Z-1007-A-17CH6S</t>
  </si>
  <si>
    <t>IMP477X</t>
  </si>
  <si>
    <t>IMP477BLK</t>
  </si>
  <si>
    <t>WM-FR-IMP-4261108200-17CH10S</t>
  </si>
  <si>
    <t>IMP478X</t>
  </si>
  <si>
    <t>IMP478BLK</t>
  </si>
  <si>
    <t>WM-FR-IMP-95093-18GB15S</t>
  </si>
  <si>
    <t>IMP480BLK</t>
  </si>
  <si>
    <t>IMP491X</t>
  </si>
  <si>
    <t>WM-FR-IMP-ML3Z1007DA-18GB6YS</t>
  </si>
  <si>
    <t>IMP491BLK</t>
  </si>
  <si>
    <t>WM-FR-IMP-KT4Z1007A-18CH5SS</t>
  </si>
  <si>
    <t>IMP492X</t>
  </si>
  <si>
    <t>IMP492BLK</t>
  </si>
  <si>
    <t>1513P</t>
  </si>
  <si>
    <t>WM-KS-FRTR-1514-14CH</t>
  </si>
  <si>
    <t>1514C</t>
  </si>
  <si>
    <t>WM-KS-FRTR-1514-14SS</t>
  </si>
  <si>
    <t>1514S</t>
  </si>
  <si>
    <t>WM-KS-FRTR-1515-15CH</t>
  </si>
  <si>
    <t>1515C</t>
  </si>
  <si>
    <t>WM-KS-FRTR-1515D25-15SS</t>
  </si>
  <si>
    <t>1515D25</t>
  </si>
  <si>
    <t>WM-KS-FRTR-1515D3-15SS</t>
  </si>
  <si>
    <t>1515D3</t>
  </si>
  <si>
    <t>1515P</t>
  </si>
  <si>
    <t>1515TP</t>
  </si>
  <si>
    <t>WM-KS-FRTR-1515-15SS</t>
  </si>
  <si>
    <t>1515S</t>
  </si>
  <si>
    <t>WM-KS-FRTR-1516-16CH</t>
  </si>
  <si>
    <t>1516C</t>
  </si>
  <si>
    <t>WM-KS-FRTR-1516-16SS</t>
  </si>
  <si>
    <t>1516S</t>
  </si>
  <si>
    <t>1517P</t>
  </si>
  <si>
    <t>WM-KS-FRTR-1518-18CH</t>
  </si>
  <si>
    <t>1518P</t>
  </si>
  <si>
    <t>WM-KS-FRWS-1688-16CH</t>
  </si>
  <si>
    <t>AL160P</t>
  </si>
  <si>
    <t>WM-KS-FRWS-1688-16SS</t>
  </si>
  <si>
    <t>AL160SS</t>
  </si>
  <si>
    <t>WM-KS-FRWS-1688-16.5CH</t>
  </si>
  <si>
    <t>AL165P</t>
  </si>
  <si>
    <t>WM-KS-FRWS-3210-16SS</t>
  </si>
  <si>
    <t>N16F92</t>
  </si>
  <si>
    <t>WM-KS-FRWS-3615-17SS</t>
  </si>
  <si>
    <t>N17F05</t>
  </si>
  <si>
    <t>WM-KS-FRWS-8094-17SS</t>
  </si>
  <si>
    <t>N17G11</t>
  </si>
  <si>
    <t>WM-KS-FRWS-99042-19.5SS</t>
  </si>
  <si>
    <t>N195F05</t>
  </si>
  <si>
    <t>WM-KS-FRWS-456500-19.5SS</t>
  </si>
  <si>
    <t>N195GM</t>
  </si>
  <si>
    <t>WM-KS-FRWS-W8076-17CH</t>
  </si>
  <si>
    <t>N3279</t>
  </si>
  <si>
    <t>WM-KS-FRWS-W8076F-17CH</t>
  </si>
  <si>
    <t>N3279F</t>
  </si>
  <si>
    <t>WM-KS-FRWS-9597735-17CH</t>
  </si>
  <si>
    <t>N3290</t>
  </si>
  <si>
    <t>WM-KS-FRWS-W2191-17CH</t>
  </si>
  <si>
    <t>N8010</t>
  </si>
  <si>
    <t>WM-KS-FRWS-W2191-17GBK</t>
  </si>
  <si>
    <t>N8010BLK</t>
  </si>
  <si>
    <t>WM-KS-VSE-3.5STR-2PCCH</t>
  </si>
  <si>
    <t>N8000K</t>
  </si>
  <si>
    <t>WM-KS-VSE-1.18135DEG-2PCCH</t>
  </si>
  <si>
    <t>N8135K</t>
  </si>
  <si>
    <t>WM-KS-VSE-3.14180DEG-2PCCH</t>
  </si>
  <si>
    <t>N8180K</t>
  </si>
  <si>
    <t>WM-KS-VSE-BRDSSH-4PCCH</t>
  </si>
  <si>
    <t>N9000K</t>
  </si>
  <si>
    <t>WM-KS-FRWS-W2191F-17CH</t>
  </si>
  <si>
    <t>N8010F</t>
  </si>
  <si>
    <t>WM-KS-FRWS-W2191R-17CH</t>
  </si>
  <si>
    <t>N8010R</t>
  </si>
  <si>
    <t>WM-KS-FRWS-4755301AB-17CH</t>
  </si>
  <si>
    <t>N9010</t>
  </si>
  <si>
    <t>WM-KS-FRWS-4755301AB-17GBK</t>
  </si>
  <si>
    <t>N9010BLK</t>
  </si>
  <si>
    <t>WM-KS-FRWS-4755301ABF-17CH</t>
  </si>
  <si>
    <t>N9010F</t>
  </si>
  <si>
    <t>WM-KS-FRWS-1684-16SS</t>
  </si>
  <si>
    <t>N816X</t>
  </si>
  <si>
    <t>WM-KS-FRWS-6LN07S4AAB-17SS</t>
  </si>
  <si>
    <t>N817XN</t>
  </si>
  <si>
    <t>WM-KS-FRCCT-01</t>
  </si>
  <si>
    <t>CR02</t>
  </si>
  <si>
    <t>WM-KS-FRCC-998F-CH</t>
  </si>
  <si>
    <t>C2040</t>
  </si>
  <si>
    <t>WM-KS-FRCC-998R-CH</t>
  </si>
  <si>
    <t>C2040R</t>
  </si>
  <si>
    <t>WM-KS-FRCC-3278F-CH</t>
  </si>
  <si>
    <t>C3278</t>
  </si>
  <si>
    <t>WM-KS-FRCC-3279R-CH</t>
  </si>
  <si>
    <t>C3279</t>
  </si>
  <si>
    <t>WM-KS-FRCC-H3289F-CH</t>
  </si>
  <si>
    <t>C3289</t>
  </si>
  <si>
    <t>WM-KS-FRCC-H3290R-CH</t>
  </si>
  <si>
    <t>C3290</t>
  </si>
  <si>
    <t>WM-KS-FRCC-5015-AL</t>
  </si>
  <si>
    <t>C5015A</t>
  </si>
  <si>
    <t>WM-KS-FRCC-9597163-CH</t>
  </si>
  <si>
    <t>C5079C</t>
  </si>
  <si>
    <t>WM-KS-FRCC-5116-CH</t>
  </si>
  <si>
    <t>C5116</t>
  </si>
  <si>
    <t>WM-KS-FRCC-5129-CH</t>
  </si>
  <si>
    <t>C5129C</t>
  </si>
  <si>
    <t>WM-KS-FRCC-5293-AL</t>
  </si>
  <si>
    <t>C5293</t>
  </si>
  <si>
    <t>WM-KS-FRCC-5308-AL</t>
  </si>
  <si>
    <t>C5308</t>
  </si>
  <si>
    <t>WM-KS-FRCC-5500-SL</t>
  </si>
  <si>
    <t>C5500</t>
  </si>
  <si>
    <t>WM-KS-FRCC-5502-CH</t>
  </si>
  <si>
    <t>C5502</t>
  </si>
  <si>
    <t>C5646</t>
  </si>
  <si>
    <t>WM-KS-FRCC-5646-GBK</t>
  </si>
  <si>
    <t>C5646BLK</t>
  </si>
  <si>
    <t>WM-KS-FRCC-5712-CH</t>
  </si>
  <si>
    <t>C5712</t>
  </si>
  <si>
    <t>C5712BLK</t>
  </si>
  <si>
    <t>WM-KS-FRCC-8095-SL</t>
  </si>
  <si>
    <t>C8095</t>
  </si>
  <si>
    <t>WM-KS-FRCC-3013-CHR</t>
  </si>
  <si>
    <t>C2029R</t>
  </si>
  <si>
    <t>WM-KS-FRCC-3140F-CH</t>
  </si>
  <si>
    <t>C3140F</t>
  </si>
  <si>
    <t>WM-KS-FRCC-3140R-CH</t>
  </si>
  <si>
    <t>C3140R</t>
  </si>
  <si>
    <t>WM-KS-FRCC-3140F4WD-CH</t>
  </si>
  <si>
    <t>C3140X4WD</t>
  </si>
  <si>
    <t>WM-KS-FRCC-3139-CH</t>
  </si>
  <si>
    <t>C3184N</t>
  </si>
  <si>
    <t>WM-KS-FRCC-3194-CH</t>
  </si>
  <si>
    <t>C3194</t>
  </si>
  <si>
    <t>C3203C</t>
  </si>
  <si>
    <t>WM-KS-FRCC-3255-CH</t>
  </si>
  <si>
    <t>C3328N</t>
  </si>
  <si>
    <t>WM-KS-FRCC-3335F-CH</t>
  </si>
  <si>
    <t>C3335</t>
  </si>
  <si>
    <t>WM-KS-FRCC-3335F4WD-CH</t>
  </si>
  <si>
    <t>C3335X4WD</t>
  </si>
  <si>
    <t>WM-KS-FRCC-3337-CH</t>
  </si>
  <si>
    <t>C3338</t>
  </si>
  <si>
    <t>C3620R</t>
  </si>
  <si>
    <t>C3620X4WD</t>
  </si>
  <si>
    <t>WM-KS-FRCC-HC3Z-1130-JF-CH</t>
  </si>
  <si>
    <t>C10098F</t>
  </si>
  <si>
    <t>WM-KS-FRCC-HC3Z-1130-JF-GBK</t>
  </si>
  <si>
    <t>C10098FBK</t>
  </si>
  <si>
    <t>WM-KS-FRCC-HC3Z-1130-JF4WD-CH</t>
  </si>
  <si>
    <t>C100984WD</t>
  </si>
  <si>
    <t>WM-KS-FRCC-HC3Z-1130-JR-CH</t>
  </si>
  <si>
    <t>C10098R</t>
  </si>
  <si>
    <t>WM-KS-FRCC-HC3Z-1130-JR-GBK</t>
  </si>
  <si>
    <t>C10098RBK</t>
  </si>
  <si>
    <t>WM-KS-FRCC-3780-AL</t>
  </si>
  <si>
    <t>C3780</t>
  </si>
  <si>
    <t>WM-KS-FRCC-10265-CH</t>
  </si>
  <si>
    <t>C10265</t>
  </si>
  <si>
    <t>WM-KS-FRCC-10265-GBK</t>
  </si>
  <si>
    <t>C10265BLK</t>
  </si>
  <si>
    <t>WM-KS-FRCC-5304-CH</t>
  </si>
  <si>
    <t>C5304</t>
  </si>
  <si>
    <t>C5449</t>
  </si>
  <si>
    <t>WM-KS-FRCC-9107-CH</t>
  </si>
  <si>
    <t>C9107C</t>
  </si>
  <si>
    <t>WM-KS-FRCC-9107-GBK</t>
  </si>
  <si>
    <t>C9107BLK</t>
  </si>
  <si>
    <t>WM-KS-FRCC-9107-SL</t>
  </si>
  <si>
    <t>C9107S</t>
  </si>
  <si>
    <t>WM-KS-FRCC-8010R-CH</t>
  </si>
  <si>
    <t>C8010</t>
  </si>
  <si>
    <t>WM-KS-FRCC-2697F-CH</t>
  </si>
  <si>
    <t>C9009</t>
  </si>
  <si>
    <t>WM-KS-FRCC-2697F-GBK</t>
  </si>
  <si>
    <t>C9009BLK</t>
  </si>
  <si>
    <t>WM-KS-FRCC-2697R-CH</t>
  </si>
  <si>
    <t>C9010</t>
  </si>
  <si>
    <t>WM-KS-FRCC-2697R-GBK</t>
  </si>
  <si>
    <t>C9010BLK</t>
  </si>
  <si>
    <t>WM-KS-FRCC-2042-CH</t>
  </si>
  <si>
    <t>C2042</t>
  </si>
  <si>
    <t>WM-KS-FRCC-2187-CH</t>
  </si>
  <si>
    <t>C2187</t>
  </si>
  <si>
    <t>WM-KS-FRCC-2414F-CH</t>
  </si>
  <si>
    <t>C2414</t>
  </si>
  <si>
    <t>WM-KS-FRCC-2415R-CH</t>
  </si>
  <si>
    <t>C2415</t>
  </si>
  <si>
    <t>WM-KS-FRCC-8009F-CH</t>
  </si>
  <si>
    <t>C8009</t>
  </si>
  <si>
    <t>WM-KS-FRCC-BM8-CH</t>
  </si>
  <si>
    <t>CBM8</t>
  </si>
  <si>
    <t>WM-KS-FRCC-BM9-CH</t>
  </si>
  <si>
    <t>CBM9</t>
  </si>
  <si>
    <t>WM-KS-FRCC-BM10-CH</t>
  </si>
  <si>
    <t>CBM10</t>
  </si>
  <si>
    <t>C2030</t>
  </si>
  <si>
    <t>WM-KS-FRCC-806-CH</t>
  </si>
  <si>
    <t>C2031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</si>
</sst>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####"/>
    <numFmt numFmtId="166" formatCode="m/d/yyyy"/>
    <numFmt numFmtId="167" formatCode="###############"/>
    <numFmt numFmtId="168" formatCode="############"/>
    <numFmt numFmtId="169" formatCode="M/d/yyyy"/>
  </numFmts>
  <fonts count="8">
    <font>
      <sz val="10.0"/>
      <color rgb="FF000000"/>
      <name val="Arial"/>
      <scheme val="minor"/>
    </font>
    <font>
      <color theme="1"/>
      <name val="Arial Narrow"/>
    </font>
    <font>
      <color theme="1"/>
      <name val="Arial"/>
    </font>
    <font>
      <b/>
      <color theme="1"/>
      <name val="Arial Narrow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D9D9D9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2" fillId="2" fontId="3" numFmtId="164" xfId="0" applyAlignment="1" applyBorder="1" applyFont="1" applyNumberFormat="1">
      <alignment vertical="bottom"/>
    </xf>
    <xf borderId="2" fillId="2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5" fillId="2" fontId="3" numFmtId="165" xfId="0" applyAlignment="1" applyBorder="1" applyFont="1" applyNumberFormat="1">
      <alignment horizontal="right" vertical="bottom"/>
    </xf>
    <xf borderId="5" fillId="2" fontId="3" numFmtId="164" xfId="0" applyAlignment="1" applyBorder="1" applyFont="1" applyNumberFormat="1">
      <alignment vertical="bottom"/>
    </xf>
    <xf borderId="5" fillId="2" fontId="3" numFmtId="166" xfId="0" applyAlignment="1" applyBorder="1" applyFont="1" applyNumberFormat="1">
      <alignment horizontal="right" vertical="bottom"/>
    </xf>
    <xf borderId="6" fillId="2" fontId="3" numFmtId="166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2" fillId="0" fontId="1" numFmtId="164" xfId="0" applyAlignment="1" applyBorder="1" applyFont="1" applyNumberFormat="1">
      <alignment horizontal="right" vertical="bottom"/>
    </xf>
    <xf borderId="3" fillId="0" fontId="1" numFmtId="164" xfId="0" applyAlignment="1" applyBorder="1" applyFont="1" applyNumberFormat="1">
      <alignment horizontal="right" vertical="bottom"/>
    </xf>
    <xf borderId="7" fillId="2" fontId="1" numFmtId="0" xfId="0" applyAlignment="1" applyBorder="1" applyFont="1">
      <alignment readingOrder="0" vertical="bottom"/>
    </xf>
    <xf borderId="0" fillId="2" fontId="1" numFmtId="164" xfId="0" applyAlignment="1" applyFont="1" applyNumberFormat="1">
      <alignment horizontal="right" vertical="bottom"/>
    </xf>
    <xf borderId="8" fillId="2" fontId="1" numFmtId="16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8" fillId="0" fontId="1" numFmtId="164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readingOrder="0" vertical="bottom"/>
    </xf>
    <xf borderId="5" fillId="0" fontId="1" numFmtId="164" xfId="0" applyAlignment="1" applyBorder="1" applyFont="1" applyNumberFormat="1">
      <alignment horizontal="right" vertical="bottom"/>
    </xf>
    <xf borderId="6" fillId="0" fontId="1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2" fillId="0" fontId="3" numFmtId="164" xfId="0" applyAlignment="1" applyBorder="1" applyFont="1" applyNumberFormat="1">
      <alignment horizontal="right" vertical="bottom"/>
    </xf>
    <xf borderId="3" fillId="0" fontId="3" numFmtId="16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vertical="bottom"/>
    </xf>
    <xf borderId="10" fillId="0" fontId="3" numFmtId="164" xfId="0" applyAlignment="1" applyBorder="1" applyFont="1" applyNumberFormat="1">
      <alignment horizontal="right" vertical="bottom"/>
    </xf>
    <xf borderId="11" fillId="0" fontId="3" numFmtId="164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readingOrder="0" vertical="bottom"/>
    </xf>
    <xf borderId="2" fillId="0" fontId="2" numFmtId="164" xfId="0" applyAlignment="1" applyBorder="1" applyFont="1" applyNumberFormat="1">
      <alignment vertical="bottom"/>
    </xf>
    <xf borderId="3" fillId="0" fontId="2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2" fontId="1" numFmtId="164" xfId="0" applyAlignment="1" applyBorder="1" applyFont="1" applyNumberFormat="1">
      <alignment horizontal="right" vertical="bottom"/>
    </xf>
    <xf borderId="6" fillId="2" fontId="1" numFmtId="164" xfId="0" applyAlignment="1" applyBorder="1" applyFont="1" applyNumberFormat="1">
      <alignment horizontal="right" vertical="bottom"/>
    </xf>
    <xf borderId="0" fillId="2" fontId="3" numFmtId="0" xfId="0" applyAlignment="1" applyFont="1">
      <alignment vertical="bottom"/>
    </xf>
    <xf borderId="0" fillId="2" fontId="2" numFmtId="164" xfId="0" applyAlignment="1" applyFont="1" applyNumberFormat="1">
      <alignment vertical="bottom"/>
    </xf>
    <xf borderId="0" fillId="2" fontId="2" numFmtId="0" xfId="0" applyAlignment="1" applyFont="1">
      <alignment vertical="bottom"/>
    </xf>
    <xf borderId="0" fillId="0" fontId="4" numFmtId="167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4" numFmtId="169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3" fontId="5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3" fontId="4" numFmtId="2" xfId="0" applyAlignment="1" applyFont="1" applyNumberFormat="1">
      <alignment readingOrder="0"/>
    </xf>
    <xf borderId="0" fillId="3" fontId="4" numFmtId="166" xfId="0" applyAlignment="1" applyFont="1" applyNumberFormat="1">
      <alignment readingOrder="0"/>
    </xf>
    <xf borderId="0" fillId="0" fontId="6" numFmtId="167" xfId="0" applyAlignment="1" applyFont="1" applyNumberFormat="1">
      <alignment readingOrder="0"/>
    </xf>
    <xf borderId="0" fillId="0" fontId="6" numFmtId="168" xfId="0" applyAlignment="1" applyFont="1" applyNumberFormat="1">
      <alignment readingOrder="0"/>
    </xf>
    <xf borderId="0" fillId="0" fontId="6" numFmtId="167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6" numFmtId="169" xfId="0" applyAlignment="1" applyFont="1" applyNumberFormat="1">
      <alignment readingOrder="0"/>
    </xf>
    <xf borderId="0" fillId="0" fontId="6" numFmtId="168" xfId="0" applyAlignment="1" applyFont="1" applyNumberFormat="1">
      <alignment readingOrder="0"/>
    </xf>
    <xf borderId="0" fillId="3" fontId="7" numFmtId="0" xfId="0" applyAlignment="1" applyFont="1">
      <alignment readingOrder="0"/>
    </xf>
    <xf borderId="0" fillId="3" fontId="7" numFmtId="0" xfId="0" applyFont="1"/>
    <xf borderId="0" fillId="3" fontId="6" numFmtId="0" xfId="0" applyFont="1"/>
    <xf borderId="0" fillId="3" fontId="6" numFmtId="0" xfId="0" applyAlignment="1" applyFont="1">
      <alignment readingOrder="0"/>
    </xf>
    <xf borderId="0" fillId="3" fontId="6" numFmtId="2" xfId="0" applyFont="1" applyNumberFormat="1"/>
    <xf borderId="0" fillId="3" fontId="1" numFmtId="0" xfId="0" applyAlignment="1" applyFont="1">
      <alignment readingOrder="0"/>
    </xf>
    <xf borderId="0" fillId="0" fontId="6" numFmtId="0" xfId="0" applyFont="1"/>
    <xf borderId="0" fillId="2" fontId="6" numFmtId="0" xfId="0" applyFont="1"/>
    <xf borderId="0" fillId="0" fontId="6" numFmtId="0" xfId="0" applyFont="1"/>
    <xf borderId="0" fillId="2" fontId="6" numFmtId="0" xfId="0" applyFont="1"/>
    <xf borderId="0" fillId="4" fontId="6" numFmtId="0" xfId="0" applyFill="1" applyFont="1"/>
    <xf borderId="0" fillId="4" fontId="6" numFmtId="0" xfId="0" applyAlignment="1" applyFont="1">
      <alignment readingOrder="0"/>
    </xf>
    <xf borderId="0" fillId="0" fontId="6" numFmtId="167" xfId="0" applyFont="1" applyNumberFormat="1"/>
    <xf borderId="0" fillId="0" fontId="6" numFmtId="168" xfId="0" applyFont="1" applyNumberFormat="1"/>
    <xf borderId="0" fillId="0" fontId="6" numFmtId="167" xfId="0" applyFont="1" applyNumberFormat="1"/>
    <xf borderId="0" fillId="2" fontId="6" numFmtId="169" xfId="0" applyFont="1" applyNumberFormat="1"/>
    <xf borderId="0" fillId="0" fontId="6" numFmtId="168" xfId="0" applyFont="1" applyNumberFormat="1"/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0" xfId="0" applyFont="1"/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</cols>
  <sheetData>
    <row r="1">
      <c r="B1" s="1" t="s">
        <v>0</v>
      </c>
      <c r="C1" s="2"/>
      <c r="D1" s="2"/>
      <c r="E1" s="2"/>
      <c r="F1" s="3"/>
      <c r="G1" s="3"/>
    </row>
    <row r="2">
      <c r="B2" s="4" t="s">
        <v>1</v>
      </c>
      <c r="C2" s="5" t="str">
        <f>IFERROR(__xludf.DUMMYFUNCTION("importrange(""https://docs.google.com/spreadsheets/d/1SpIQ08zdW-3HpkzcmPmRLalvhgOSNVUg8BE8acIkxHI/edit?gid=0#gid=0"",""PeriodSynch"")"),"Year to Date")</f>
        <v>Year to Date</v>
      </c>
      <c r="D2" s="5" t="str">
        <f>IFERROR(__xludf.DUMMYFUNCTION("""COMPUTED_VALUE"""),"Last Month")</f>
        <v>Last Month</v>
      </c>
      <c r="E2" s="5" t="str">
        <f>IFERROR(__xludf.DUMMYFUNCTION("""COMPUTED_VALUE"""),"Month to Date")</f>
        <v>Month to Date</v>
      </c>
      <c r="F2" s="6" t="str">
        <f>IFERROR(__xludf.DUMMYFUNCTION("""COMPUTED_VALUE"""),"This Week")</f>
        <v>This Week</v>
      </c>
      <c r="G2" s="7" t="str">
        <f>IFERROR(__xludf.DUMMYFUNCTION("""COMPUTED_VALUE"""),"Last Week")</f>
        <v>Last Week</v>
      </c>
    </row>
    <row r="3">
      <c r="B3" s="8"/>
      <c r="C3" s="9">
        <f>IFERROR(__xludf.DUMMYFUNCTION("""COMPUTED_VALUE"""),2025.0)</f>
        <v>2025</v>
      </c>
      <c r="D3" s="10" t="str">
        <f>IFERROR(__xludf.DUMMYFUNCTION("""COMPUTED_VALUE"""),"November")</f>
        <v>November</v>
      </c>
      <c r="E3" s="10" t="str">
        <f>IFERROR(__xludf.DUMMYFUNCTION("""COMPUTED_VALUE"""),"December")</f>
        <v>December</v>
      </c>
      <c r="F3" s="11">
        <f>IFERROR(__xludf.DUMMYFUNCTION("""COMPUTED_VALUE"""),45999.0)</f>
        <v>45999</v>
      </c>
      <c r="G3" s="12">
        <f>IFERROR(__xludf.DUMMYFUNCTION("""COMPUTED_VALUE"""),45992.0)</f>
        <v>45992</v>
      </c>
    </row>
    <row r="4">
      <c r="B4" s="13" t="s">
        <v>2</v>
      </c>
      <c r="C4" s="14">
        <f t="shared" ref="C4:G4" si="1">C5*20%</f>
        <v>1597.952</v>
      </c>
      <c r="D4" s="14">
        <f t="shared" si="1"/>
        <v>236</v>
      </c>
      <c r="E4" s="14">
        <f t="shared" si="1"/>
        <v>0</v>
      </c>
      <c r="F4" s="14">
        <f t="shared" si="1"/>
        <v>0</v>
      </c>
      <c r="G4" s="15">
        <f t="shared" si="1"/>
        <v>0</v>
      </c>
    </row>
    <row r="5">
      <c r="B5" s="16" t="s">
        <v>3</v>
      </c>
      <c r="C5" s="17">
        <f t="shared" ref="C5:G5" si="2">C7+(C12+C18+C33)</f>
        <v>7989.76</v>
      </c>
      <c r="D5" s="17">
        <f t="shared" si="2"/>
        <v>1180</v>
      </c>
      <c r="E5" s="17">
        <f t="shared" si="2"/>
        <v>0</v>
      </c>
      <c r="F5" s="17">
        <f t="shared" si="2"/>
        <v>0</v>
      </c>
      <c r="G5" s="18">
        <f t="shared" si="2"/>
        <v>0</v>
      </c>
    </row>
    <row r="6">
      <c r="B6" s="19" t="s">
        <v>4</v>
      </c>
      <c r="C6" s="20">
        <f t="shared" ref="C6:G6" si="3">C7+C12</f>
        <v>8530.01</v>
      </c>
      <c r="D6" s="20">
        <f t="shared" si="3"/>
        <v>1235.93</v>
      </c>
      <c r="E6" s="20">
        <f t="shared" si="3"/>
        <v>0</v>
      </c>
      <c r="F6" s="20">
        <f t="shared" si="3"/>
        <v>0</v>
      </c>
      <c r="G6" s="21">
        <f t="shared" si="3"/>
        <v>0</v>
      </c>
    </row>
    <row r="7">
      <c r="B7" s="22" t="s">
        <v>5</v>
      </c>
      <c r="C7" s="23">
        <f t="shared" ref="C7:G7" si="4">SUM(C8:C10)</f>
        <v>12259.45</v>
      </c>
      <c r="D7" s="23">
        <f t="shared" si="4"/>
        <v>1613.47</v>
      </c>
      <c r="E7" s="23">
        <f t="shared" si="4"/>
        <v>0</v>
      </c>
      <c r="F7" s="23">
        <f t="shared" si="4"/>
        <v>0</v>
      </c>
      <c r="G7" s="24">
        <f t="shared" si="4"/>
        <v>0</v>
      </c>
    </row>
    <row r="8">
      <c r="B8" s="25" t="s">
        <v>6</v>
      </c>
      <c r="C8" s="14">
        <f>sumifs('Statements Legacy Report '!$CB:$CB,'Statements Legacy Report '!$CE:$CE,C$3,'Statements Legacy Report '!$F:$F,"SALE",'Statements Legacy Report '!$BW:$BW,$B8)</f>
        <v>12259.45</v>
      </c>
      <c r="D8" s="14">
        <f>sumifs('Statements Legacy Report '!$CB:$CB,'Statements Legacy Report '!$CF:$CF,D$3,'Statements Legacy Report '!$F:$F,"SALE",'Statements Legacy Report '!$BW:$BW,$B8)</f>
        <v>1613.47</v>
      </c>
      <c r="E8" s="14">
        <f>sumifs('Statements Legacy Report '!$CB:$CB,'Statements Legacy Report '!$CF:$CF,E$3,'Statements Legacy Report '!$F:$F,"SALE",'Statements Legacy Report '!$BW:$BW,$B8)</f>
        <v>0</v>
      </c>
      <c r="F8" s="14">
        <f>sumifs('Statements Legacy Report '!$CB:$CB,'Statements Legacy Report '!$CG:$CG,F$2,'Statements Legacy Report '!$F:$F,"SALE",'Statements Legacy Report '!$BW:$BW,$B8)</f>
        <v>0</v>
      </c>
      <c r="G8" s="15">
        <f>sumifs('Statements Legacy Report '!$CB:$CB,'Statements Legacy Report '!$CG:$CG,G$2,'Statements Legacy Report '!$F:$F,"SALE",'Statements Legacy Report '!$BW:$BW,$B8)</f>
        <v>0</v>
      </c>
    </row>
    <row r="9">
      <c r="B9" s="26" t="s">
        <v>7</v>
      </c>
      <c r="C9" s="20">
        <f>sumifs('Statements Legacy Report '!$CB:$CB,'Statements Legacy Report '!$CE:$CE,C$3,'Statements Legacy Report '!$F:$F,"SALE",'Statements Legacy Report '!$BW:$BW,$B9)</f>
        <v>0</v>
      </c>
      <c r="D9" s="20">
        <f>sumifs('Statements Legacy Report '!$CB:$CB,'Statements Legacy Report '!$CF:$CF,D$3,'Statements Legacy Report '!$F:$F,"SALE",'Statements Legacy Report '!$BW:$BW,$B9)</f>
        <v>0</v>
      </c>
      <c r="E9" s="20">
        <f>sumifs('Statements Legacy Report '!$CB:$CB,'Statements Legacy Report '!$CF:$CF,E$3,'Statements Legacy Report '!$F:$F,"SALE",'Statements Legacy Report '!$BW:$BW,$B9)</f>
        <v>0</v>
      </c>
      <c r="F9" s="20">
        <f>sumifs('Statements Legacy Report '!$CB:$CB,'Statements Legacy Report '!$CG:$CG,F$2,'Statements Legacy Report '!$F:$F,"SALE",'Statements Legacy Report '!$BW:$BW,$B9)</f>
        <v>0</v>
      </c>
      <c r="G9" s="21">
        <f>sumifs('Statements Legacy Report '!$CB:$CB,'Statements Legacy Report '!$CG:$CG,G$2,'Statements Legacy Report '!$F:$F,"SALE",'Statements Legacy Report '!$BW:$BW,$B9)</f>
        <v>0</v>
      </c>
    </row>
    <row r="10">
      <c r="B10" s="27" t="s">
        <v>8</v>
      </c>
      <c r="C10" s="23">
        <f>sumifs('Statements Legacy Report '!$CB:$CB,'Statements Legacy Report '!$CE:$CE,C$3,'Statements Legacy Report '!$F:$F,"SALE",'Statements Legacy Report '!$BW:$BW,$B10)</f>
        <v>0</v>
      </c>
      <c r="D10" s="23">
        <f>sumifs('Statements Legacy Report '!$CB:$CB,'Statements Legacy Report '!$CF:$CF,D$3,'Statements Legacy Report '!$F:$F,"SALE",'Statements Legacy Report '!$BW:$BW,$B10)</f>
        <v>0</v>
      </c>
      <c r="E10" s="23">
        <f>sumifs('Statements Legacy Report '!$CB:$CB,'Statements Legacy Report '!$CF:$CF,E$3,'Statements Legacy Report '!$F:$F,"SALE",'Statements Legacy Report '!$BW:$BW,$B10)</f>
        <v>0</v>
      </c>
      <c r="F10" s="23">
        <f>sumifs('Statements Legacy Report '!$CB:$CB,'Statements Legacy Report '!$CG:$CG,F$2,'Statements Legacy Report '!$F:$F,"SALE",'Statements Legacy Report '!$BW:$BW,$B10)</f>
        <v>0</v>
      </c>
      <c r="G10" s="24">
        <f>sumifs('Statements Legacy Report '!$CB:$CB,'Statements Legacy Report '!$CG:$CG,G$2,'Statements Legacy Report '!$F:$F,"SALE",'Statements Legacy Report '!$BW:$BW,$B10)</f>
        <v>0</v>
      </c>
    </row>
    <row r="11">
      <c r="B11" s="3"/>
      <c r="C11" s="2"/>
      <c r="D11" s="2"/>
      <c r="E11" s="2"/>
      <c r="F11" s="2"/>
      <c r="G11" s="3"/>
    </row>
    <row r="12">
      <c r="B12" s="28" t="s">
        <v>9</v>
      </c>
      <c r="C12" s="29">
        <f t="shared" ref="C12:G12" si="5">SUM(C13:C15)</f>
        <v>-3729.44</v>
      </c>
      <c r="D12" s="29">
        <f t="shared" si="5"/>
        <v>-377.54</v>
      </c>
      <c r="E12" s="29">
        <f t="shared" si="5"/>
        <v>0</v>
      </c>
      <c r="F12" s="29">
        <f t="shared" si="5"/>
        <v>0</v>
      </c>
      <c r="G12" s="30">
        <f t="shared" si="5"/>
        <v>0</v>
      </c>
    </row>
    <row r="13">
      <c r="B13" s="25" t="s">
        <v>6</v>
      </c>
      <c r="C13" s="14">
        <f>sumifs('Statements Legacy Report '!$CA:$CA,'Statements Legacy Report '!$F:$F,"REFUNDED",'Statements Legacy Report '!$BW:$BW,$B13,'Statements Legacy Report '!CE:CE,C$3)*-1</f>
        <v>-3729.44</v>
      </c>
      <c r="D13" s="14">
        <f>sumifs('Statements Legacy Report '!$CA:$CA,'Statements Legacy Report '!$F:$F,"REFUNDED",'Statements Legacy Report '!$BW:$BW,$B13,'Statements Legacy Report '!$CF:$CF,D$3)*-1</f>
        <v>-377.54</v>
      </c>
      <c r="E13" s="14">
        <f>sumifs('Statements Legacy Report '!$CA:$CA,'Statements Legacy Report '!$F:$F,"REFUNDED",'Statements Legacy Report '!$BW:$BW,$B13,'Statements Legacy Report '!$CF:$CF,E$3)*-1</f>
        <v>0</v>
      </c>
      <c r="F13" s="14">
        <f>sumifs('Statements Legacy Report '!$CA:$CA,'Statements Legacy Report '!$F:$F,"REFUNDED",'Statements Legacy Report '!$BW:$BW,$B13,'Statements Legacy Report '!$CG:$CG,F$2)*-1</f>
        <v>0</v>
      </c>
      <c r="G13" s="15">
        <f>sumifs('Statements Legacy Report '!$CA:$CA,'Statements Legacy Report '!$F:$F,"REFUNDED",'Statements Legacy Report '!$BW:$BW,$B13,'Statements Legacy Report '!$CG:$CG,G$2)*-1</f>
        <v>0</v>
      </c>
    </row>
    <row r="14">
      <c r="B14" s="26" t="s">
        <v>7</v>
      </c>
      <c r="C14" s="20">
        <f>sumifs('Statements Legacy Report '!$CA:$CA,'Statements Legacy Report '!$F:$F,"REFUNDED",'Statements Legacy Report '!$BW:$BW,$B14,'Statements Legacy Report '!CE:CE,C$3)*-1</f>
        <v>0</v>
      </c>
      <c r="D14" s="20">
        <f>sumifs('Statements Legacy Report '!$CA:$CA,'Statements Legacy Report '!$F:$F,"REFUNDED",'Statements Legacy Report '!$BW:$BW,$B14,'Statements Legacy Report '!$CF:$CF,D$3)*-1</f>
        <v>0</v>
      </c>
      <c r="E14" s="20">
        <f>sumifs('Statements Legacy Report '!$CA:$CA,'Statements Legacy Report '!$F:$F,"REFUNDED",'Statements Legacy Report '!$BW:$BW,$B14,'Statements Legacy Report '!$CF:$CF,E$3)*-1</f>
        <v>0</v>
      </c>
      <c r="F14" s="20">
        <f>sumifs('Statements Legacy Report '!$CA:$CA,'Statements Legacy Report '!$F:$F,"REFUNDED",'Statements Legacy Report '!$BW:$BW,$B14,'Statements Legacy Report '!$CG:$CG,F$2)*-1</f>
        <v>0</v>
      </c>
      <c r="G14" s="21">
        <f>sumifs('Statements Legacy Report '!$CA:$CA,'Statements Legacy Report '!$F:$F,"REFUNDED",'Statements Legacy Report '!$BW:$BW,$B14,'Statements Legacy Report '!$CG:$CG,G$2)*-1</f>
        <v>0</v>
      </c>
    </row>
    <row r="15">
      <c r="B15" s="27" t="s">
        <v>8</v>
      </c>
      <c r="C15" s="23">
        <f>sumifs('Statements Legacy Report '!$CA:$CA,'Statements Legacy Report '!$F:$F,"REFUNDED",'Statements Legacy Report '!$BW:$BW,$B15,'Statements Legacy Report '!CE:CE,C$3)*-1</f>
        <v>0</v>
      </c>
      <c r="D15" s="23">
        <f>sumifs('Statements Legacy Report '!$CA:$CA,'Statements Legacy Report '!$F:$F,"REFUNDED",'Statements Legacy Report '!$BW:$BW,$B15,'Statements Legacy Report '!$CF:$CF,D$3)*-1</f>
        <v>0</v>
      </c>
      <c r="E15" s="23">
        <f>sumifs('Statements Legacy Report '!$CA:$CA,'Statements Legacy Report '!$F:$F,"REFUNDED",'Statements Legacy Report '!$BW:$BW,$B15,'Statements Legacy Report '!$CF:$CF,E$3)*-1</f>
        <v>0</v>
      </c>
      <c r="F15" s="23">
        <f>sumifs('Statements Legacy Report '!$CA:$CA,'Statements Legacy Report '!$F:$F,"REFUNDED",'Statements Legacy Report '!$BW:$BW,$B15,'Statements Legacy Report '!$CG:$CG,F$2)*-1</f>
        <v>0</v>
      </c>
      <c r="G15" s="24">
        <f>sumifs('Statements Legacy Report '!$CA:$CA,'Statements Legacy Report '!$F:$F,"REFUNDED",'Statements Legacy Report '!$BW:$BW,$B15,'Statements Legacy Report '!$CG:$CG,G$2)*-1</f>
        <v>0</v>
      </c>
    </row>
    <row r="17">
      <c r="B17" s="3"/>
      <c r="C17" s="2"/>
      <c r="D17" s="2"/>
      <c r="E17" s="2"/>
      <c r="F17" s="2"/>
      <c r="G17" s="3"/>
    </row>
    <row r="18">
      <c r="B18" s="31" t="s">
        <v>10</v>
      </c>
      <c r="C18" s="32">
        <f t="shared" ref="C18:G18" si="6">SUM(C19)</f>
        <v>-540.25</v>
      </c>
      <c r="D18" s="32">
        <f t="shared" si="6"/>
        <v>-55.93</v>
      </c>
      <c r="E18" s="32">
        <f t="shared" si="6"/>
        <v>0</v>
      </c>
      <c r="F18" s="32">
        <f t="shared" si="6"/>
        <v>0</v>
      </c>
      <c r="G18" s="33">
        <f t="shared" si="6"/>
        <v>0</v>
      </c>
    </row>
    <row r="19">
      <c r="B19" s="34" t="s">
        <v>11</v>
      </c>
      <c r="C19" s="23">
        <f>sumifs('Statements Legacy Report '!$V:$V,'Statements Legacy Report '!$F:$F,"ADJMNT",'Statements Legacy Report '!CE:CE,C3)</f>
        <v>-540.25</v>
      </c>
      <c r="D19" s="23">
        <f>sumifs('Statements Legacy Report '!$V:$V,'Statements Legacy Report '!$F:$F,"ADJMNT",'Statements Legacy Report '!CF:CF,D3)</f>
        <v>-55.93</v>
      </c>
      <c r="E19" s="23">
        <f>sumifs('Statements Legacy Report '!$V:$V,'Statements Legacy Report '!$F:$F,"ADJMNT",'Statements Legacy Report '!CF:CF,E3)</f>
        <v>0</v>
      </c>
      <c r="F19" s="23">
        <f>sumifs('Statements Legacy Report '!$V:$V,'Statements Legacy Report '!$F:$F,"ADJMNT",'Statements Legacy Report '!CG:CG,F2)</f>
        <v>0</v>
      </c>
      <c r="G19" s="24">
        <f>sumifs('Statements Legacy Report '!$V:$V,'Statements Legacy Report '!$F:$F,"ADJMNT",'Statements Legacy Report '!CG:CG,G2)</f>
        <v>0</v>
      </c>
    </row>
    <row r="20">
      <c r="B20" s="3"/>
      <c r="C20" s="2"/>
      <c r="D20" s="2"/>
      <c r="E20" s="2"/>
      <c r="F20" s="2"/>
      <c r="G20" s="2"/>
    </row>
    <row r="21">
      <c r="B21" s="13" t="s">
        <v>12</v>
      </c>
      <c r="C21" s="35"/>
      <c r="D21" s="35"/>
      <c r="E21" s="35"/>
      <c r="F21" s="35"/>
      <c r="G21" s="36"/>
    </row>
    <row r="22">
      <c r="B22" s="37" t="s">
        <v>6</v>
      </c>
      <c r="C22" s="17">
        <f>sumifs('Statements Legacy Report '!$CA:$CA,'Statements Legacy Report '!$CE:$CE,C$3,'Statements Legacy Report '!$F:$F,"SALE",'Statements Legacy Report '!$BW:$BW,$B22)</f>
        <v>17711.51</v>
      </c>
      <c r="D22" s="17">
        <f>sumifs('Statements Legacy Report '!$CA:$CA,'Statements Legacy Report '!$CF:$CF,D$3,'Statements Legacy Report '!$F:$F,"SALE",'Statements Legacy Report '!$BW:$BW,$B22)</f>
        <v>2265.59</v>
      </c>
      <c r="E22" s="17">
        <f>sumifs('Statements Legacy Report '!$CA:$CA,'Statements Legacy Report '!$CF:$CF,E$3,'Statements Legacy Report '!$F:$F,"SALE",'Statements Legacy Report '!$BW:$BW,$B22)</f>
        <v>0</v>
      </c>
      <c r="F22" s="17">
        <f>sumifs('Statements Legacy Report '!$CA:$CA,'Statements Legacy Report '!$CG:$CG,F$2,'Statements Legacy Report '!$F:$F,"SALE",'Statements Legacy Report '!$BW:$BW,$B22)</f>
        <v>0</v>
      </c>
      <c r="G22" s="18">
        <f>sumifs('Statements Legacy Report '!$CA:$CA,'Statements Legacy Report '!$CG:$CG,G$2,'Statements Legacy Report '!$F:$F,"SALE",'Statements Legacy Report '!$BW:$BW,$B22)</f>
        <v>0</v>
      </c>
    </row>
    <row r="23">
      <c r="B23" s="16" t="s">
        <v>8</v>
      </c>
      <c r="C23" s="17">
        <f>sumifs('Statements Legacy Report '!$CA:$CA,'Statements Legacy Report '!$CE:$CE,C$3,'Statements Legacy Report '!$F:$F,"SALE",'Statements Legacy Report '!$BW:$BW,$B23)</f>
        <v>0</v>
      </c>
      <c r="D23" s="17">
        <f>sumifs('Statements Legacy Report '!$CA:$CA,'Statements Legacy Report '!$CF:$CF,D$3,'Statements Legacy Report '!$F:$F,"SALE",'Statements Legacy Report '!$BW:$BW,$B23)</f>
        <v>0</v>
      </c>
      <c r="E23" s="17">
        <f>sumifs('Statements Legacy Report '!$CA:$CA,'Statements Legacy Report '!$CF:$CF,E$3,'Statements Legacy Report '!$F:$F,"SALE",'Statements Legacy Report '!$BW:$BW,$B23)</f>
        <v>0</v>
      </c>
      <c r="F23" s="17">
        <f>sumifs('Statements Legacy Report '!$CA:$CA,'Statements Legacy Report '!$CG:$CG,F$2,'Statements Legacy Report '!$F:$F,"SALE",'Statements Legacy Report '!$BW:$BW,$B23)</f>
        <v>0</v>
      </c>
      <c r="G23" s="18">
        <f>sumifs('Statements Legacy Report '!$CA:$CA,'Statements Legacy Report '!$CG:$CG,G$2,'Statements Legacy Report '!$F:$F,"SALE",'Statements Legacy Report '!$BW:$BW,$B23)</f>
        <v>0</v>
      </c>
    </row>
    <row r="24">
      <c r="B24" s="38" t="s">
        <v>7</v>
      </c>
      <c r="C24" s="39">
        <f>sumifs('Statements Legacy Report '!$CA:$CA,'Statements Legacy Report '!$CE:$CE,C$3,'Statements Legacy Report '!$F:$F,"SALE",'Statements Legacy Report '!$BW:$BW,$B24)</f>
        <v>0</v>
      </c>
      <c r="D24" s="39">
        <f>sumifs('Statements Legacy Report '!$CA:$CA,'Statements Legacy Report '!$CF:$CF,D$3,'Statements Legacy Report '!$F:$F,"SALE",'Statements Legacy Report '!$BW:$BW,$B24)</f>
        <v>0</v>
      </c>
      <c r="E24" s="39">
        <f>sumifs('Statements Legacy Report '!$CA:$CA,'Statements Legacy Report '!$CF:$CF,E$3,'Statements Legacy Report '!$F:$F,"SALE",'Statements Legacy Report '!$BW:$BW,$B24)</f>
        <v>0</v>
      </c>
      <c r="F24" s="39">
        <f>sumifs('Statements Legacy Report '!$CA:$CA,'Statements Legacy Report '!$CG:$CG,F$2,'Statements Legacy Report '!$F:$F,"SALE",'Statements Legacy Report '!$BW:$BW,$B24)</f>
        <v>0</v>
      </c>
      <c r="G24" s="40">
        <f>sumifs('Statements Legacy Report '!$CA:$CA,'Statements Legacy Report '!$CG:$CG,G$2,'Statements Legacy Report '!$F:$F,"SALE",'Statements Legacy Report '!$BW:$BW,$B24)</f>
        <v>0</v>
      </c>
    </row>
    <row r="25">
      <c r="B25" s="3"/>
      <c r="C25" s="2"/>
      <c r="D25" s="2"/>
      <c r="E25" s="2"/>
      <c r="F25" s="2"/>
      <c r="G25" s="3"/>
    </row>
    <row r="26">
      <c r="B26" s="4" t="s">
        <v>13</v>
      </c>
      <c r="C26" s="5" t="str">
        <f>IFERROR(__xludf.DUMMYFUNCTION("importrange(""https://docs.google.com/spreadsheets/d/1SpIQ08zdW-3HpkzcmPmRLalvhgOSNVUg8BE8acIkxHI/edit?gid=0#gid=0"",""PeriodSynch"")"),"Year to Date")</f>
        <v>Year to Date</v>
      </c>
      <c r="D26" s="5" t="str">
        <f>IFERROR(__xludf.DUMMYFUNCTION("""COMPUTED_VALUE"""),"Last Month")</f>
        <v>Last Month</v>
      </c>
      <c r="E26" s="5" t="str">
        <f>IFERROR(__xludf.DUMMYFUNCTION("""COMPUTED_VALUE"""),"Month to Date")</f>
        <v>Month to Date</v>
      </c>
      <c r="F26" s="6" t="str">
        <f>IFERROR(__xludf.DUMMYFUNCTION("""COMPUTED_VALUE"""),"This Week")</f>
        <v>This Week</v>
      </c>
      <c r="G26" s="7" t="str">
        <f>IFERROR(__xludf.DUMMYFUNCTION("""COMPUTED_VALUE"""),"Last Week")</f>
        <v>Last Week</v>
      </c>
    </row>
    <row r="27">
      <c r="B27" s="8"/>
      <c r="C27" s="9">
        <f>IFERROR(__xludf.DUMMYFUNCTION("""COMPUTED_VALUE"""),2025.0)</f>
        <v>2025</v>
      </c>
      <c r="D27" s="10" t="str">
        <f>IFERROR(__xludf.DUMMYFUNCTION("""COMPUTED_VALUE"""),"November")</f>
        <v>November</v>
      </c>
      <c r="E27" s="10" t="str">
        <f>IFERROR(__xludf.DUMMYFUNCTION("""COMPUTED_VALUE"""),"December")</f>
        <v>December</v>
      </c>
      <c r="F27" s="11">
        <f>IFERROR(__xludf.DUMMYFUNCTION("""COMPUTED_VALUE"""),45999.0)</f>
        <v>45999</v>
      </c>
      <c r="G27" s="12">
        <f>IFERROR(__xludf.DUMMYFUNCTION("""COMPUTED_VALUE"""),45992.0)</f>
        <v>45992</v>
      </c>
    </row>
    <row r="28">
      <c r="B28" s="25" t="s">
        <v>14</v>
      </c>
      <c r="C28" s="14">
        <f t="shared" ref="C28:G28" si="7">SUM(C29:C31)</f>
        <v>33274</v>
      </c>
      <c r="D28" s="14">
        <f t="shared" si="7"/>
        <v>4244.8</v>
      </c>
      <c r="E28" s="14">
        <f t="shared" si="7"/>
        <v>0</v>
      </c>
      <c r="F28" s="14">
        <f t="shared" si="7"/>
        <v>0</v>
      </c>
      <c r="G28" s="15">
        <f t="shared" si="7"/>
        <v>0</v>
      </c>
    </row>
    <row r="29">
      <c r="B29" s="26" t="s">
        <v>6</v>
      </c>
      <c r="C29" s="20">
        <f>sumifs('Statements Legacy Report '!$U:$U,'Statements Legacy Report '!$CE:$CE,C$3,'Statements Legacy Report '!$F:$F,"SALE",'Statements Legacy Report '!$BW:$BW,$B29)</f>
        <v>33274</v>
      </c>
      <c r="D29" s="20">
        <f>sumifs('Statements Legacy Report '!$U:$U,'Statements Legacy Report '!$CF:$CF,D$3,'Statements Legacy Report '!$F:$F,"SALE",'Statements Legacy Report '!$BW:$BW,$B29)</f>
        <v>4244.8</v>
      </c>
      <c r="E29" s="20">
        <f>sumifs('Statements Legacy Report '!$U:$U,'Statements Legacy Report '!$CF:$CF,E$3,'Statements Legacy Report '!$F:$F,"SALE",'Statements Legacy Report '!$BW:$BW,$B29)</f>
        <v>0</v>
      </c>
      <c r="F29" s="20">
        <f>sumifs('Statements Legacy Report '!$U:$U,'Statements Legacy Report '!$CG:$CG,F$2,'Statements Legacy Report '!$F:$F,"SALE",'Statements Legacy Report '!$BW:$BW,$B29)</f>
        <v>0</v>
      </c>
      <c r="G29" s="21">
        <f>sumifs('Statements Legacy Report '!$U:$U,'Statements Legacy Report '!$CG:$CG,G$2,'Statements Legacy Report '!$F:$F,"SALE",'Statements Legacy Report '!$BW:$BW,$B29)</f>
        <v>0</v>
      </c>
    </row>
    <row r="30">
      <c r="B30" s="26" t="s">
        <v>7</v>
      </c>
      <c r="C30" s="20">
        <f>sumifs('Statements Legacy Report '!$U:$U,'Statements Legacy Report '!$CE:$CE,C$3,'Statements Legacy Report '!$F:$F,"SALE",'Statements Legacy Report '!$BW:$BW,$B30)</f>
        <v>0</v>
      </c>
      <c r="D30" s="20">
        <f>sumifs('Statements Legacy Report '!$U:$U,'Statements Legacy Report '!$CF:$CF,D$3,'Statements Legacy Report '!$F:$F,"SALE",'Statements Legacy Report '!$BW:$BW,$B30)</f>
        <v>0</v>
      </c>
      <c r="E30" s="20">
        <f>sumifs('Statements Legacy Report '!$U:$U,'Statements Legacy Report '!$CF:$CF,E$3,'Statements Legacy Report '!$F:$F,"SALE",'Statements Legacy Report '!$BW:$BW,$B30)</f>
        <v>0</v>
      </c>
      <c r="F30" s="20">
        <f>sumifs('Statements Legacy Report '!$U:$U,'Statements Legacy Report '!$CG:$CG,F$2,'Statements Legacy Report '!$F:$F,"SALE",'Statements Legacy Report '!$BW:$BW,$B30)</f>
        <v>0</v>
      </c>
      <c r="G30" s="21">
        <f>sumifs('Statements Legacy Report '!$U:$U,'Statements Legacy Report '!$CG:$CG,G$2,'Statements Legacy Report '!$F:$F,"SALE",'Statements Legacy Report '!$BW:$BW,$B30)</f>
        <v>0</v>
      </c>
    </row>
    <row r="31">
      <c r="B31" s="27" t="s">
        <v>8</v>
      </c>
      <c r="C31" s="23">
        <f>sumifs('Statements Legacy Report '!$U:$U,'Statements Legacy Report '!$CE:$CE,C$3,'Statements Legacy Report '!$F:$F,"SALE",'Statements Legacy Report '!$BW:$BW,$B31)</f>
        <v>0</v>
      </c>
      <c r="D31" s="23">
        <f>sumifs('Statements Legacy Report '!$U:$U,'Statements Legacy Report '!$CF:$CF,D$3,'Statements Legacy Report '!$F:$F,"SALE",'Statements Legacy Report '!$BW:$BW,$B31)</f>
        <v>0</v>
      </c>
      <c r="E31" s="23">
        <f>sumifs('Statements Legacy Report '!$U:$U,'Statements Legacy Report '!$CF:$CF,E$3,'Statements Legacy Report '!$F:$F,"SALE",'Statements Legacy Report '!$BW:$BW,$B31)</f>
        <v>0</v>
      </c>
      <c r="F31" s="23">
        <f>sumifs('Statements Legacy Report '!$U:$U,'Statements Legacy Report '!$CG:$CG,F$2,'Statements Legacy Report '!$F:$F,"SALE",'Statements Legacy Report '!$BW:$BW,$B31)</f>
        <v>0</v>
      </c>
      <c r="G31" s="24">
        <f>sumifs('Statements Legacy Report '!$U:$U,'Statements Legacy Report '!$CG:$CG,G$2,'Statements Legacy Report '!$F:$F,"SALE",'Statements Legacy Report '!$BW:$BW,$B31)</f>
        <v>0</v>
      </c>
    </row>
    <row r="32">
      <c r="B32" s="3"/>
      <c r="C32" s="2"/>
      <c r="D32" s="2"/>
      <c r="E32" s="2"/>
      <c r="F32" s="2"/>
      <c r="G32" s="3"/>
    </row>
    <row r="33">
      <c r="B33" s="41" t="s">
        <v>15</v>
      </c>
      <c r="C33" s="42"/>
      <c r="D33" s="42"/>
      <c r="E33" s="42"/>
      <c r="F33" s="42"/>
      <c r="G33" s="43"/>
    </row>
    <row r="34">
      <c r="B34" s="3"/>
      <c r="C34" s="2"/>
      <c r="D34" s="2"/>
      <c r="E34" s="2"/>
      <c r="F34" s="2"/>
      <c r="G34" s="3"/>
    </row>
  </sheetData>
  <dataValidations>
    <dataValidation type="custom" allowBlank="1" showDropDown="1" sqref="F3:G3 F27:G27">
      <formula1>OR(NOT(ISERROR(DATEVALUE(F3))), AND(ISNUMBER(F3), LEFT(CELL("format", F3))="D"))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9" width="5.0"/>
    <col customWidth="1" min="20" max="20" width="18.63"/>
    <col customWidth="1" min="21" max="21" width="17.63"/>
    <col customWidth="1" min="22" max="22" width="17.88"/>
    <col customWidth="1" min="26" max="26" width="14.13"/>
    <col customWidth="1" min="54" max="54" width="14.0"/>
  </cols>
  <sheetData>
    <row r="1">
      <c r="A1" s="44" t="s">
        <v>16</v>
      </c>
      <c r="B1" s="45" t="s">
        <v>17</v>
      </c>
      <c r="C1" s="46" t="s">
        <v>18</v>
      </c>
      <c r="D1" s="47" t="s">
        <v>19</v>
      </c>
      <c r="E1" s="47" t="s">
        <v>20</v>
      </c>
      <c r="F1" s="48" t="s">
        <v>21</v>
      </c>
      <c r="G1" s="49" t="s">
        <v>22</v>
      </c>
      <c r="H1" s="47" t="s">
        <v>23</v>
      </c>
      <c r="I1" s="47" t="s">
        <v>24</v>
      </c>
      <c r="J1" s="50" t="s">
        <v>25</v>
      </c>
      <c r="K1" s="51" t="s">
        <v>26</v>
      </c>
      <c r="L1" s="51" t="s">
        <v>27</v>
      </c>
      <c r="M1" s="51" t="s">
        <v>28</v>
      </c>
      <c r="N1" s="51" t="s">
        <v>29</v>
      </c>
      <c r="O1" s="51" t="s">
        <v>30</v>
      </c>
      <c r="P1" s="51" t="s">
        <v>31</v>
      </c>
      <c r="Q1" s="51" t="s">
        <v>32</v>
      </c>
      <c r="R1" s="51" t="s">
        <v>33</v>
      </c>
      <c r="S1" s="51" t="s">
        <v>34</v>
      </c>
      <c r="T1" s="47" t="s">
        <v>35</v>
      </c>
      <c r="U1" s="48" t="s">
        <v>36</v>
      </c>
      <c r="V1" s="48" t="s">
        <v>37</v>
      </c>
      <c r="W1" s="47" t="s">
        <v>38</v>
      </c>
      <c r="X1" s="47" t="s">
        <v>39</v>
      </c>
      <c r="Y1" s="47" t="s">
        <v>40</v>
      </c>
      <c r="Z1" s="48" t="s">
        <v>41</v>
      </c>
      <c r="AA1" s="47" t="s">
        <v>42</v>
      </c>
      <c r="AB1" s="47" t="s">
        <v>43</v>
      </c>
      <c r="AC1" s="47" t="s">
        <v>44</v>
      </c>
      <c r="AD1" s="47" t="s">
        <v>45</v>
      </c>
      <c r="AE1" s="47" t="s">
        <v>46</v>
      </c>
      <c r="AF1" s="47" t="s">
        <v>47</v>
      </c>
      <c r="AG1" s="47" t="s">
        <v>48</v>
      </c>
      <c r="AH1" s="47" t="s">
        <v>49</v>
      </c>
      <c r="AI1" s="47" t="s">
        <v>50</v>
      </c>
      <c r="AJ1" s="47" t="s">
        <v>51</v>
      </c>
      <c r="AK1" s="47" t="s">
        <v>52</v>
      </c>
      <c r="AL1" s="47" t="s">
        <v>53</v>
      </c>
      <c r="AM1" s="47" t="s">
        <v>54</v>
      </c>
      <c r="AN1" s="47" t="s">
        <v>55</v>
      </c>
      <c r="AO1" s="47" t="s">
        <v>56</v>
      </c>
      <c r="AP1" s="47" t="s">
        <v>57</v>
      </c>
      <c r="AQ1" s="47" t="s">
        <v>58</v>
      </c>
      <c r="AR1" s="47" t="s">
        <v>59</v>
      </c>
      <c r="AS1" s="47" t="s">
        <v>60</v>
      </c>
      <c r="AT1" s="47" t="s">
        <v>61</v>
      </c>
      <c r="AU1" s="47" t="s">
        <v>62</v>
      </c>
      <c r="AV1" s="47" t="s">
        <v>63</v>
      </c>
      <c r="AW1" s="47" t="s">
        <v>64</v>
      </c>
      <c r="AX1" s="47" t="s">
        <v>65</v>
      </c>
      <c r="AY1" s="47" t="s">
        <v>66</v>
      </c>
      <c r="AZ1" s="47" t="s">
        <v>67</v>
      </c>
      <c r="BA1" s="47" t="s">
        <v>68</v>
      </c>
      <c r="BB1" s="47" t="s">
        <v>69</v>
      </c>
      <c r="BC1" s="47" t="s">
        <v>70</v>
      </c>
      <c r="BD1" s="47" t="s">
        <v>71</v>
      </c>
      <c r="BE1" s="47" t="s">
        <v>72</v>
      </c>
      <c r="BF1" s="47" t="s">
        <v>73</v>
      </c>
      <c r="BG1" s="47" t="s">
        <v>74</v>
      </c>
      <c r="BH1" s="47" t="s">
        <v>75</v>
      </c>
      <c r="BI1" s="47" t="s">
        <v>76</v>
      </c>
      <c r="BJ1" s="47" t="s">
        <v>77</v>
      </c>
      <c r="BK1" s="47" t="s">
        <v>78</v>
      </c>
      <c r="BL1" s="47" t="s">
        <v>79</v>
      </c>
      <c r="BM1" s="47" t="s">
        <v>80</v>
      </c>
      <c r="BN1" s="47" t="s">
        <v>81</v>
      </c>
      <c r="BO1" s="47" t="s">
        <v>82</v>
      </c>
      <c r="BP1" s="47" t="s">
        <v>83</v>
      </c>
      <c r="BQ1" s="47" t="s">
        <v>84</v>
      </c>
      <c r="BR1" s="47" t="s">
        <v>85</v>
      </c>
      <c r="BS1" s="47" t="s">
        <v>86</v>
      </c>
      <c r="BT1" s="47" t="s">
        <v>87</v>
      </c>
      <c r="BU1" s="47" t="s">
        <v>88</v>
      </c>
      <c r="BV1" s="47" t="s">
        <v>89</v>
      </c>
      <c r="BW1" s="52" t="s">
        <v>90</v>
      </c>
      <c r="BX1" s="52" t="s">
        <v>91</v>
      </c>
      <c r="BY1" s="52" t="s">
        <v>92</v>
      </c>
      <c r="BZ1" s="53" t="s">
        <v>93</v>
      </c>
      <c r="CA1" s="52" t="s">
        <v>94</v>
      </c>
      <c r="CB1" s="52" t="s">
        <v>95</v>
      </c>
      <c r="CC1" s="52" t="s">
        <v>96</v>
      </c>
      <c r="CD1" s="52" t="s">
        <v>97</v>
      </c>
      <c r="CE1" s="52" t="s">
        <v>98</v>
      </c>
      <c r="CF1" s="52" t="s">
        <v>99</v>
      </c>
      <c r="CG1" s="54">
        <f>'Year to Date Profitability Repo'!F3</f>
        <v>45999</v>
      </c>
    </row>
    <row r="2">
      <c r="A2" s="55">
        <v>2.00013453756657E14</v>
      </c>
      <c r="B2" s="56">
        <v>1.0</v>
      </c>
      <c r="C2" s="57">
        <v>1.09015177922183E14</v>
      </c>
      <c r="D2" s="58">
        <v>1.0</v>
      </c>
      <c r="F2" s="59" t="s">
        <v>100</v>
      </c>
      <c r="G2" s="60">
        <v>45807.0</v>
      </c>
      <c r="H2" s="58">
        <v>1.0</v>
      </c>
      <c r="I2" s="58" t="s">
        <v>101</v>
      </c>
      <c r="J2" s="61">
        <v>4.60776237725E11</v>
      </c>
      <c r="K2" s="62" t="s">
        <v>102</v>
      </c>
      <c r="L2" s="62">
        <v>2038710.0</v>
      </c>
      <c r="M2" s="63"/>
      <c r="N2" s="63"/>
      <c r="O2" s="62" t="s">
        <v>103</v>
      </c>
      <c r="P2" s="63"/>
      <c r="Q2" s="63"/>
      <c r="R2" s="62" t="s">
        <v>104</v>
      </c>
      <c r="S2" s="62">
        <v>33177.0</v>
      </c>
      <c r="T2" s="58" t="s">
        <v>105</v>
      </c>
      <c r="U2" s="59">
        <v>115.54</v>
      </c>
      <c r="V2" s="59">
        <v>100.42</v>
      </c>
      <c r="W2" s="58">
        <v>7.56</v>
      </c>
      <c r="X2" s="58">
        <v>7.0</v>
      </c>
      <c r="Y2" s="58">
        <v>107.98</v>
      </c>
      <c r="Z2" s="59">
        <v>0.0</v>
      </c>
      <c r="AA2" s="58">
        <v>0.0</v>
      </c>
      <c r="AB2" s="58">
        <v>0.0</v>
      </c>
      <c r="AC2" s="58">
        <v>0.0</v>
      </c>
      <c r="AD2" s="58">
        <v>0.0</v>
      </c>
      <c r="AE2" s="58">
        <v>0.0</v>
      </c>
      <c r="AF2" s="58">
        <v>0.0</v>
      </c>
      <c r="AG2" s="58">
        <v>0.0</v>
      </c>
      <c r="AH2" s="58">
        <v>0.0</v>
      </c>
      <c r="AI2" s="58">
        <v>0.0</v>
      </c>
      <c r="AJ2" s="58">
        <v>0.0</v>
      </c>
      <c r="AK2" s="58">
        <v>0.0</v>
      </c>
      <c r="AL2" s="58">
        <v>0.0</v>
      </c>
      <c r="AM2" s="58">
        <v>0.0</v>
      </c>
      <c r="AN2" s="58">
        <v>0.0</v>
      </c>
      <c r="AO2" s="58">
        <v>7.56</v>
      </c>
      <c r="AP2" s="58">
        <v>0.0</v>
      </c>
      <c r="AQ2" s="58">
        <v>0.0</v>
      </c>
      <c r="AR2" s="58">
        <v>0.0</v>
      </c>
      <c r="AS2" s="58">
        <v>0.0</v>
      </c>
      <c r="AT2" s="58">
        <v>0.0</v>
      </c>
      <c r="AU2" s="58">
        <v>0.0</v>
      </c>
      <c r="AV2" s="58">
        <v>0.0</v>
      </c>
      <c r="AW2" s="58">
        <v>0.0</v>
      </c>
      <c r="AX2" s="58">
        <v>0.0</v>
      </c>
      <c r="AY2" s="58">
        <v>0.0</v>
      </c>
      <c r="AZ2" s="58">
        <v>0.0</v>
      </c>
      <c r="BA2" s="58">
        <v>0.0</v>
      </c>
      <c r="BB2" s="58">
        <v>7.56</v>
      </c>
      <c r="BC2" s="58" t="s">
        <v>106</v>
      </c>
      <c r="BG2" s="58">
        <v>-10.8</v>
      </c>
      <c r="BH2" s="58" t="s">
        <v>107</v>
      </c>
      <c r="BI2" s="58" t="s">
        <v>108</v>
      </c>
      <c r="BJ2" s="58" t="s">
        <v>109</v>
      </c>
      <c r="BK2" s="58" t="s">
        <v>110</v>
      </c>
      <c r="BN2" s="58" t="s">
        <v>111</v>
      </c>
      <c r="BO2" s="58" t="s">
        <v>112</v>
      </c>
      <c r="BP2" s="58" t="s">
        <v>113</v>
      </c>
      <c r="BQ2" s="58" t="s">
        <v>114</v>
      </c>
      <c r="BR2" s="58">
        <v>3.24</v>
      </c>
      <c r="BW2" s="64" t="str">
        <f>if(OR(F2="SALE",F2="REFUNDED"),IFERROR(Vlookup(I2,'Listing SKU - Fill SKU Mapping'!A:C,3,false),"Map"),"")</f>
        <v>Keystone</v>
      </c>
      <c r="BX2" s="65" t="str">
        <f>IF(OR(F2="SALE",F2="REFUNDED")=TRUE,iferror(Vlookup(I2,'Listing SKU - Fill SKU Mapping'!A:B,2,false),"Map"),"")</f>
        <v>IMP445X</v>
      </c>
      <c r="BY2" s="65">
        <f>IF(OR(F2="SALE",F2="REFUNDED")=TRUE,iferror(Vlookup(I2,'Listing SKU - Fill SKU Mapping'!A:D,4,false),"Map"),"")</f>
        <v>49.71</v>
      </c>
      <c r="BZ2" s="66">
        <f t="shared" ref="BZ2:BZ492" si="1">If(BW2="Keystone",11.5,"")</f>
        <v>11.5</v>
      </c>
      <c r="CA2" s="66">
        <f t="shared" ref="CA2:CA492" si="2">IF(ISNUMBER(BY2)=TRUE,BY2+BZ2,"")</f>
        <v>61.21</v>
      </c>
      <c r="CB2" s="66">
        <f t="shared" ref="CB2:CB492" si="3">if(F2="SALE",V2-CA2,"")</f>
        <v>39.21</v>
      </c>
      <c r="CC2" s="65" t="str">
        <f>if(F2="REFUNDED",iferror(Vlookup(I2,'Listing SKU - Fill SKU Mapping'!A:B,2,false),"Map"),"")</f>
        <v/>
      </c>
      <c r="CD2" s="65" t="str">
        <f>if(F2="REFUNDED",iferror(Vlookup(I2,'Listing SKU - Fill SKU Mapping'!A:C,3,false),"Map"),"")</f>
        <v/>
      </c>
      <c r="CE2" s="64" t="str">
        <f t="shared" ref="CE2:CE492" si="4">TEXT(G2,"YYYY")</f>
        <v>2025</v>
      </c>
      <c r="CF2" s="64" t="str">
        <f t="shared" ref="CF2:CF492" si="5">TEXT(G2,"MMMM")</f>
        <v>May</v>
      </c>
      <c r="CG2" s="67" t="str">
        <f t="shared" ref="CG2:CG1000" si="6">IF(AND((G2-CG$1)&gt;=0,(G2-CG$1)&lt;=6), "This Week",IF(AND((G2-CG$1)&gt;=-7,(G2-CG$1)&lt;=-1), "Last Week",""))</f>
        <v/>
      </c>
    </row>
    <row r="3">
      <c r="A3" s="55">
        <v>2.00013452446032E14</v>
      </c>
      <c r="B3" s="56">
        <v>1.0</v>
      </c>
      <c r="C3" s="57">
        <v>1.09014451419163E14</v>
      </c>
      <c r="D3" s="58">
        <v>1.0</v>
      </c>
      <c r="F3" s="59" t="s">
        <v>100</v>
      </c>
      <c r="G3" s="60">
        <v>45804.0</v>
      </c>
      <c r="H3" s="58">
        <v>1.0</v>
      </c>
      <c r="I3" s="58" t="s">
        <v>115</v>
      </c>
      <c r="J3" s="61">
        <v>4.65595333719E11</v>
      </c>
      <c r="K3" s="62" t="s">
        <v>116</v>
      </c>
      <c r="L3" s="62">
        <v>2038710.0</v>
      </c>
      <c r="M3" s="63"/>
      <c r="N3" s="63"/>
      <c r="O3" s="62" t="s">
        <v>117</v>
      </c>
      <c r="P3" s="63"/>
      <c r="Q3" s="63"/>
      <c r="R3" s="62" t="s">
        <v>118</v>
      </c>
      <c r="S3" s="62">
        <v>21221.0</v>
      </c>
      <c r="T3" s="58" t="s">
        <v>105</v>
      </c>
      <c r="U3" s="59">
        <v>93.26</v>
      </c>
      <c r="V3" s="59">
        <v>81.82</v>
      </c>
      <c r="W3" s="58">
        <v>6.16</v>
      </c>
      <c r="X3" s="58">
        <v>7.0</v>
      </c>
      <c r="Y3" s="58">
        <v>87.98</v>
      </c>
      <c r="Z3" s="59">
        <v>0.0</v>
      </c>
      <c r="AA3" s="58">
        <v>0.0</v>
      </c>
      <c r="AB3" s="58">
        <v>0.0</v>
      </c>
      <c r="AC3" s="58">
        <v>0.0</v>
      </c>
      <c r="AD3" s="58">
        <v>0.0</v>
      </c>
      <c r="AE3" s="58">
        <v>0.0</v>
      </c>
      <c r="AF3" s="58">
        <v>0.0</v>
      </c>
      <c r="AG3" s="58">
        <v>0.0</v>
      </c>
      <c r="AH3" s="58">
        <v>0.0</v>
      </c>
      <c r="AI3" s="58">
        <v>0.0</v>
      </c>
      <c r="AJ3" s="58">
        <v>0.0</v>
      </c>
      <c r="AK3" s="58">
        <v>0.0</v>
      </c>
      <c r="AL3" s="58">
        <v>0.0</v>
      </c>
      <c r="AM3" s="58">
        <v>0.0</v>
      </c>
      <c r="AN3" s="58">
        <v>0.0</v>
      </c>
      <c r="AO3" s="58">
        <v>5.28</v>
      </c>
      <c r="AP3" s="58">
        <v>0.0</v>
      </c>
      <c r="AQ3" s="58">
        <v>0.0</v>
      </c>
      <c r="AR3" s="58">
        <v>0.0</v>
      </c>
      <c r="AS3" s="58">
        <v>0.0</v>
      </c>
      <c r="AT3" s="58">
        <v>0.0</v>
      </c>
      <c r="AU3" s="58">
        <v>0.0</v>
      </c>
      <c r="AV3" s="58">
        <v>0.0</v>
      </c>
      <c r="AW3" s="58">
        <v>0.0</v>
      </c>
      <c r="AX3" s="58">
        <v>0.0</v>
      </c>
      <c r="AY3" s="58">
        <v>0.0</v>
      </c>
      <c r="AZ3" s="58">
        <v>0.0</v>
      </c>
      <c r="BA3" s="58">
        <v>0.0</v>
      </c>
      <c r="BB3" s="58">
        <v>5.28</v>
      </c>
      <c r="BC3" s="58" t="s">
        <v>106</v>
      </c>
      <c r="BG3" s="58">
        <v>-8.8</v>
      </c>
      <c r="BH3" s="58" t="s">
        <v>107</v>
      </c>
      <c r="BI3" s="58" t="s">
        <v>108</v>
      </c>
      <c r="BJ3" s="58" t="s">
        <v>109</v>
      </c>
      <c r="BK3" s="58" t="s">
        <v>119</v>
      </c>
      <c r="BN3" s="58" t="s">
        <v>111</v>
      </c>
      <c r="BO3" s="58" t="s">
        <v>112</v>
      </c>
      <c r="BP3" s="58" t="s">
        <v>113</v>
      </c>
      <c r="BQ3" s="58" t="s">
        <v>114</v>
      </c>
      <c r="BR3" s="58">
        <v>2.64</v>
      </c>
      <c r="BW3" s="64" t="str">
        <f>if(OR(F3="SALE",F3="REFUNDED"),IFERROR(Vlookup(I3,'Listing SKU - Fill SKU Mapping'!A:C,3,false),"Map"),"")</f>
        <v>Keystone</v>
      </c>
      <c r="BX3" s="65" t="str">
        <f>IF(OR(F3="SALE",F3="REFUNDED")=TRUE,iferror(Vlookup(I3,'Listing SKU - Fill SKU Mapping'!A:B,2,false),"Map"),"")</f>
        <v>IMP457X</v>
      </c>
      <c r="BY3" s="64">
        <f>IF(OR(F3="SALE",F3="REFUNDED")=TRUE,iferror(Vlookup(I3,'Listing SKU - Fill SKU Mapping'!A:D,4,false),"Map"),"")</f>
        <v>49.71</v>
      </c>
      <c r="BZ3" s="66">
        <f t="shared" si="1"/>
        <v>11.5</v>
      </c>
      <c r="CA3" s="66">
        <f t="shared" si="2"/>
        <v>61.21</v>
      </c>
      <c r="CB3" s="66">
        <f t="shared" si="3"/>
        <v>20.61</v>
      </c>
      <c r="CC3" s="65" t="str">
        <f>if(F3="REFUNDED",iferror(Vlookup(I3,'Listing SKU - Fill SKU Mapping'!A:B,2,false),"Map"),"")</f>
        <v/>
      </c>
      <c r="CD3" s="65" t="str">
        <f>if(F3="REFUNDED",iferror(Vlookup(I3,'Listing SKU - Fill SKU Mapping'!A:C,3,false),"Map"),"")</f>
        <v/>
      </c>
      <c r="CE3" s="64" t="str">
        <f t="shared" si="4"/>
        <v>2025</v>
      </c>
      <c r="CF3" s="64" t="str">
        <f t="shared" si="5"/>
        <v>May</v>
      </c>
      <c r="CG3" s="64" t="str">
        <f t="shared" si="6"/>
        <v/>
      </c>
    </row>
    <row r="4">
      <c r="A4" s="55">
        <v>2.00013446882232E14</v>
      </c>
      <c r="B4" s="56">
        <v>1.0</v>
      </c>
      <c r="C4" s="57">
        <v>1.09014970676989E14</v>
      </c>
      <c r="D4" s="58">
        <v>1.0</v>
      </c>
      <c r="F4" s="59" t="s">
        <v>100</v>
      </c>
      <c r="G4" s="60">
        <v>45805.0</v>
      </c>
      <c r="H4" s="58">
        <v>1.0</v>
      </c>
      <c r="I4" s="58" t="s">
        <v>120</v>
      </c>
      <c r="J4" s="61">
        <v>4.67129945498E11</v>
      </c>
      <c r="K4" s="62" t="s">
        <v>121</v>
      </c>
      <c r="L4" s="62">
        <v>2038710.0</v>
      </c>
      <c r="M4" s="63"/>
      <c r="N4" s="63"/>
      <c r="O4" s="62" t="s">
        <v>122</v>
      </c>
      <c r="P4" s="63"/>
      <c r="Q4" s="63"/>
      <c r="R4" s="62" t="s">
        <v>123</v>
      </c>
      <c r="S4" s="62">
        <v>38225.0</v>
      </c>
      <c r="T4" s="58" t="s">
        <v>105</v>
      </c>
      <c r="U4" s="59">
        <v>73.51</v>
      </c>
      <c r="V4" s="59">
        <v>62.29</v>
      </c>
      <c r="W4" s="58">
        <v>4.69</v>
      </c>
      <c r="X4" s="58">
        <v>7.0</v>
      </c>
      <c r="Y4" s="58">
        <v>66.98</v>
      </c>
      <c r="Z4" s="59">
        <v>0.0</v>
      </c>
      <c r="AA4" s="58">
        <v>0.0</v>
      </c>
      <c r="AB4" s="58">
        <v>0.0</v>
      </c>
      <c r="AC4" s="58">
        <v>0.0</v>
      </c>
      <c r="AD4" s="58">
        <v>0.0</v>
      </c>
      <c r="AE4" s="58">
        <v>0.0</v>
      </c>
      <c r="AF4" s="58">
        <v>0.0</v>
      </c>
      <c r="AG4" s="58">
        <v>0.0</v>
      </c>
      <c r="AH4" s="58">
        <v>0.0</v>
      </c>
      <c r="AI4" s="58">
        <v>0.0</v>
      </c>
      <c r="AJ4" s="58">
        <v>0.0</v>
      </c>
      <c r="AK4" s="58">
        <v>0.0</v>
      </c>
      <c r="AL4" s="58">
        <v>0.0</v>
      </c>
      <c r="AM4" s="58">
        <v>0.0</v>
      </c>
      <c r="AN4" s="58">
        <v>0.0</v>
      </c>
      <c r="AO4" s="58">
        <v>6.53</v>
      </c>
      <c r="AP4" s="58">
        <v>0.0</v>
      </c>
      <c r="AQ4" s="58">
        <v>0.0</v>
      </c>
      <c r="AR4" s="58">
        <v>0.0</v>
      </c>
      <c r="AS4" s="58">
        <v>0.0</v>
      </c>
      <c r="AT4" s="58">
        <v>0.0</v>
      </c>
      <c r="AU4" s="58">
        <v>0.0</v>
      </c>
      <c r="AV4" s="58">
        <v>0.0</v>
      </c>
      <c r="AW4" s="58">
        <v>0.0</v>
      </c>
      <c r="AX4" s="58">
        <v>0.0</v>
      </c>
      <c r="AY4" s="58">
        <v>0.0</v>
      </c>
      <c r="AZ4" s="58">
        <v>0.0</v>
      </c>
      <c r="BA4" s="58">
        <v>0.0</v>
      </c>
      <c r="BB4" s="58">
        <v>6.53</v>
      </c>
      <c r="BC4" s="58" t="s">
        <v>106</v>
      </c>
      <c r="BG4" s="58">
        <v>-6.7</v>
      </c>
      <c r="BH4" s="58" t="s">
        <v>107</v>
      </c>
      <c r="BI4" s="58" t="s">
        <v>108</v>
      </c>
      <c r="BJ4" s="58" t="s">
        <v>109</v>
      </c>
      <c r="BK4" s="58" t="s">
        <v>119</v>
      </c>
      <c r="BN4" s="58" t="s">
        <v>111</v>
      </c>
      <c r="BO4" s="58" t="s">
        <v>112</v>
      </c>
      <c r="BP4" s="58" t="s">
        <v>113</v>
      </c>
      <c r="BQ4" s="58" t="s">
        <v>114</v>
      </c>
      <c r="BR4" s="58">
        <v>2.01</v>
      </c>
      <c r="BW4" s="64" t="str">
        <f>if(OR(F4="SALE",F4="REFUNDED"),IFERROR(Vlookup(I4,'Listing SKU - Fill SKU Mapping'!A:C,3,false),"Map"),"")</f>
        <v>Keystone</v>
      </c>
      <c r="BX4" s="65" t="str">
        <f>IF(OR(F4="SALE",F4="REFUNDED")=TRUE,iferror(Vlookup(I4,'Listing SKU - Fill SKU Mapping'!A:B,2,false),"Map"),"")</f>
        <v>51917S</v>
      </c>
      <c r="BY4" s="64">
        <f>IF(OR(F4="SALE",F4="REFUNDED")=TRUE,iferror(Vlookup(I4,'Listing SKU - Fill SKU Mapping'!A:D,4,false),"Map"),"")</f>
        <v>27.22</v>
      </c>
      <c r="BZ4" s="66">
        <f t="shared" si="1"/>
        <v>11.5</v>
      </c>
      <c r="CA4" s="66">
        <f t="shared" si="2"/>
        <v>38.72</v>
      </c>
      <c r="CB4" s="66">
        <f t="shared" si="3"/>
        <v>23.57</v>
      </c>
      <c r="CC4" s="65" t="str">
        <f>if(F4="REFUNDED",iferror(Vlookup(I4,'Listing SKU - Fill SKU Mapping'!A:B,2,false),"Map"),"")</f>
        <v/>
      </c>
      <c r="CD4" s="65" t="str">
        <f>if(F4="REFUNDED",iferror(Vlookup(I4,'Listing SKU - Fill SKU Mapping'!A:C,3,false),"Map"),"")</f>
        <v/>
      </c>
      <c r="CE4" s="64" t="str">
        <f t="shared" si="4"/>
        <v>2025</v>
      </c>
      <c r="CF4" s="64" t="str">
        <f t="shared" si="5"/>
        <v>May</v>
      </c>
      <c r="CG4" s="64" t="str">
        <f t="shared" si="6"/>
        <v/>
      </c>
    </row>
    <row r="5">
      <c r="A5" s="55">
        <v>2.00013323467099E14</v>
      </c>
      <c r="B5" s="56">
        <v>1.0</v>
      </c>
      <c r="C5" s="57">
        <v>1.09014553225598E14</v>
      </c>
      <c r="D5" s="58">
        <v>1.0</v>
      </c>
      <c r="F5" s="59" t="s">
        <v>100</v>
      </c>
      <c r="G5" s="60">
        <v>45804.0</v>
      </c>
      <c r="H5" s="58">
        <v>1.0</v>
      </c>
      <c r="I5" s="58" t="s">
        <v>124</v>
      </c>
      <c r="J5" s="61">
        <v>4.65595354127E11</v>
      </c>
      <c r="K5" s="62" t="s">
        <v>125</v>
      </c>
      <c r="L5" s="62">
        <v>2038710.0</v>
      </c>
      <c r="M5" s="63"/>
      <c r="N5" s="63"/>
      <c r="O5" s="62" t="s">
        <v>126</v>
      </c>
      <c r="P5" s="63"/>
      <c r="Q5" s="63"/>
      <c r="R5" s="62" t="s">
        <v>127</v>
      </c>
      <c r="S5" s="62">
        <v>28314.0</v>
      </c>
      <c r="T5" s="58" t="s">
        <v>105</v>
      </c>
      <c r="U5" s="59">
        <v>72.74</v>
      </c>
      <c r="V5" s="59">
        <v>63.22</v>
      </c>
      <c r="W5" s="58">
        <v>4.76</v>
      </c>
      <c r="X5" s="58">
        <v>7.0</v>
      </c>
      <c r="Y5" s="58">
        <v>67.98</v>
      </c>
      <c r="Z5" s="59">
        <v>0.0</v>
      </c>
      <c r="AA5" s="58">
        <v>0.0</v>
      </c>
      <c r="AB5" s="58">
        <v>0.0</v>
      </c>
      <c r="AC5" s="58">
        <v>0.0</v>
      </c>
      <c r="AD5" s="58">
        <v>0.0</v>
      </c>
      <c r="AE5" s="58">
        <v>0.0</v>
      </c>
      <c r="AF5" s="58">
        <v>0.0</v>
      </c>
      <c r="AG5" s="58">
        <v>0.0</v>
      </c>
      <c r="AH5" s="58">
        <v>0.0</v>
      </c>
      <c r="AI5" s="58">
        <v>0.0</v>
      </c>
      <c r="AJ5" s="58">
        <v>0.0</v>
      </c>
      <c r="AK5" s="58">
        <v>0.0</v>
      </c>
      <c r="AL5" s="58">
        <v>0.0</v>
      </c>
      <c r="AM5" s="58">
        <v>0.0</v>
      </c>
      <c r="AN5" s="58">
        <v>0.0</v>
      </c>
      <c r="AO5" s="58">
        <v>4.76</v>
      </c>
      <c r="AP5" s="58">
        <v>0.0</v>
      </c>
      <c r="AQ5" s="58">
        <v>0.0</v>
      </c>
      <c r="AR5" s="58">
        <v>0.0</v>
      </c>
      <c r="AS5" s="58">
        <v>0.0</v>
      </c>
      <c r="AT5" s="58">
        <v>0.0</v>
      </c>
      <c r="AU5" s="58">
        <v>0.0</v>
      </c>
      <c r="AV5" s="58">
        <v>0.0</v>
      </c>
      <c r="AW5" s="58">
        <v>0.0</v>
      </c>
      <c r="AX5" s="58">
        <v>0.0</v>
      </c>
      <c r="AY5" s="58">
        <v>0.0</v>
      </c>
      <c r="AZ5" s="58">
        <v>0.0</v>
      </c>
      <c r="BA5" s="58">
        <v>0.0</v>
      </c>
      <c r="BB5" s="58">
        <v>4.76</v>
      </c>
      <c r="BC5" s="58" t="s">
        <v>106</v>
      </c>
      <c r="BG5" s="58">
        <v>-6.8</v>
      </c>
      <c r="BH5" s="58" t="s">
        <v>107</v>
      </c>
      <c r="BI5" s="58" t="s">
        <v>108</v>
      </c>
      <c r="BJ5" s="58" t="s">
        <v>109</v>
      </c>
      <c r="BK5" s="58" t="s">
        <v>119</v>
      </c>
      <c r="BN5" s="58" t="s">
        <v>111</v>
      </c>
      <c r="BO5" s="58" t="s">
        <v>112</v>
      </c>
      <c r="BP5" s="58" t="s">
        <v>113</v>
      </c>
      <c r="BQ5" s="58" t="s">
        <v>114</v>
      </c>
      <c r="BR5" s="58">
        <v>2.04</v>
      </c>
      <c r="BW5" s="64" t="str">
        <f>if(OR(F5="SALE",F5="REFUNDED"),IFERROR(Vlookup(I5,'Listing SKU - Fill SKU Mapping'!A:C,3,false),"Map"),"")</f>
        <v>Keystone</v>
      </c>
      <c r="BX5" s="65" t="str">
        <f>IF(OR(F5="SALE",F5="REFUNDED")=TRUE,iferror(Vlookup(I5,'Listing SKU - Fill SKU Mapping'!A:B,2,false),"Map"),"")</f>
        <v>IMP472BLK</v>
      </c>
      <c r="BY5" s="64">
        <f>IF(OR(F5="SALE",F5="REFUNDED")=TRUE,iferror(Vlookup(I5,'Listing SKU - Fill SKU Mapping'!A:D,4,false),"Map"),"")</f>
        <v>48.52</v>
      </c>
      <c r="BZ5" s="66">
        <f t="shared" si="1"/>
        <v>11.5</v>
      </c>
      <c r="CA5" s="66">
        <f t="shared" si="2"/>
        <v>60.02</v>
      </c>
      <c r="CB5" s="66">
        <f t="shared" si="3"/>
        <v>3.2</v>
      </c>
      <c r="CC5" s="65" t="str">
        <f>if(F5="REFUNDED",iferror(Vlookup(I5,'Listing SKU - Fill SKU Mapping'!A:B,2,false),"Map"),"")</f>
        <v/>
      </c>
      <c r="CD5" s="65" t="str">
        <f>if(F5="REFUNDED",iferror(Vlookup(I5,'Listing SKU - Fill SKU Mapping'!A:C,3,false),"Map"),"")</f>
        <v/>
      </c>
      <c r="CE5" s="64" t="str">
        <f t="shared" si="4"/>
        <v>2025</v>
      </c>
      <c r="CF5" s="64" t="str">
        <f t="shared" si="5"/>
        <v>May</v>
      </c>
      <c r="CG5" s="64" t="str">
        <f t="shared" si="6"/>
        <v/>
      </c>
    </row>
    <row r="6">
      <c r="A6" s="55">
        <v>2.00013323467099E14</v>
      </c>
      <c r="B6" s="56">
        <v>1.0</v>
      </c>
      <c r="C6" s="57">
        <v>1.09014553225598E14</v>
      </c>
      <c r="D6" s="58">
        <v>1.0</v>
      </c>
      <c r="F6" s="59" t="s">
        <v>128</v>
      </c>
      <c r="G6" s="60">
        <v>45804.0</v>
      </c>
      <c r="H6" s="58">
        <v>1.0</v>
      </c>
      <c r="I6" s="58" t="s">
        <v>124</v>
      </c>
      <c r="J6" s="61">
        <v>4.65595354127E11</v>
      </c>
      <c r="K6" s="62" t="s">
        <v>125</v>
      </c>
      <c r="L6" s="62">
        <v>2038710.0</v>
      </c>
      <c r="M6" s="63"/>
      <c r="N6" s="63"/>
      <c r="O6" s="63"/>
      <c r="P6" s="63"/>
      <c r="Q6" s="63"/>
      <c r="R6" s="62" t="s">
        <v>127</v>
      </c>
      <c r="S6" s="62">
        <v>28314.0</v>
      </c>
      <c r="U6" s="59">
        <v>-72.74</v>
      </c>
      <c r="V6" s="59">
        <v>-63.22</v>
      </c>
      <c r="W6" s="58">
        <v>-4.76</v>
      </c>
      <c r="X6" s="58">
        <v>0.0</v>
      </c>
      <c r="Y6" s="58">
        <v>0.0</v>
      </c>
      <c r="Z6" s="59">
        <v>-67.98</v>
      </c>
      <c r="AA6" s="58">
        <v>0.0</v>
      </c>
      <c r="AB6" s="58">
        <v>0.0</v>
      </c>
      <c r="AC6" s="58">
        <v>0.0</v>
      </c>
      <c r="AD6" s="58">
        <v>0.0</v>
      </c>
      <c r="AE6" s="58">
        <v>0.0</v>
      </c>
      <c r="AF6" s="58">
        <v>0.0</v>
      </c>
      <c r="AG6" s="58">
        <v>0.0</v>
      </c>
      <c r="AH6" s="58">
        <v>0.0</v>
      </c>
      <c r="AI6" s="58">
        <v>0.0</v>
      </c>
      <c r="AJ6" s="58">
        <v>0.0</v>
      </c>
      <c r="AK6" s="58">
        <v>0.0</v>
      </c>
      <c r="AL6" s="58">
        <v>0.0</v>
      </c>
      <c r="AM6" s="58">
        <v>0.0</v>
      </c>
      <c r="AN6" s="58">
        <v>0.0</v>
      </c>
      <c r="AO6" s="58">
        <v>0.0</v>
      </c>
      <c r="AP6" s="58">
        <v>0.0</v>
      </c>
      <c r="AQ6" s="58">
        <v>0.0</v>
      </c>
      <c r="AR6" s="58">
        <v>0.0</v>
      </c>
      <c r="AS6" s="58">
        <v>0.0</v>
      </c>
      <c r="AT6" s="58">
        <v>-4.76</v>
      </c>
      <c r="AU6" s="58">
        <v>0.0</v>
      </c>
      <c r="AV6" s="58">
        <v>0.0</v>
      </c>
      <c r="AW6" s="58">
        <v>0.0</v>
      </c>
      <c r="AX6" s="58">
        <v>0.0</v>
      </c>
      <c r="AY6" s="58">
        <v>0.0</v>
      </c>
      <c r="AZ6" s="58">
        <v>0.0</v>
      </c>
      <c r="BA6" s="58">
        <v>0.0</v>
      </c>
      <c r="BB6" s="58">
        <v>-4.76</v>
      </c>
      <c r="BC6" s="58" t="s">
        <v>106</v>
      </c>
      <c r="BD6" s="58" t="s">
        <v>129</v>
      </c>
      <c r="BE6" s="58">
        <v>5009.0</v>
      </c>
      <c r="BH6" s="58" t="s">
        <v>107</v>
      </c>
      <c r="BI6" s="58" t="s">
        <v>108</v>
      </c>
      <c r="BL6" s="58">
        <v>1000.0</v>
      </c>
      <c r="BM6" s="58" t="s">
        <v>130</v>
      </c>
      <c r="BN6" s="58" t="s">
        <v>111</v>
      </c>
      <c r="BO6" s="58" t="s">
        <v>112</v>
      </c>
      <c r="BW6" s="64" t="str">
        <f>if(OR(F6="SALE",F6="REFUNDED"),IFERROR(Vlookup(I6,'Listing SKU - Fill SKU Mapping'!A:C,3,false),"Map"),"")</f>
        <v>Keystone</v>
      </c>
      <c r="BX6" s="65" t="str">
        <f>IF(OR(F6="SALE",F6="REFUNDED")=TRUE,iferror(Vlookup(I6,'Listing SKU - Fill SKU Mapping'!A:B,2,false),"Map"),"")</f>
        <v>IMP472BLK</v>
      </c>
      <c r="BY6" s="64">
        <f>IF(OR(F6="SALE",F6="REFUNDED")=TRUE,iferror(Vlookup(I6,'Listing SKU - Fill SKU Mapping'!A:D,4,false),"Map"),"")</f>
        <v>48.52</v>
      </c>
      <c r="BZ6" s="66">
        <f t="shared" si="1"/>
        <v>11.5</v>
      </c>
      <c r="CA6" s="66">
        <f t="shared" si="2"/>
        <v>60.02</v>
      </c>
      <c r="CB6" s="64" t="str">
        <f t="shared" si="3"/>
        <v/>
      </c>
      <c r="CC6" s="65" t="str">
        <f>if(F6="REFUNDED",iferror(Vlookup(I6,'Listing SKU - Fill SKU Mapping'!A:B,2,false),"Map"),"")</f>
        <v>IMP472BLK</v>
      </c>
      <c r="CD6" s="65" t="str">
        <f>if(F6="REFUNDED",iferror(Vlookup(I6,'Listing SKU - Fill SKU Mapping'!A:C,3,false),"Map"),"")</f>
        <v>Keystone</v>
      </c>
      <c r="CE6" s="64" t="str">
        <f t="shared" si="4"/>
        <v>2025</v>
      </c>
      <c r="CF6" s="64" t="str">
        <f t="shared" si="5"/>
        <v>May</v>
      </c>
      <c r="CG6" s="64" t="str">
        <f t="shared" si="6"/>
        <v/>
      </c>
    </row>
    <row r="7">
      <c r="A7" s="55">
        <v>2.00013260994642E14</v>
      </c>
      <c r="B7" s="56">
        <v>1.0</v>
      </c>
      <c r="C7" s="57">
        <v>1.09015075316005E14</v>
      </c>
      <c r="D7" s="58">
        <v>1.0</v>
      </c>
      <c r="F7" s="59" t="s">
        <v>100</v>
      </c>
      <c r="G7" s="60">
        <v>45806.0</v>
      </c>
      <c r="H7" s="58">
        <v>1.0</v>
      </c>
      <c r="I7" s="58" t="s">
        <v>131</v>
      </c>
      <c r="J7" s="61">
        <v>4.69971001575E11</v>
      </c>
      <c r="K7" s="62" t="s">
        <v>132</v>
      </c>
      <c r="L7" s="62">
        <v>2038710.0</v>
      </c>
      <c r="M7" s="63"/>
      <c r="N7" s="63"/>
      <c r="O7" s="62" t="s">
        <v>133</v>
      </c>
      <c r="P7" s="63"/>
      <c r="Q7" s="63"/>
      <c r="R7" s="62" t="s">
        <v>134</v>
      </c>
      <c r="S7" s="62">
        <v>1020.0</v>
      </c>
      <c r="T7" s="58" t="s">
        <v>105</v>
      </c>
      <c r="U7" s="59">
        <v>50.98</v>
      </c>
      <c r="V7" s="59">
        <v>44.62</v>
      </c>
      <c r="W7" s="58">
        <v>3.36</v>
      </c>
      <c r="X7" s="58">
        <v>7.0</v>
      </c>
      <c r="Y7" s="58">
        <v>47.98</v>
      </c>
      <c r="Z7" s="59">
        <v>0.0</v>
      </c>
      <c r="AA7" s="58">
        <v>0.0</v>
      </c>
      <c r="AB7" s="58">
        <v>0.0</v>
      </c>
      <c r="AC7" s="58">
        <v>0.0</v>
      </c>
      <c r="AD7" s="58">
        <v>0.0</v>
      </c>
      <c r="AE7" s="58">
        <v>0.0</v>
      </c>
      <c r="AF7" s="58">
        <v>0.0</v>
      </c>
      <c r="AG7" s="58">
        <v>0.0</v>
      </c>
      <c r="AH7" s="58">
        <v>0.0</v>
      </c>
      <c r="AI7" s="58">
        <v>0.0</v>
      </c>
      <c r="AJ7" s="58">
        <v>0.0</v>
      </c>
      <c r="AK7" s="58">
        <v>0.0</v>
      </c>
      <c r="AL7" s="58">
        <v>0.0</v>
      </c>
      <c r="AM7" s="58">
        <v>0.0</v>
      </c>
      <c r="AN7" s="58">
        <v>0.0</v>
      </c>
      <c r="AO7" s="58">
        <v>3.0</v>
      </c>
      <c r="AP7" s="58">
        <v>0.0</v>
      </c>
      <c r="AQ7" s="58">
        <v>0.0</v>
      </c>
      <c r="AR7" s="58">
        <v>0.0</v>
      </c>
      <c r="AS7" s="58">
        <v>0.0</v>
      </c>
      <c r="AT7" s="58">
        <v>0.0</v>
      </c>
      <c r="AU7" s="58">
        <v>0.0</v>
      </c>
      <c r="AV7" s="58">
        <v>0.0</v>
      </c>
      <c r="AW7" s="58">
        <v>0.0</v>
      </c>
      <c r="AX7" s="58">
        <v>0.0</v>
      </c>
      <c r="AY7" s="58">
        <v>0.0</v>
      </c>
      <c r="AZ7" s="58">
        <v>0.0</v>
      </c>
      <c r="BA7" s="58">
        <v>0.0</v>
      </c>
      <c r="BB7" s="58">
        <v>3.0</v>
      </c>
      <c r="BC7" s="58" t="s">
        <v>106</v>
      </c>
      <c r="BG7" s="58">
        <v>-4.8</v>
      </c>
      <c r="BH7" s="58" t="s">
        <v>107</v>
      </c>
      <c r="BI7" s="58" t="s">
        <v>108</v>
      </c>
      <c r="BJ7" s="58" t="s">
        <v>109</v>
      </c>
      <c r="BK7" s="58" t="s">
        <v>119</v>
      </c>
      <c r="BN7" s="58" t="s">
        <v>111</v>
      </c>
      <c r="BO7" s="58" t="s">
        <v>112</v>
      </c>
      <c r="BP7" s="58" t="s">
        <v>113</v>
      </c>
      <c r="BQ7" s="58" t="s">
        <v>114</v>
      </c>
      <c r="BR7" s="58">
        <v>1.44</v>
      </c>
      <c r="BW7" s="64" t="str">
        <f>if(OR(F7="SALE",F7="REFUNDED"),IFERROR(Vlookup(I7,'Listing SKU - Fill SKU Mapping'!A:C,3,false),"Map"),"")</f>
        <v>Keystone</v>
      </c>
      <c r="BX7" s="65" t="str">
        <f>IF(OR(F7="SALE",F7="REFUNDED")=TRUE,iferror(Vlookup(I7,'Listing SKU - Fill SKU Mapping'!A:B,2,false),"Map"),"")</f>
        <v>43615S</v>
      </c>
      <c r="BY7" s="64">
        <f>IF(OR(F7="SALE",F7="REFUNDED")=TRUE,iferror(Vlookup(I7,'Listing SKU - Fill SKU Mapping'!A:D,4,false),"Map"),"")</f>
        <v>14.99</v>
      </c>
      <c r="BZ7" s="66">
        <f t="shared" si="1"/>
        <v>11.5</v>
      </c>
      <c r="CA7" s="66">
        <f t="shared" si="2"/>
        <v>26.49</v>
      </c>
      <c r="CB7" s="66">
        <f t="shared" si="3"/>
        <v>18.13</v>
      </c>
      <c r="CC7" s="65" t="str">
        <f>if(F7="REFUNDED",iferror(Vlookup(I7,'Listing SKU - Fill SKU Mapping'!A:B,2,false),"Map"),"")</f>
        <v/>
      </c>
      <c r="CD7" s="65" t="str">
        <f>if(F7="REFUNDED",iferror(Vlookup(I7,'Listing SKU - Fill SKU Mapping'!A:C,3,false),"Map"),"")</f>
        <v/>
      </c>
      <c r="CE7" s="64" t="str">
        <f t="shared" si="4"/>
        <v>2025</v>
      </c>
      <c r="CF7" s="64" t="str">
        <f t="shared" si="5"/>
        <v>May</v>
      </c>
      <c r="CG7" s="64" t="str">
        <f t="shared" si="6"/>
        <v/>
      </c>
    </row>
    <row r="8">
      <c r="A8" s="55">
        <v>2.00013238424317E14</v>
      </c>
      <c r="B8" s="56">
        <v>1.0</v>
      </c>
      <c r="C8" s="57">
        <v>1.09015074290606E14</v>
      </c>
      <c r="D8" s="58">
        <v>1.0</v>
      </c>
      <c r="F8" s="59" t="s">
        <v>100</v>
      </c>
      <c r="G8" s="60">
        <v>45806.0</v>
      </c>
      <c r="H8" s="58">
        <v>1.0</v>
      </c>
      <c r="I8" s="58" t="s">
        <v>135</v>
      </c>
      <c r="J8" s="61">
        <v>4.60776238333E11</v>
      </c>
      <c r="K8" s="62" t="s">
        <v>136</v>
      </c>
      <c r="L8" s="62">
        <v>2038710.0</v>
      </c>
      <c r="M8" s="63"/>
      <c r="N8" s="63"/>
      <c r="O8" s="62" t="s">
        <v>137</v>
      </c>
      <c r="P8" s="63"/>
      <c r="Q8" s="63"/>
      <c r="R8" s="62" t="s">
        <v>138</v>
      </c>
      <c r="S8" s="62">
        <v>44001.0</v>
      </c>
      <c r="T8" s="58" t="s">
        <v>105</v>
      </c>
      <c r="U8" s="59">
        <v>105.41</v>
      </c>
      <c r="V8" s="59">
        <v>92.05</v>
      </c>
      <c r="W8" s="58">
        <v>6.93</v>
      </c>
      <c r="X8" s="58">
        <v>7.0</v>
      </c>
      <c r="Y8" s="58">
        <v>98.98</v>
      </c>
      <c r="Z8" s="59">
        <v>0.0</v>
      </c>
      <c r="AA8" s="58">
        <v>0.0</v>
      </c>
      <c r="AB8" s="58">
        <v>0.0</v>
      </c>
      <c r="AC8" s="58">
        <v>0.0</v>
      </c>
      <c r="AD8" s="58">
        <v>0.0</v>
      </c>
      <c r="AE8" s="58">
        <v>0.0</v>
      </c>
      <c r="AF8" s="58">
        <v>0.0</v>
      </c>
      <c r="AG8" s="58">
        <v>0.0</v>
      </c>
      <c r="AH8" s="58">
        <v>0.0</v>
      </c>
      <c r="AI8" s="58">
        <v>0.0</v>
      </c>
      <c r="AJ8" s="58">
        <v>0.0</v>
      </c>
      <c r="AK8" s="58">
        <v>0.0</v>
      </c>
      <c r="AL8" s="58">
        <v>0.0</v>
      </c>
      <c r="AM8" s="58">
        <v>0.0</v>
      </c>
      <c r="AN8" s="58">
        <v>0.0</v>
      </c>
      <c r="AO8" s="58">
        <v>6.43</v>
      </c>
      <c r="AP8" s="58">
        <v>0.0</v>
      </c>
      <c r="AQ8" s="58">
        <v>0.0</v>
      </c>
      <c r="AR8" s="58">
        <v>0.0</v>
      </c>
      <c r="AS8" s="58">
        <v>0.0</v>
      </c>
      <c r="AT8" s="58">
        <v>0.0</v>
      </c>
      <c r="AU8" s="58">
        <v>0.0</v>
      </c>
      <c r="AV8" s="58">
        <v>0.0</v>
      </c>
      <c r="AW8" s="58">
        <v>0.0</v>
      </c>
      <c r="AX8" s="58">
        <v>0.0</v>
      </c>
      <c r="AY8" s="58">
        <v>0.0</v>
      </c>
      <c r="AZ8" s="58">
        <v>0.0</v>
      </c>
      <c r="BA8" s="58">
        <v>0.0</v>
      </c>
      <c r="BB8" s="58">
        <v>6.43</v>
      </c>
      <c r="BC8" s="58" t="s">
        <v>106</v>
      </c>
      <c r="BG8" s="58">
        <v>-9.9</v>
      </c>
      <c r="BH8" s="58" t="s">
        <v>107</v>
      </c>
      <c r="BI8" s="58" t="s">
        <v>108</v>
      </c>
      <c r="BJ8" s="58" t="s">
        <v>109</v>
      </c>
      <c r="BK8" s="58" t="s">
        <v>119</v>
      </c>
      <c r="BN8" s="58" t="s">
        <v>111</v>
      </c>
      <c r="BO8" s="58" t="s">
        <v>112</v>
      </c>
      <c r="BP8" s="58" t="s">
        <v>113</v>
      </c>
      <c r="BQ8" s="58" t="s">
        <v>114</v>
      </c>
      <c r="BR8" s="58">
        <v>2.97</v>
      </c>
      <c r="BW8" s="64" t="str">
        <f>if(OR(F8="SALE",F8="REFUNDED"),IFERROR(Vlookup(I8,'Listing SKU - Fill SKU Mapping'!A:C,3,false),"Map"),"")</f>
        <v>Keystone</v>
      </c>
      <c r="BX8" s="65" t="str">
        <f>IF(OR(F8="SALE",F8="REFUNDED")=TRUE,iferror(Vlookup(I8,'Listing SKU - Fill SKU Mapping'!A:B,2,false),"Map"),"")</f>
        <v>IMP371X</v>
      </c>
      <c r="BY8" s="64">
        <f>IF(OR(F8="SALE",F8="REFUNDED")=TRUE,iferror(Vlookup(I8,'Listing SKU - Fill SKU Mapping'!A:D,4,false),"Map"),"")</f>
        <v>43.79</v>
      </c>
      <c r="BZ8" s="66">
        <f t="shared" si="1"/>
        <v>11.5</v>
      </c>
      <c r="CA8" s="66">
        <f t="shared" si="2"/>
        <v>55.29</v>
      </c>
      <c r="CB8" s="66">
        <f t="shared" si="3"/>
        <v>36.76</v>
      </c>
      <c r="CC8" s="65" t="str">
        <f>if(F8="REFUNDED",iferror(Vlookup(I8,'Listing SKU - Fill SKU Mapping'!A:B,2,false),"Map"),"")</f>
        <v/>
      </c>
      <c r="CD8" s="65" t="str">
        <f>if(F8="REFUNDED",iferror(Vlookup(I8,'Listing SKU - Fill SKU Mapping'!A:C,3,false),"Map"),"")</f>
        <v/>
      </c>
      <c r="CE8" s="64" t="str">
        <f t="shared" si="4"/>
        <v>2025</v>
      </c>
      <c r="CF8" s="64" t="str">
        <f t="shared" si="5"/>
        <v>May</v>
      </c>
      <c r="CG8" s="64" t="str">
        <f t="shared" si="6"/>
        <v/>
      </c>
    </row>
    <row r="9">
      <c r="A9" s="55">
        <v>2.00013169413632E14</v>
      </c>
      <c r="B9" s="56">
        <v>1.0</v>
      </c>
      <c r="C9" s="57">
        <v>1.09014759518921E14</v>
      </c>
      <c r="D9" s="58">
        <v>1.0</v>
      </c>
      <c r="F9" s="59" t="s">
        <v>128</v>
      </c>
      <c r="G9" s="60">
        <v>45805.0</v>
      </c>
      <c r="H9" s="58">
        <v>1.0</v>
      </c>
      <c r="I9" s="58" t="s">
        <v>139</v>
      </c>
      <c r="J9" s="61">
        <v>4.65595320771E11</v>
      </c>
      <c r="K9" s="62" t="s">
        <v>140</v>
      </c>
      <c r="L9" s="62">
        <v>2038710.0</v>
      </c>
      <c r="M9" s="63"/>
      <c r="N9" s="63"/>
      <c r="O9" s="63"/>
      <c r="P9" s="63"/>
      <c r="Q9" s="63"/>
      <c r="R9" s="62" t="s">
        <v>141</v>
      </c>
      <c r="S9" s="62">
        <v>70125.0</v>
      </c>
      <c r="U9" s="59">
        <v>-71.92</v>
      </c>
      <c r="V9" s="59">
        <v>-61.36</v>
      </c>
      <c r="W9" s="58">
        <v>-4.62</v>
      </c>
      <c r="X9" s="58">
        <v>0.0</v>
      </c>
      <c r="Y9" s="58">
        <v>0.0</v>
      </c>
      <c r="Z9" s="59">
        <v>-65.98</v>
      </c>
      <c r="AA9" s="58">
        <v>0.0</v>
      </c>
      <c r="AB9" s="58">
        <v>0.0</v>
      </c>
      <c r="AC9" s="58">
        <v>0.0</v>
      </c>
      <c r="AD9" s="58">
        <v>0.0</v>
      </c>
      <c r="AE9" s="58">
        <v>0.0</v>
      </c>
      <c r="AF9" s="58">
        <v>0.0</v>
      </c>
      <c r="AG9" s="58">
        <v>0.0</v>
      </c>
      <c r="AH9" s="58">
        <v>0.0</v>
      </c>
      <c r="AI9" s="58">
        <v>0.0</v>
      </c>
      <c r="AJ9" s="58">
        <v>0.0</v>
      </c>
      <c r="AK9" s="58">
        <v>0.0</v>
      </c>
      <c r="AL9" s="58">
        <v>0.0</v>
      </c>
      <c r="AM9" s="58">
        <v>0.0</v>
      </c>
      <c r="AN9" s="58">
        <v>0.0</v>
      </c>
      <c r="AO9" s="58">
        <v>0.0</v>
      </c>
      <c r="AP9" s="58">
        <v>0.0</v>
      </c>
      <c r="AQ9" s="58">
        <v>0.0</v>
      </c>
      <c r="AR9" s="58">
        <v>0.0</v>
      </c>
      <c r="AS9" s="58">
        <v>0.0</v>
      </c>
      <c r="AT9" s="58">
        <v>-5.94</v>
      </c>
      <c r="AU9" s="58">
        <v>0.0</v>
      </c>
      <c r="AV9" s="58">
        <v>0.0</v>
      </c>
      <c r="AW9" s="58">
        <v>0.0</v>
      </c>
      <c r="AX9" s="58">
        <v>0.0</v>
      </c>
      <c r="AY9" s="58">
        <v>0.0</v>
      </c>
      <c r="AZ9" s="58">
        <v>0.0</v>
      </c>
      <c r="BA9" s="58">
        <v>0.0</v>
      </c>
      <c r="BB9" s="58">
        <v>-5.94</v>
      </c>
      <c r="BC9" s="58" t="s">
        <v>106</v>
      </c>
      <c r="BD9" s="58" t="s">
        <v>129</v>
      </c>
      <c r="BE9" s="58">
        <v>5009.0</v>
      </c>
      <c r="BH9" s="58" t="s">
        <v>107</v>
      </c>
      <c r="BI9" s="58" t="s">
        <v>108</v>
      </c>
      <c r="BL9" s="58">
        <v>1000.0</v>
      </c>
      <c r="BM9" s="58" t="s">
        <v>130</v>
      </c>
      <c r="BN9" s="58" t="s">
        <v>111</v>
      </c>
      <c r="BO9" s="58" t="s">
        <v>112</v>
      </c>
      <c r="BW9" s="64" t="str">
        <f>if(OR(F9="SALE",F9="REFUNDED"),IFERROR(Vlookup(I9,'Listing SKU - Fill SKU Mapping'!A:C,3,false),"Map"),"")</f>
        <v>Keystone</v>
      </c>
      <c r="BX9" s="65" t="str">
        <f>IF(OR(F9="SALE",F9="REFUNDED")=TRUE,iferror(Vlookup(I9,'Listing SKU - Fill SKU Mapping'!A:B,2,false),"Map"),"")</f>
        <v>IMP466BLK</v>
      </c>
      <c r="BY9" s="64">
        <f>IF(OR(F9="SALE",F9="REFUNDED")=TRUE,iferror(Vlookup(I9,'Listing SKU - Fill SKU Mapping'!A:D,4,false),"Map"),"")</f>
        <v>62.33</v>
      </c>
      <c r="BZ9" s="66">
        <f t="shared" si="1"/>
        <v>11.5</v>
      </c>
      <c r="CA9" s="66">
        <f t="shared" si="2"/>
        <v>73.83</v>
      </c>
      <c r="CB9" s="64" t="str">
        <f t="shared" si="3"/>
        <v/>
      </c>
      <c r="CC9" s="65" t="str">
        <f>if(F9="REFUNDED",iferror(Vlookup(I9,'Listing SKU - Fill SKU Mapping'!A:B,2,false),"Map"),"")</f>
        <v>IMP466BLK</v>
      </c>
      <c r="CD9" s="65" t="str">
        <f>if(F9="REFUNDED",iferror(Vlookup(I9,'Listing SKU - Fill SKU Mapping'!A:C,3,false),"Map"),"")</f>
        <v>Keystone</v>
      </c>
      <c r="CE9" s="64" t="str">
        <f t="shared" si="4"/>
        <v>2025</v>
      </c>
      <c r="CF9" s="64" t="str">
        <f t="shared" si="5"/>
        <v>May</v>
      </c>
      <c r="CG9" s="64" t="str">
        <f t="shared" si="6"/>
        <v/>
      </c>
    </row>
    <row r="10">
      <c r="A10" s="55">
        <v>2.00013169413632E14</v>
      </c>
      <c r="B10" s="56">
        <v>1.0</v>
      </c>
      <c r="C10" s="57">
        <v>1.09014759518921E14</v>
      </c>
      <c r="D10" s="58">
        <v>1.0</v>
      </c>
      <c r="F10" s="59" t="s">
        <v>100</v>
      </c>
      <c r="G10" s="60">
        <v>45804.0</v>
      </c>
      <c r="H10" s="58">
        <v>1.0</v>
      </c>
      <c r="I10" s="58" t="s">
        <v>139</v>
      </c>
      <c r="J10" s="61">
        <v>4.65595320771E11</v>
      </c>
      <c r="K10" s="62" t="s">
        <v>140</v>
      </c>
      <c r="L10" s="62">
        <v>2038710.0</v>
      </c>
      <c r="M10" s="63"/>
      <c r="N10" s="63"/>
      <c r="O10" s="62" t="s">
        <v>142</v>
      </c>
      <c r="P10" s="63"/>
      <c r="Q10" s="63"/>
      <c r="R10" s="62" t="s">
        <v>141</v>
      </c>
      <c r="S10" s="62">
        <v>70125.0</v>
      </c>
      <c r="T10" s="58" t="s">
        <v>105</v>
      </c>
      <c r="U10" s="59">
        <v>71.92</v>
      </c>
      <c r="V10" s="59">
        <v>61.36</v>
      </c>
      <c r="W10" s="58">
        <v>4.62</v>
      </c>
      <c r="X10" s="58">
        <v>7.0</v>
      </c>
      <c r="Y10" s="58">
        <v>65.98</v>
      </c>
      <c r="Z10" s="59">
        <v>0.0</v>
      </c>
      <c r="AA10" s="58">
        <v>0.0</v>
      </c>
      <c r="AB10" s="58">
        <v>0.0</v>
      </c>
      <c r="AC10" s="58">
        <v>0.0</v>
      </c>
      <c r="AD10" s="58">
        <v>0.0</v>
      </c>
      <c r="AE10" s="58">
        <v>0.0</v>
      </c>
      <c r="AF10" s="58">
        <v>0.0</v>
      </c>
      <c r="AG10" s="58">
        <v>0.0</v>
      </c>
      <c r="AH10" s="58">
        <v>0.0</v>
      </c>
      <c r="AI10" s="58">
        <v>0.0</v>
      </c>
      <c r="AJ10" s="58">
        <v>0.0</v>
      </c>
      <c r="AK10" s="58">
        <v>0.0</v>
      </c>
      <c r="AL10" s="58">
        <v>0.0</v>
      </c>
      <c r="AM10" s="58">
        <v>0.0</v>
      </c>
      <c r="AN10" s="58">
        <v>0.0</v>
      </c>
      <c r="AO10" s="58">
        <v>5.94</v>
      </c>
      <c r="AP10" s="58">
        <v>0.0</v>
      </c>
      <c r="AQ10" s="58">
        <v>0.0</v>
      </c>
      <c r="AR10" s="58">
        <v>0.0</v>
      </c>
      <c r="AS10" s="58">
        <v>0.0</v>
      </c>
      <c r="AT10" s="58">
        <v>0.0</v>
      </c>
      <c r="AU10" s="58">
        <v>0.0</v>
      </c>
      <c r="AV10" s="58">
        <v>0.0</v>
      </c>
      <c r="AW10" s="58">
        <v>0.0</v>
      </c>
      <c r="AX10" s="58">
        <v>0.0</v>
      </c>
      <c r="AY10" s="58">
        <v>0.0</v>
      </c>
      <c r="AZ10" s="58">
        <v>0.0</v>
      </c>
      <c r="BA10" s="58">
        <v>0.0</v>
      </c>
      <c r="BB10" s="58">
        <v>5.94</v>
      </c>
      <c r="BC10" s="58" t="s">
        <v>106</v>
      </c>
      <c r="BG10" s="58">
        <v>-6.6</v>
      </c>
      <c r="BH10" s="58" t="s">
        <v>107</v>
      </c>
      <c r="BI10" s="58" t="s">
        <v>108</v>
      </c>
      <c r="BJ10" s="58" t="s">
        <v>109</v>
      </c>
      <c r="BK10" s="58" t="s">
        <v>119</v>
      </c>
      <c r="BN10" s="58" t="s">
        <v>111</v>
      </c>
      <c r="BO10" s="58" t="s">
        <v>112</v>
      </c>
      <c r="BP10" s="58" t="s">
        <v>113</v>
      </c>
      <c r="BQ10" s="58" t="s">
        <v>114</v>
      </c>
      <c r="BR10" s="58">
        <v>1.98</v>
      </c>
      <c r="BW10" s="64" t="str">
        <f>if(OR(F10="SALE",F10="REFUNDED"),IFERROR(Vlookup(I10,'Listing SKU - Fill SKU Mapping'!A:C,3,false),"Map"),"")</f>
        <v>Keystone</v>
      </c>
      <c r="BX10" s="65" t="str">
        <f>IF(OR(F10="SALE",F10="REFUNDED")=TRUE,iferror(Vlookup(I10,'Listing SKU - Fill SKU Mapping'!A:B,2,false),"Map"),"")</f>
        <v>IMP466BLK</v>
      </c>
      <c r="BY10" s="64">
        <f>IF(OR(F10="SALE",F10="REFUNDED")=TRUE,iferror(Vlookup(I10,'Listing SKU - Fill SKU Mapping'!A:D,4,false),"Map"),"")</f>
        <v>62.33</v>
      </c>
      <c r="BZ10" s="66">
        <f t="shared" si="1"/>
        <v>11.5</v>
      </c>
      <c r="CA10" s="66">
        <f t="shared" si="2"/>
        <v>73.83</v>
      </c>
      <c r="CB10" s="66">
        <f t="shared" si="3"/>
        <v>-12.47</v>
      </c>
      <c r="CC10" s="65" t="str">
        <f>if(F10="REFUNDED",iferror(Vlookup(I10,'Listing SKU - Fill SKU Mapping'!A:B,2,false),"Map"),"")</f>
        <v/>
      </c>
      <c r="CD10" s="65" t="str">
        <f>if(F10="REFUNDED",iferror(Vlookup(I10,'Listing SKU - Fill SKU Mapping'!A:C,3,false),"Map"),"")</f>
        <v/>
      </c>
      <c r="CE10" s="64" t="str">
        <f t="shared" si="4"/>
        <v>2025</v>
      </c>
      <c r="CF10" s="64" t="str">
        <f t="shared" si="5"/>
        <v>May</v>
      </c>
      <c r="CG10" s="64" t="str">
        <f t="shared" si="6"/>
        <v/>
      </c>
    </row>
    <row r="11">
      <c r="A11" s="55">
        <v>2.00013143554738E14</v>
      </c>
      <c r="B11" s="56">
        <v>1.0</v>
      </c>
      <c r="C11" s="57">
        <v>1.09014348663493E14</v>
      </c>
      <c r="D11" s="58">
        <v>1.0</v>
      </c>
      <c r="F11" s="59" t="s">
        <v>100</v>
      </c>
      <c r="G11" s="60">
        <v>45800.0</v>
      </c>
      <c r="H11" s="58">
        <v>1.0</v>
      </c>
      <c r="I11" s="58" t="s">
        <v>143</v>
      </c>
      <c r="J11" s="61">
        <v>4.60776238265E11</v>
      </c>
      <c r="K11" s="62" t="s">
        <v>144</v>
      </c>
      <c r="L11" s="62">
        <v>2038710.0</v>
      </c>
      <c r="M11" s="63"/>
      <c r="N11" s="63"/>
      <c r="O11" s="62" t="s">
        <v>145</v>
      </c>
      <c r="P11" s="63"/>
      <c r="Q11" s="63"/>
      <c r="R11" s="62" t="s">
        <v>146</v>
      </c>
      <c r="S11" s="62">
        <v>31322.0</v>
      </c>
      <c r="T11" s="58" t="s">
        <v>105</v>
      </c>
      <c r="U11" s="59">
        <v>104.84</v>
      </c>
      <c r="V11" s="59">
        <v>91.12</v>
      </c>
      <c r="W11" s="58">
        <v>6.86</v>
      </c>
      <c r="X11" s="58">
        <v>7.0</v>
      </c>
      <c r="Y11" s="58">
        <v>97.98</v>
      </c>
      <c r="Z11" s="59">
        <v>0.0</v>
      </c>
      <c r="AA11" s="58">
        <v>0.0</v>
      </c>
      <c r="AB11" s="58">
        <v>0.0</v>
      </c>
      <c r="AC11" s="58">
        <v>0.0</v>
      </c>
      <c r="AD11" s="58">
        <v>0.0</v>
      </c>
      <c r="AE11" s="58">
        <v>0.0</v>
      </c>
      <c r="AF11" s="58">
        <v>0.0</v>
      </c>
      <c r="AG11" s="58">
        <v>0.0</v>
      </c>
      <c r="AH11" s="58">
        <v>0.0</v>
      </c>
      <c r="AI11" s="58">
        <v>0.0</v>
      </c>
      <c r="AJ11" s="58">
        <v>0.0</v>
      </c>
      <c r="AK11" s="58">
        <v>0.0</v>
      </c>
      <c r="AL11" s="58">
        <v>0.0</v>
      </c>
      <c r="AM11" s="58">
        <v>0.0</v>
      </c>
      <c r="AN11" s="58">
        <v>0.0</v>
      </c>
      <c r="AO11" s="58">
        <v>6.86</v>
      </c>
      <c r="AP11" s="58">
        <v>0.0</v>
      </c>
      <c r="AQ11" s="58">
        <v>0.0</v>
      </c>
      <c r="AR11" s="58">
        <v>0.0</v>
      </c>
      <c r="AS11" s="58">
        <v>0.0</v>
      </c>
      <c r="AT11" s="58">
        <v>0.0</v>
      </c>
      <c r="AU11" s="58">
        <v>0.0</v>
      </c>
      <c r="AV11" s="58">
        <v>0.0</v>
      </c>
      <c r="AW11" s="58">
        <v>0.0</v>
      </c>
      <c r="AX11" s="58">
        <v>0.0</v>
      </c>
      <c r="AY11" s="58">
        <v>0.0</v>
      </c>
      <c r="AZ11" s="58">
        <v>0.0</v>
      </c>
      <c r="BA11" s="58">
        <v>0.0</v>
      </c>
      <c r="BB11" s="58">
        <v>6.86</v>
      </c>
      <c r="BC11" s="58" t="s">
        <v>106</v>
      </c>
      <c r="BG11" s="58">
        <v>-9.8</v>
      </c>
      <c r="BH11" s="58" t="s">
        <v>107</v>
      </c>
      <c r="BI11" s="58" t="s">
        <v>108</v>
      </c>
      <c r="BJ11" s="58" t="s">
        <v>109</v>
      </c>
      <c r="BK11" s="58" t="s">
        <v>119</v>
      </c>
      <c r="BN11" s="58" t="s">
        <v>111</v>
      </c>
      <c r="BO11" s="58" t="s">
        <v>112</v>
      </c>
      <c r="BP11" s="58" t="s">
        <v>113</v>
      </c>
      <c r="BQ11" s="58" t="s">
        <v>114</v>
      </c>
      <c r="BR11" s="58">
        <v>2.94</v>
      </c>
      <c r="BW11" s="64" t="str">
        <f>if(OR(F11="SALE",F11="REFUNDED"),IFERROR(Vlookup(I11,'Listing SKU - Fill SKU Mapping'!A:C,3,false),"Map"),"")</f>
        <v>Keystone</v>
      </c>
      <c r="BX11" s="65" t="str">
        <f>IF(OR(F11="SALE",F11="REFUNDED")=TRUE,iferror(Vlookup(I11,'Listing SKU - Fill SKU Mapping'!A:B,2,false),"Map"),"")</f>
        <v>IMP372BLKN</v>
      </c>
      <c r="BY11" s="64">
        <f>IF(OR(F11="SALE",F11="REFUNDED")=TRUE,iferror(Vlookup(I11,'Listing SKU - Fill SKU Mapping'!A:D,4,false),"Map"),"")</f>
        <v>45.36</v>
      </c>
      <c r="BZ11" s="66">
        <f t="shared" si="1"/>
        <v>11.5</v>
      </c>
      <c r="CA11" s="66">
        <f t="shared" si="2"/>
        <v>56.86</v>
      </c>
      <c r="CB11" s="66">
        <f t="shared" si="3"/>
        <v>34.26</v>
      </c>
      <c r="CC11" s="65" t="str">
        <f>if(F11="REFUNDED",iferror(Vlookup(I11,'Listing SKU - Fill SKU Mapping'!A:B,2,false),"Map"),"")</f>
        <v/>
      </c>
      <c r="CD11" s="65" t="str">
        <f>if(F11="REFUNDED",iferror(Vlookup(I11,'Listing SKU - Fill SKU Mapping'!A:C,3,false),"Map"),"")</f>
        <v/>
      </c>
      <c r="CE11" s="64" t="str">
        <f t="shared" si="4"/>
        <v>2025</v>
      </c>
      <c r="CF11" s="64" t="str">
        <f t="shared" si="5"/>
        <v>May</v>
      </c>
      <c r="CG11" s="64" t="str">
        <f t="shared" si="6"/>
        <v/>
      </c>
    </row>
    <row r="12">
      <c r="A12" s="55">
        <v>2.00013138589026E14</v>
      </c>
      <c r="B12" s="56">
        <v>1.0</v>
      </c>
      <c r="C12" s="57">
        <v>1.09014973533768E14</v>
      </c>
      <c r="D12" s="58">
        <v>1.0</v>
      </c>
      <c r="F12" s="59" t="s">
        <v>100</v>
      </c>
      <c r="G12" s="60">
        <v>45806.0</v>
      </c>
      <c r="H12" s="58">
        <v>1.0</v>
      </c>
      <c r="I12" s="58" t="s">
        <v>147</v>
      </c>
      <c r="J12" s="61">
        <v>4.67129929368E11</v>
      </c>
      <c r="K12" s="62" t="s">
        <v>148</v>
      </c>
      <c r="L12" s="62">
        <v>2038710.0</v>
      </c>
      <c r="M12" s="63"/>
      <c r="N12" s="63"/>
      <c r="O12" s="62" t="s">
        <v>149</v>
      </c>
      <c r="P12" s="63"/>
      <c r="Q12" s="63"/>
      <c r="R12" s="62" t="s">
        <v>150</v>
      </c>
      <c r="S12" s="62">
        <v>39047.0</v>
      </c>
      <c r="T12" s="58" t="s">
        <v>105</v>
      </c>
      <c r="U12" s="59">
        <v>69.53</v>
      </c>
      <c r="V12" s="59">
        <v>60.43</v>
      </c>
      <c r="W12" s="58">
        <v>4.55</v>
      </c>
      <c r="X12" s="58">
        <v>7.0</v>
      </c>
      <c r="Y12" s="58">
        <v>64.98</v>
      </c>
      <c r="Z12" s="59">
        <v>0.0</v>
      </c>
      <c r="AA12" s="58">
        <v>0.0</v>
      </c>
      <c r="AB12" s="58">
        <v>0.0</v>
      </c>
      <c r="AC12" s="58">
        <v>0.0</v>
      </c>
      <c r="AD12" s="58">
        <v>0.0</v>
      </c>
      <c r="AE12" s="58">
        <v>0.0</v>
      </c>
      <c r="AF12" s="58">
        <v>0.0</v>
      </c>
      <c r="AG12" s="58">
        <v>0.0</v>
      </c>
      <c r="AH12" s="58">
        <v>0.0</v>
      </c>
      <c r="AI12" s="58">
        <v>0.0</v>
      </c>
      <c r="AJ12" s="58">
        <v>0.0</v>
      </c>
      <c r="AK12" s="58">
        <v>0.0</v>
      </c>
      <c r="AL12" s="58">
        <v>0.0</v>
      </c>
      <c r="AM12" s="58">
        <v>0.0</v>
      </c>
      <c r="AN12" s="58">
        <v>0.0</v>
      </c>
      <c r="AO12" s="58">
        <v>4.55</v>
      </c>
      <c r="AP12" s="58">
        <v>0.0</v>
      </c>
      <c r="AQ12" s="58">
        <v>0.0</v>
      </c>
      <c r="AR12" s="58">
        <v>0.0</v>
      </c>
      <c r="AS12" s="58">
        <v>0.0</v>
      </c>
      <c r="AT12" s="58">
        <v>0.0</v>
      </c>
      <c r="AU12" s="58">
        <v>0.0</v>
      </c>
      <c r="AV12" s="58">
        <v>0.0</v>
      </c>
      <c r="AW12" s="58">
        <v>0.0</v>
      </c>
      <c r="AX12" s="58">
        <v>0.0</v>
      </c>
      <c r="AY12" s="58">
        <v>0.0</v>
      </c>
      <c r="AZ12" s="58">
        <v>0.0</v>
      </c>
      <c r="BA12" s="58">
        <v>0.0</v>
      </c>
      <c r="BB12" s="58">
        <v>4.55</v>
      </c>
      <c r="BC12" s="58" t="s">
        <v>106</v>
      </c>
      <c r="BG12" s="58">
        <v>-6.5</v>
      </c>
      <c r="BH12" s="58" t="s">
        <v>107</v>
      </c>
      <c r="BI12" s="58" t="s">
        <v>108</v>
      </c>
      <c r="BJ12" s="58" t="s">
        <v>109</v>
      </c>
      <c r="BK12" s="58" t="s">
        <v>119</v>
      </c>
      <c r="BN12" s="58" t="s">
        <v>111</v>
      </c>
      <c r="BO12" s="58" t="s">
        <v>112</v>
      </c>
      <c r="BP12" s="58" t="s">
        <v>113</v>
      </c>
      <c r="BQ12" s="58" t="s">
        <v>114</v>
      </c>
      <c r="BR12" s="58">
        <v>1.95</v>
      </c>
      <c r="BW12" s="64" t="str">
        <f>if(OR(F12="SALE",F12="REFUNDED"),IFERROR(Vlookup(I12,'Listing SKU - Fill SKU Mapping'!A:C,3,false),"Map"),"")</f>
        <v>Keystone</v>
      </c>
      <c r="BX12" s="65" t="str">
        <f>IF(OR(F12="SALE",F12="REFUNDED")=TRUE,iferror(Vlookup(I12,'Listing SKU - Fill SKU Mapping'!A:B,2,false),"Map"),"")</f>
        <v>B887216S</v>
      </c>
      <c r="BY12" s="64">
        <f>IF(OR(F12="SALE",F12="REFUNDED")=TRUE,iferror(Vlookup(I12,'Listing SKU - Fill SKU Mapping'!A:D,4,false),"Map"),"")</f>
        <v>24.85</v>
      </c>
      <c r="BZ12" s="66">
        <f t="shared" si="1"/>
        <v>11.5</v>
      </c>
      <c r="CA12" s="66">
        <f t="shared" si="2"/>
        <v>36.35</v>
      </c>
      <c r="CB12" s="66">
        <f t="shared" si="3"/>
        <v>24.08</v>
      </c>
      <c r="CC12" s="65" t="str">
        <f>if(F12="REFUNDED",iferror(Vlookup(I12,'Listing SKU - Fill SKU Mapping'!A:B,2,false),"Map"),"")</f>
        <v/>
      </c>
      <c r="CD12" s="65" t="str">
        <f>if(F12="REFUNDED",iferror(Vlookup(I12,'Listing SKU - Fill SKU Mapping'!A:C,3,false),"Map"),"")</f>
        <v/>
      </c>
      <c r="CE12" s="64" t="str">
        <f t="shared" si="4"/>
        <v>2025</v>
      </c>
      <c r="CF12" s="64" t="str">
        <f t="shared" si="5"/>
        <v>May</v>
      </c>
      <c r="CG12" s="64" t="str">
        <f t="shared" si="6"/>
        <v/>
      </c>
    </row>
    <row r="13">
      <c r="A13" s="55">
        <v>2.00013082357439E14</v>
      </c>
      <c r="B13" s="56">
        <v>1.0</v>
      </c>
      <c r="C13" s="57">
        <v>1.09014034395401E14</v>
      </c>
      <c r="D13" s="58">
        <v>1.0</v>
      </c>
      <c r="F13" s="59" t="s">
        <v>100</v>
      </c>
      <c r="G13" s="60">
        <v>45796.0</v>
      </c>
      <c r="H13" s="58">
        <v>1.0</v>
      </c>
      <c r="I13" s="58" t="s">
        <v>151</v>
      </c>
      <c r="J13" s="61">
        <v>4.6077623339E11</v>
      </c>
      <c r="K13" s="62" t="s">
        <v>152</v>
      </c>
      <c r="L13" s="62">
        <v>2038710.0</v>
      </c>
      <c r="M13" s="63"/>
      <c r="N13" s="63"/>
      <c r="O13" s="62" t="s">
        <v>153</v>
      </c>
      <c r="P13" s="63"/>
      <c r="Q13" s="63"/>
      <c r="R13" s="62" t="s">
        <v>154</v>
      </c>
      <c r="S13" s="62">
        <v>74447.0</v>
      </c>
      <c r="T13" s="58" t="s">
        <v>105</v>
      </c>
      <c r="U13" s="59">
        <v>121.07</v>
      </c>
      <c r="V13" s="59">
        <v>102.28</v>
      </c>
      <c r="W13" s="58">
        <v>7.7</v>
      </c>
      <c r="X13" s="58">
        <v>7.0</v>
      </c>
      <c r="Y13" s="58">
        <v>109.98</v>
      </c>
      <c r="Z13" s="59">
        <v>0.0</v>
      </c>
      <c r="AA13" s="58">
        <v>0.0</v>
      </c>
      <c r="AB13" s="58">
        <v>0.0</v>
      </c>
      <c r="AC13" s="58">
        <v>0.0</v>
      </c>
      <c r="AD13" s="58">
        <v>0.0</v>
      </c>
      <c r="AE13" s="58">
        <v>0.0</v>
      </c>
      <c r="AF13" s="58">
        <v>0.0</v>
      </c>
      <c r="AG13" s="58">
        <v>0.0</v>
      </c>
      <c r="AH13" s="58">
        <v>0.0</v>
      </c>
      <c r="AI13" s="58">
        <v>0.0</v>
      </c>
      <c r="AJ13" s="58">
        <v>0.0</v>
      </c>
      <c r="AK13" s="58">
        <v>0.0</v>
      </c>
      <c r="AL13" s="58">
        <v>0.0</v>
      </c>
      <c r="AM13" s="58">
        <v>0.0</v>
      </c>
      <c r="AN13" s="58">
        <v>0.0</v>
      </c>
      <c r="AO13" s="58">
        <v>11.09</v>
      </c>
      <c r="AP13" s="58">
        <v>0.0</v>
      </c>
      <c r="AQ13" s="58">
        <v>0.0</v>
      </c>
      <c r="AR13" s="58">
        <v>0.0</v>
      </c>
      <c r="AS13" s="58">
        <v>0.0</v>
      </c>
      <c r="AT13" s="58">
        <v>0.0</v>
      </c>
      <c r="AU13" s="58">
        <v>0.0</v>
      </c>
      <c r="AV13" s="58">
        <v>0.0</v>
      </c>
      <c r="AW13" s="58">
        <v>0.0</v>
      </c>
      <c r="AX13" s="58">
        <v>0.0</v>
      </c>
      <c r="AY13" s="58">
        <v>0.0</v>
      </c>
      <c r="AZ13" s="58">
        <v>0.0</v>
      </c>
      <c r="BA13" s="58">
        <v>0.0</v>
      </c>
      <c r="BB13" s="58">
        <v>11.09</v>
      </c>
      <c r="BC13" s="58" t="s">
        <v>106</v>
      </c>
      <c r="BG13" s="58">
        <v>-11.0</v>
      </c>
      <c r="BH13" s="58" t="s">
        <v>107</v>
      </c>
      <c r="BI13" s="58" t="s">
        <v>108</v>
      </c>
      <c r="BJ13" s="58" t="s">
        <v>109</v>
      </c>
      <c r="BK13" s="58" t="s">
        <v>155</v>
      </c>
      <c r="BN13" s="58" t="s">
        <v>106</v>
      </c>
      <c r="BO13" s="58" t="s">
        <v>112</v>
      </c>
      <c r="BP13" s="58" t="s">
        <v>113</v>
      </c>
      <c r="BQ13" s="58" t="s">
        <v>114</v>
      </c>
      <c r="BR13" s="58">
        <v>3.3</v>
      </c>
      <c r="BW13" s="64" t="str">
        <f>if(OR(F13="SALE",F13="REFUNDED"),IFERROR(Vlookup(I13,'Listing SKU - Fill SKU Mapping'!A:C,3,false),"Map"),"")</f>
        <v>Keystone</v>
      </c>
      <c r="BX13" s="65" t="str">
        <f>IF(OR(F13="SALE",F13="REFUNDED")=TRUE,iferror(Vlookup(I13,'Listing SKU - Fill SKU Mapping'!A:B,2,false),"Map"),"")</f>
        <v>IMP444BLK</v>
      </c>
      <c r="BY13" s="64">
        <f>IF(OR(F13="SALE",F13="REFUNDED")=TRUE,iferror(Vlookup(I13,'Listing SKU - Fill SKU Mapping'!A:D,4,false),"Map"),"")</f>
        <v>54.05</v>
      </c>
      <c r="BZ13" s="66">
        <f t="shared" si="1"/>
        <v>11.5</v>
      </c>
      <c r="CA13" s="66">
        <f t="shared" si="2"/>
        <v>65.55</v>
      </c>
      <c r="CB13" s="66">
        <f t="shared" si="3"/>
        <v>36.73</v>
      </c>
      <c r="CC13" s="65" t="str">
        <f>if(F13="REFUNDED",iferror(Vlookup(I13,'Listing SKU - Fill SKU Mapping'!A:B,2,false),"Map"),"")</f>
        <v/>
      </c>
      <c r="CD13" s="65" t="str">
        <f>if(F13="REFUNDED",iferror(Vlookup(I13,'Listing SKU - Fill SKU Mapping'!A:C,3,false),"Map"),"")</f>
        <v/>
      </c>
      <c r="CE13" s="64" t="str">
        <f t="shared" si="4"/>
        <v>2025</v>
      </c>
      <c r="CF13" s="64" t="str">
        <f t="shared" si="5"/>
        <v>May</v>
      </c>
      <c r="CG13" s="64" t="str">
        <f t="shared" si="6"/>
        <v/>
      </c>
    </row>
    <row r="14">
      <c r="A14" s="55">
        <v>2.00013082357439E14</v>
      </c>
      <c r="B14" s="56">
        <v>1.0</v>
      </c>
      <c r="C14" s="57">
        <v>1.09014034395401E14</v>
      </c>
      <c r="D14" s="58">
        <v>1.0</v>
      </c>
      <c r="F14" s="59" t="s">
        <v>128</v>
      </c>
      <c r="G14" s="60">
        <v>45799.0</v>
      </c>
      <c r="H14" s="58">
        <v>1.0</v>
      </c>
      <c r="I14" s="58" t="s">
        <v>151</v>
      </c>
      <c r="J14" s="61">
        <v>4.6077623339E11</v>
      </c>
      <c r="K14" s="62" t="s">
        <v>152</v>
      </c>
      <c r="L14" s="62">
        <v>2038710.0</v>
      </c>
      <c r="M14" s="63"/>
      <c r="N14" s="63"/>
      <c r="O14" s="63"/>
      <c r="P14" s="63"/>
      <c r="Q14" s="63"/>
      <c r="R14" s="62" t="s">
        <v>154</v>
      </c>
      <c r="S14" s="62">
        <v>74447.0</v>
      </c>
      <c r="U14" s="59">
        <v>-121.07</v>
      </c>
      <c r="V14" s="59">
        <v>-102.28</v>
      </c>
      <c r="W14" s="58">
        <v>-7.7</v>
      </c>
      <c r="X14" s="58">
        <v>0.0</v>
      </c>
      <c r="Y14" s="58">
        <v>0.0</v>
      </c>
      <c r="Z14" s="59">
        <v>-109.98</v>
      </c>
      <c r="AA14" s="58">
        <v>0.0</v>
      </c>
      <c r="AB14" s="58">
        <v>0.0</v>
      </c>
      <c r="AC14" s="58">
        <v>0.0</v>
      </c>
      <c r="AD14" s="58">
        <v>0.0</v>
      </c>
      <c r="AE14" s="58">
        <v>0.0</v>
      </c>
      <c r="AF14" s="58">
        <v>0.0</v>
      </c>
      <c r="AG14" s="58">
        <v>0.0</v>
      </c>
      <c r="AH14" s="58">
        <v>0.0</v>
      </c>
      <c r="AI14" s="58">
        <v>0.0</v>
      </c>
      <c r="AJ14" s="58">
        <v>0.0</v>
      </c>
      <c r="AK14" s="58">
        <v>0.0</v>
      </c>
      <c r="AL14" s="58">
        <v>0.0</v>
      </c>
      <c r="AM14" s="58">
        <v>0.0</v>
      </c>
      <c r="AN14" s="58">
        <v>0.0</v>
      </c>
      <c r="AO14" s="58">
        <v>0.0</v>
      </c>
      <c r="AP14" s="58">
        <v>0.0</v>
      </c>
      <c r="AQ14" s="58">
        <v>0.0</v>
      </c>
      <c r="AR14" s="58">
        <v>0.0</v>
      </c>
      <c r="AS14" s="58">
        <v>0.0</v>
      </c>
      <c r="AT14" s="58">
        <v>-11.09</v>
      </c>
      <c r="AU14" s="58">
        <v>0.0</v>
      </c>
      <c r="AV14" s="58">
        <v>0.0</v>
      </c>
      <c r="AW14" s="58">
        <v>0.0</v>
      </c>
      <c r="AX14" s="58">
        <v>0.0</v>
      </c>
      <c r="AY14" s="58">
        <v>0.0</v>
      </c>
      <c r="AZ14" s="58">
        <v>0.0</v>
      </c>
      <c r="BA14" s="58">
        <v>0.0</v>
      </c>
      <c r="BB14" s="58">
        <v>-11.09</v>
      </c>
      <c r="BC14" s="58" t="s">
        <v>106</v>
      </c>
      <c r="BD14" s="58" t="s">
        <v>156</v>
      </c>
      <c r="BE14" s="58">
        <v>5010.0</v>
      </c>
      <c r="BH14" s="58" t="s">
        <v>107</v>
      </c>
      <c r="BI14" s="58" t="s">
        <v>108</v>
      </c>
      <c r="BL14" s="58">
        <v>1018.0</v>
      </c>
      <c r="BM14" s="58" t="s">
        <v>157</v>
      </c>
      <c r="BN14" s="58" t="s">
        <v>106</v>
      </c>
      <c r="BO14" s="58" t="s">
        <v>112</v>
      </c>
      <c r="BW14" s="64" t="str">
        <f>if(OR(F14="SALE",F14="REFUNDED"),IFERROR(Vlookup(I14,'Listing SKU - Fill SKU Mapping'!A:C,3,false),"Map"),"")</f>
        <v>Keystone</v>
      </c>
      <c r="BX14" s="65" t="str">
        <f>IF(OR(F14="SALE",F14="REFUNDED")=TRUE,iferror(Vlookup(I14,'Listing SKU - Fill SKU Mapping'!A:B,2,false),"Map"),"")</f>
        <v>IMP444BLK</v>
      </c>
      <c r="BY14" s="64">
        <f>IF(OR(F14="SALE",F14="REFUNDED")=TRUE,iferror(Vlookup(I14,'Listing SKU - Fill SKU Mapping'!A:D,4,false),"Map"),"")</f>
        <v>54.05</v>
      </c>
      <c r="BZ14" s="66">
        <f t="shared" si="1"/>
        <v>11.5</v>
      </c>
      <c r="CA14" s="66">
        <f t="shared" si="2"/>
        <v>65.55</v>
      </c>
      <c r="CB14" s="64" t="str">
        <f t="shared" si="3"/>
        <v/>
      </c>
      <c r="CC14" s="65" t="str">
        <f>if(F14="REFUNDED",iferror(Vlookup(I14,'Listing SKU - Fill SKU Mapping'!A:B,2,false),"Map"),"")</f>
        <v>IMP444BLK</v>
      </c>
      <c r="CD14" s="65" t="str">
        <f>if(F14="REFUNDED",iferror(Vlookup(I14,'Listing SKU - Fill SKU Mapping'!A:C,3,false),"Map"),"")</f>
        <v>Keystone</v>
      </c>
      <c r="CE14" s="64" t="str">
        <f t="shared" si="4"/>
        <v>2025</v>
      </c>
      <c r="CF14" s="64" t="str">
        <f t="shared" si="5"/>
        <v>May</v>
      </c>
      <c r="CG14" s="64" t="str">
        <f t="shared" si="6"/>
        <v/>
      </c>
    </row>
    <row r="15">
      <c r="A15" s="55">
        <v>2.00013060278696E14</v>
      </c>
      <c r="B15" s="56">
        <v>7.0</v>
      </c>
      <c r="C15" s="57">
        <v>1.09011942953061E14</v>
      </c>
      <c r="D15" s="58">
        <v>7.0</v>
      </c>
      <c r="F15" s="59" t="s">
        <v>158</v>
      </c>
      <c r="G15" s="60">
        <v>45802.0</v>
      </c>
      <c r="H15" s="58">
        <v>1.0</v>
      </c>
      <c r="I15" s="58" t="s">
        <v>159</v>
      </c>
      <c r="J15" s="61">
        <v>4.60776234854E11</v>
      </c>
      <c r="K15" s="62" t="s">
        <v>160</v>
      </c>
      <c r="L15" s="62">
        <v>2038710.0</v>
      </c>
      <c r="M15" s="63"/>
      <c r="N15" s="63"/>
      <c r="O15" s="62" t="s">
        <v>161</v>
      </c>
      <c r="P15" s="63"/>
      <c r="Q15" s="63"/>
      <c r="R15" s="62" t="s">
        <v>162</v>
      </c>
      <c r="S15" s="62">
        <v>90605.0</v>
      </c>
      <c r="T15" s="58" t="s">
        <v>105</v>
      </c>
      <c r="U15" s="59">
        <v>0.0</v>
      </c>
      <c r="V15" s="59">
        <v>-8.89</v>
      </c>
      <c r="W15" s="58">
        <v>0.0</v>
      </c>
      <c r="X15" s="58">
        <v>0.0</v>
      </c>
      <c r="Y15" s="58">
        <v>0.0</v>
      </c>
      <c r="Z15" s="59">
        <v>0.0</v>
      </c>
      <c r="AA15" s="58">
        <v>0.0</v>
      </c>
      <c r="AB15" s="58">
        <v>0.0</v>
      </c>
      <c r="AC15" s="58">
        <v>0.0</v>
      </c>
      <c r="AD15" s="58">
        <v>0.0</v>
      </c>
      <c r="AE15" s="58">
        <v>0.0</v>
      </c>
      <c r="AF15" s="58">
        <v>0.0</v>
      </c>
      <c r="AG15" s="58">
        <v>0.0</v>
      </c>
      <c r="AH15" s="58">
        <v>0.0</v>
      </c>
      <c r="AI15" s="58">
        <v>0.0</v>
      </c>
      <c r="AJ15" s="58">
        <v>0.0</v>
      </c>
      <c r="AK15" s="58">
        <v>0.0</v>
      </c>
      <c r="AL15" s="58">
        <v>0.0</v>
      </c>
      <c r="AM15" s="58">
        <v>0.0</v>
      </c>
      <c r="AN15" s="58">
        <v>0.0</v>
      </c>
      <c r="AO15" s="58">
        <v>0.0</v>
      </c>
      <c r="AP15" s="58">
        <v>0.0</v>
      </c>
      <c r="AQ15" s="58">
        <v>0.0</v>
      </c>
      <c r="AR15" s="58">
        <v>0.0</v>
      </c>
      <c r="AS15" s="58">
        <v>0.0</v>
      </c>
      <c r="AT15" s="58">
        <v>0.0</v>
      </c>
      <c r="AU15" s="58">
        <v>0.0</v>
      </c>
      <c r="AV15" s="58">
        <v>0.0</v>
      </c>
      <c r="AW15" s="58">
        <v>0.0</v>
      </c>
      <c r="AX15" s="58">
        <v>0.0</v>
      </c>
      <c r="AY15" s="58">
        <v>0.0</v>
      </c>
      <c r="AZ15" s="58">
        <v>0.0</v>
      </c>
      <c r="BA15" s="58">
        <v>0.0</v>
      </c>
      <c r="BB15" s="58">
        <v>0.0</v>
      </c>
      <c r="BC15" s="58" t="s">
        <v>106</v>
      </c>
      <c r="BD15" s="58" t="s">
        <v>163</v>
      </c>
      <c r="BE15" s="58">
        <v>5013.0</v>
      </c>
      <c r="BH15" s="58" t="s">
        <v>107</v>
      </c>
      <c r="BI15" s="58" t="s">
        <v>108</v>
      </c>
      <c r="BN15" s="58" t="s">
        <v>111</v>
      </c>
      <c r="BO15" s="58" t="s">
        <v>112</v>
      </c>
      <c r="BW15" s="64" t="str">
        <f>if(OR(F15="SALE",F15="REFUNDED"),IFERROR(Vlookup(I15,'Listing SKU - Fill SKU Mapping'!A:C,3,false),"Map"),"")</f>
        <v/>
      </c>
      <c r="BX15" s="65" t="str">
        <f>IF(OR(F15="SALE",F15="REFUNDED")=TRUE,iferror(Vlookup(I15,'Listing SKU - Fill SKU Mapping'!A:B,2,false),"Map"),"")</f>
        <v/>
      </c>
      <c r="BY15" s="64" t="str">
        <f>IF(OR(F15="SALE",F15="REFUNDED")=TRUE,iferror(Vlookup(I15,'Listing SKU - Fill SKU Mapping'!A:D,4,false),"Map"),"")</f>
        <v/>
      </c>
      <c r="BZ15" s="66" t="str">
        <f t="shared" si="1"/>
        <v/>
      </c>
      <c r="CA15" s="64" t="str">
        <f t="shared" si="2"/>
        <v/>
      </c>
      <c r="CB15" s="64" t="str">
        <f t="shared" si="3"/>
        <v/>
      </c>
      <c r="CC15" s="65" t="str">
        <f>if(F15="REFUNDED",iferror(Vlookup(I15,'Listing SKU - Fill SKU Mapping'!A:B,2,false),"Map"),"")</f>
        <v/>
      </c>
      <c r="CD15" s="65" t="str">
        <f>if(F15="REFUNDED",iferror(Vlookup(I15,'Listing SKU - Fill SKU Mapping'!A:C,3,false),"Map"),"")</f>
        <v/>
      </c>
      <c r="CE15" s="64" t="str">
        <f t="shared" si="4"/>
        <v>2025</v>
      </c>
      <c r="CF15" s="64" t="str">
        <f t="shared" si="5"/>
        <v>May</v>
      </c>
      <c r="CG15" s="64" t="str">
        <f t="shared" si="6"/>
        <v/>
      </c>
    </row>
    <row r="16">
      <c r="A16" s="55">
        <v>2.00013049604965E14</v>
      </c>
      <c r="B16" s="56">
        <v>1.0</v>
      </c>
      <c r="C16" s="57">
        <v>1.09011426675392E14</v>
      </c>
      <c r="D16" s="58">
        <v>1.0</v>
      </c>
      <c r="F16" s="59" t="s">
        <v>158</v>
      </c>
      <c r="G16" s="60">
        <v>45795.0</v>
      </c>
      <c r="H16" s="58">
        <v>1.0</v>
      </c>
      <c r="I16" s="58" t="s">
        <v>164</v>
      </c>
      <c r="J16" s="61">
        <v>4.60776235042E11</v>
      </c>
      <c r="K16" s="62" t="s">
        <v>165</v>
      </c>
      <c r="L16" s="62">
        <v>2038710.0</v>
      </c>
      <c r="M16" s="63"/>
      <c r="N16" s="63"/>
      <c r="O16" s="62" t="s">
        <v>166</v>
      </c>
      <c r="P16" s="63"/>
      <c r="Q16" s="63"/>
      <c r="R16" s="62" t="s">
        <v>167</v>
      </c>
      <c r="S16" s="62">
        <v>23805.0</v>
      </c>
      <c r="T16" s="58" t="s">
        <v>105</v>
      </c>
      <c r="U16" s="59">
        <v>0.0</v>
      </c>
      <c r="V16" s="59">
        <v>-8.89</v>
      </c>
      <c r="W16" s="58">
        <v>0.0</v>
      </c>
      <c r="X16" s="58">
        <v>0.0</v>
      </c>
      <c r="Y16" s="58">
        <v>0.0</v>
      </c>
      <c r="Z16" s="59">
        <v>0.0</v>
      </c>
      <c r="AA16" s="58">
        <v>0.0</v>
      </c>
      <c r="AB16" s="58">
        <v>0.0</v>
      </c>
      <c r="AC16" s="58">
        <v>0.0</v>
      </c>
      <c r="AD16" s="58">
        <v>0.0</v>
      </c>
      <c r="AE16" s="58">
        <v>0.0</v>
      </c>
      <c r="AF16" s="58">
        <v>0.0</v>
      </c>
      <c r="AG16" s="58">
        <v>0.0</v>
      </c>
      <c r="AH16" s="58">
        <v>0.0</v>
      </c>
      <c r="AI16" s="58">
        <v>0.0</v>
      </c>
      <c r="AJ16" s="58">
        <v>0.0</v>
      </c>
      <c r="AK16" s="58">
        <v>0.0</v>
      </c>
      <c r="AL16" s="58">
        <v>0.0</v>
      </c>
      <c r="AM16" s="58">
        <v>0.0</v>
      </c>
      <c r="AN16" s="58">
        <v>0.0</v>
      </c>
      <c r="AO16" s="58">
        <v>0.0</v>
      </c>
      <c r="AP16" s="58">
        <v>0.0</v>
      </c>
      <c r="AQ16" s="58">
        <v>0.0</v>
      </c>
      <c r="AR16" s="58">
        <v>0.0</v>
      </c>
      <c r="AS16" s="58">
        <v>0.0</v>
      </c>
      <c r="AT16" s="58">
        <v>0.0</v>
      </c>
      <c r="AU16" s="58">
        <v>0.0</v>
      </c>
      <c r="AV16" s="58">
        <v>0.0</v>
      </c>
      <c r="AW16" s="58">
        <v>0.0</v>
      </c>
      <c r="AX16" s="58">
        <v>0.0</v>
      </c>
      <c r="AY16" s="58">
        <v>0.0</v>
      </c>
      <c r="AZ16" s="58">
        <v>0.0</v>
      </c>
      <c r="BA16" s="58">
        <v>0.0</v>
      </c>
      <c r="BB16" s="58">
        <v>0.0</v>
      </c>
      <c r="BC16" s="58" t="s">
        <v>106</v>
      </c>
      <c r="BD16" s="58" t="s">
        <v>163</v>
      </c>
      <c r="BE16" s="58">
        <v>5013.0</v>
      </c>
      <c r="BH16" s="58" t="s">
        <v>107</v>
      </c>
      <c r="BI16" s="58" t="s">
        <v>108</v>
      </c>
      <c r="BN16" s="58" t="s">
        <v>111</v>
      </c>
      <c r="BO16" s="58" t="s">
        <v>112</v>
      </c>
      <c r="BW16" s="64" t="str">
        <f>if(OR(F16="SALE",F16="REFUNDED"),IFERROR(Vlookup(I16,'Listing SKU - Fill SKU Mapping'!A:C,3,false),"Map"),"")</f>
        <v/>
      </c>
      <c r="BX16" s="65" t="str">
        <f>IF(OR(F16="SALE",F16="REFUNDED")=TRUE,iferror(Vlookup(I16,'Listing SKU - Fill SKU Mapping'!A:B,2,false),"Map"),"")</f>
        <v/>
      </c>
      <c r="BY16" s="64" t="str">
        <f>IF(OR(F16="SALE",F16="REFUNDED")=TRUE,iferror(Vlookup(I16,'Listing SKU - Fill SKU Mapping'!A:D,4,false),"Map"),"")</f>
        <v/>
      </c>
      <c r="BZ16" s="66" t="str">
        <f t="shared" si="1"/>
        <v/>
      </c>
      <c r="CA16" s="64" t="str">
        <f t="shared" si="2"/>
        <v/>
      </c>
      <c r="CB16" s="64" t="str">
        <f t="shared" si="3"/>
        <v/>
      </c>
      <c r="CC16" s="65" t="str">
        <f>if(F16="REFUNDED",iferror(Vlookup(I16,'Listing SKU - Fill SKU Mapping'!A:B,2,false),"Map"),"")</f>
        <v/>
      </c>
      <c r="CD16" s="65" t="str">
        <f>if(F16="REFUNDED",iferror(Vlookup(I16,'Listing SKU - Fill SKU Mapping'!A:C,3,false),"Map"),"")</f>
        <v/>
      </c>
      <c r="CE16" s="64" t="str">
        <f t="shared" si="4"/>
        <v>2025</v>
      </c>
      <c r="CF16" s="64" t="str">
        <f t="shared" si="5"/>
        <v>May</v>
      </c>
      <c r="CG16" s="64" t="str">
        <f t="shared" si="6"/>
        <v/>
      </c>
    </row>
    <row r="17">
      <c r="A17" s="55">
        <v>2.00013038493104E14</v>
      </c>
      <c r="B17" s="56">
        <v>1.0</v>
      </c>
      <c r="C17" s="57">
        <v>1.09011116508241E14</v>
      </c>
      <c r="D17" s="58">
        <v>1.0</v>
      </c>
      <c r="F17" s="59" t="s">
        <v>158</v>
      </c>
      <c r="G17" s="60">
        <v>45802.0</v>
      </c>
      <c r="H17" s="58">
        <v>1.0</v>
      </c>
      <c r="I17" s="58" t="s">
        <v>168</v>
      </c>
      <c r="J17" s="61">
        <v>4.64567112352E11</v>
      </c>
      <c r="K17" s="62" t="s">
        <v>169</v>
      </c>
      <c r="L17" s="62">
        <v>2038710.0</v>
      </c>
      <c r="M17" s="63"/>
      <c r="N17" s="63"/>
      <c r="O17" s="62" t="s">
        <v>170</v>
      </c>
      <c r="P17" s="63"/>
      <c r="Q17" s="63"/>
      <c r="R17" s="62" t="s">
        <v>171</v>
      </c>
      <c r="S17" s="62">
        <v>46107.0</v>
      </c>
      <c r="T17" s="58" t="s">
        <v>105</v>
      </c>
      <c r="U17" s="59">
        <v>0.0</v>
      </c>
      <c r="V17" s="59">
        <v>-10.81</v>
      </c>
      <c r="W17" s="58">
        <v>0.0</v>
      </c>
      <c r="X17" s="58">
        <v>0.0</v>
      </c>
      <c r="Y17" s="58">
        <v>0.0</v>
      </c>
      <c r="Z17" s="59">
        <v>0.0</v>
      </c>
      <c r="AA17" s="58">
        <v>0.0</v>
      </c>
      <c r="AB17" s="58">
        <v>0.0</v>
      </c>
      <c r="AC17" s="58">
        <v>0.0</v>
      </c>
      <c r="AD17" s="58">
        <v>0.0</v>
      </c>
      <c r="AE17" s="58">
        <v>0.0</v>
      </c>
      <c r="AF17" s="58">
        <v>0.0</v>
      </c>
      <c r="AG17" s="58">
        <v>0.0</v>
      </c>
      <c r="AH17" s="58">
        <v>0.0</v>
      </c>
      <c r="AI17" s="58">
        <v>0.0</v>
      </c>
      <c r="AJ17" s="58">
        <v>0.0</v>
      </c>
      <c r="AK17" s="58">
        <v>0.0</v>
      </c>
      <c r="AL17" s="58">
        <v>0.0</v>
      </c>
      <c r="AM17" s="58">
        <v>0.0</v>
      </c>
      <c r="AN17" s="58">
        <v>0.0</v>
      </c>
      <c r="AO17" s="58">
        <v>0.0</v>
      </c>
      <c r="AP17" s="58">
        <v>0.0</v>
      </c>
      <c r="AQ17" s="58">
        <v>0.0</v>
      </c>
      <c r="AR17" s="58">
        <v>0.0</v>
      </c>
      <c r="AS17" s="58">
        <v>0.0</v>
      </c>
      <c r="AT17" s="58">
        <v>0.0</v>
      </c>
      <c r="AU17" s="58">
        <v>0.0</v>
      </c>
      <c r="AV17" s="58">
        <v>0.0</v>
      </c>
      <c r="AW17" s="58">
        <v>0.0</v>
      </c>
      <c r="AX17" s="58">
        <v>0.0</v>
      </c>
      <c r="AY17" s="58">
        <v>0.0</v>
      </c>
      <c r="AZ17" s="58">
        <v>0.0</v>
      </c>
      <c r="BA17" s="58">
        <v>0.0</v>
      </c>
      <c r="BB17" s="58">
        <v>0.0</v>
      </c>
      <c r="BC17" s="58" t="s">
        <v>106</v>
      </c>
      <c r="BD17" s="58" t="s">
        <v>163</v>
      </c>
      <c r="BE17" s="58">
        <v>5013.0</v>
      </c>
      <c r="BH17" s="58" t="s">
        <v>107</v>
      </c>
      <c r="BI17" s="58" t="s">
        <v>108</v>
      </c>
      <c r="BN17" s="58" t="s">
        <v>111</v>
      </c>
      <c r="BO17" s="58" t="s">
        <v>112</v>
      </c>
      <c r="BW17" s="64" t="str">
        <f>if(OR(F17="SALE",F17="REFUNDED"),IFERROR(Vlookup(I17,'Listing SKU - Fill SKU Mapping'!A:C,3,false),"Map"),"")</f>
        <v/>
      </c>
      <c r="BX17" s="65" t="str">
        <f>IF(OR(F17="SALE",F17="REFUNDED")=TRUE,iferror(Vlookup(I17,'Listing SKU - Fill SKU Mapping'!A:B,2,false),"Map"),"")</f>
        <v/>
      </c>
      <c r="BY17" s="64" t="str">
        <f>IF(OR(F17="SALE",F17="REFUNDED")=TRUE,iferror(Vlookup(I17,'Listing SKU - Fill SKU Mapping'!A:D,4,false),"Map"),"")</f>
        <v/>
      </c>
      <c r="BZ17" s="66" t="str">
        <f t="shared" si="1"/>
        <v/>
      </c>
      <c r="CA17" s="64" t="str">
        <f t="shared" si="2"/>
        <v/>
      </c>
      <c r="CB17" s="64" t="str">
        <f t="shared" si="3"/>
        <v/>
      </c>
      <c r="CC17" s="65" t="str">
        <f>if(F17="REFUNDED",iferror(Vlookup(I17,'Listing SKU - Fill SKU Mapping'!A:B,2,false),"Map"),"")</f>
        <v/>
      </c>
      <c r="CD17" s="65" t="str">
        <f>if(F17="REFUNDED",iferror(Vlookup(I17,'Listing SKU - Fill SKU Mapping'!A:C,3,false),"Map"),"")</f>
        <v/>
      </c>
      <c r="CE17" s="64" t="str">
        <f t="shared" si="4"/>
        <v>2025</v>
      </c>
      <c r="CF17" s="64" t="str">
        <f t="shared" si="5"/>
        <v>May</v>
      </c>
      <c r="CG17" s="64" t="str">
        <f t="shared" si="6"/>
        <v/>
      </c>
    </row>
    <row r="18">
      <c r="A18" s="55">
        <v>2.00012993559082E14</v>
      </c>
      <c r="B18" s="56">
        <v>1.0</v>
      </c>
      <c r="C18" s="57">
        <v>1.09011114761058E14</v>
      </c>
      <c r="D18" s="58">
        <v>1.0</v>
      </c>
      <c r="F18" s="59" t="s">
        <v>158</v>
      </c>
      <c r="G18" s="60">
        <v>45795.0</v>
      </c>
      <c r="H18" s="58">
        <v>1.0</v>
      </c>
      <c r="I18" s="58" t="s">
        <v>172</v>
      </c>
      <c r="J18" s="61">
        <v>4.6456713107E11</v>
      </c>
      <c r="K18" s="62" t="s">
        <v>173</v>
      </c>
      <c r="L18" s="62">
        <v>2038710.0</v>
      </c>
      <c r="M18" s="63"/>
      <c r="N18" s="63"/>
      <c r="O18" s="62" t="s">
        <v>174</v>
      </c>
      <c r="P18" s="63"/>
      <c r="Q18" s="63"/>
      <c r="R18" s="62" t="s">
        <v>175</v>
      </c>
      <c r="S18" s="62">
        <v>77040.0</v>
      </c>
      <c r="T18" s="58" t="s">
        <v>105</v>
      </c>
      <c r="U18" s="59">
        <v>0.0</v>
      </c>
      <c r="V18" s="59">
        <v>-10.81</v>
      </c>
      <c r="W18" s="58">
        <v>0.0</v>
      </c>
      <c r="X18" s="58">
        <v>0.0</v>
      </c>
      <c r="Y18" s="58">
        <v>0.0</v>
      </c>
      <c r="Z18" s="59">
        <v>0.0</v>
      </c>
      <c r="AA18" s="58">
        <v>0.0</v>
      </c>
      <c r="AB18" s="58">
        <v>0.0</v>
      </c>
      <c r="AC18" s="58">
        <v>0.0</v>
      </c>
      <c r="AD18" s="58">
        <v>0.0</v>
      </c>
      <c r="AE18" s="58">
        <v>0.0</v>
      </c>
      <c r="AF18" s="58">
        <v>0.0</v>
      </c>
      <c r="AG18" s="58">
        <v>0.0</v>
      </c>
      <c r="AH18" s="58">
        <v>0.0</v>
      </c>
      <c r="AI18" s="58">
        <v>0.0</v>
      </c>
      <c r="AJ18" s="58">
        <v>0.0</v>
      </c>
      <c r="AK18" s="58">
        <v>0.0</v>
      </c>
      <c r="AL18" s="58">
        <v>0.0</v>
      </c>
      <c r="AM18" s="58">
        <v>0.0</v>
      </c>
      <c r="AN18" s="58">
        <v>0.0</v>
      </c>
      <c r="AO18" s="58">
        <v>0.0</v>
      </c>
      <c r="AP18" s="58">
        <v>0.0</v>
      </c>
      <c r="AQ18" s="58">
        <v>0.0</v>
      </c>
      <c r="AR18" s="58">
        <v>0.0</v>
      </c>
      <c r="AS18" s="58">
        <v>0.0</v>
      </c>
      <c r="AT18" s="58">
        <v>0.0</v>
      </c>
      <c r="AU18" s="58">
        <v>0.0</v>
      </c>
      <c r="AV18" s="58">
        <v>0.0</v>
      </c>
      <c r="AW18" s="58">
        <v>0.0</v>
      </c>
      <c r="AX18" s="58">
        <v>0.0</v>
      </c>
      <c r="AY18" s="58">
        <v>0.0</v>
      </c>
      <c r="AZ18" s="58">
        <v>0.0</v>
      </c>
      <c r="BA18" s="58">
        <v>0.0</v>
      </c>
      <c r="BB18" s="58">
        <v>0.0</v>
      </c>
      <c r="BC18" s="58" t="s">
        <v>106</v>
      </c>
      <c r="BD18" s="58" t="s">
        <v>163</v>
      </c>
      <c r="BE18" s="58">
        <v>5013.0</v>
      </c>
      <c r="BH18" s="58" t="s">
        <v>107</v>
      </c>
      <c r="BI18" s="58" t="s">
        <v>108</v>
      </c>
      <c r="BN18" s="58" t="s">
        <v>111</v>
      </c>
      <c r="BO18" s="58" t="s">
        <v>112</v>
      </c>
      <c r="BW18" s="64" t="str">
        <f>if(OR(F18="SALE",F18="REFUNDED"),IFERROR(Vlookup(I18,'Listing SKU - Fill SKU Mapping'!A:C,3,false),"Map"),"")</f>
        <v/>
      </c>
      <c r="BX18" s="65" t="str">
        <f>IF(OR(F18="SALE",F18="REFUNDED")=TRUE,iferror(Vlookup(I18,'Listing SKU - Fill SKU Mapping'!A:B,2,false),"Map"),"")</f>
        <v/>
      </c>
      <c r="BY18" s="64" t="str">
        <f>IF(OR(F18="SALE",F18="REFUNDED")=TRUE,iferror(Vlookup(I18,'Listing SKU - Fill SKU Mapping'!A:D,4,false),"Map"),"")</f>
        <v/>
      </c>
      <c r="BZ18" s="66" t="str">
        <f t="shared" si="1"/>
        <v/>
      </c>
      <c r="CA18" s="64" t="str">
        <f t="shared" si="2"/>
        <v/>
      </c>
      <c r="CB18" s="64" t="str">
        <f t="shared" si="3"/>
        <v/>
      </c>
      <c r="CC18" s="65" t="str">
        <f>if(F18="REFUNDED",iferror(Vlookup(I18,'Listing SKU - Fill SKU Mapping'!A:B,2,false),"Map"),"")</f>
        <v/>
      </c>
      <c r="CD18" s="65" t="str">
        <f>if(F18="REFUNDED",iferror(Vlookup(I18,'Listing SKU - Fill SKU Mapping'!A:C,3,false),"Map"),"")</f>
        <v/>
      </c>
      <c r="CE18" s="64" t="str">
        <f t="shared" si="4"/>
        <v>2025</v>
      </c>
      <c r="CF18" s="64" t="str">
        <f t="shared" si="5"/>
        <v>May</v>
      </c>
      <c r="CG18" s="64" t="str">
        <f t="shared" si="6"/>
        <v/>
      </c>
    </row>
    <row r="19">
      <c r="A19" s="55">
        <v>2.00012934607014E14</v>
      </c>
      <c r="B19" s="56">
        <v>1.0</v>
      </c>
      <c r="C19" s="57">
        <v>1.09010168324919E14</v>
      </c>
      <c r="D19" s="58">
        <v>1.0</v>
      </c>
      <c r="F19" s="59" t="s">
        <v>158</v>
      </c>
      <c r="G19" s="60">
        <v>45795.0</v>
      </c>
      <c r="H19" s="58">
        <v>1.0</v>
      </c>
      <c r="I19" s="58" t="s">
        <v>176</v>
      </c>
      <c r="J19" s="61">
        <v>4.60776230283E11</v>
      </c>
      <c r="K19" s="62" t="s">
        <v>177</v>
      </c>
      <c r="L19" s="62">
        <v>2038710.0</v>
      </c>
      <c r="M19" s="63"/>
      <c r="N19" s="63"/>
      <c r="O19" s="62" t="s">
        <v>166</v>
      </c>
      <c r="P19" s="63"/>
      <c r="Q19" s="63"/>
      <c r="R19" s="62" t="s">
        <v>178</v>
      </c>
      <c r="S19" s="62">
        <v>24013.0</v>
      </c>
      <c r="T19" s="58" t="s">
        <v>105</v>
      </c>
      <c r="U19" s="59">
        <v>0.0</v>
      </c>
      <c r="V19" s="59">
        <v>-8.89</v>
      </c>
      <c r="W19" s="58">
        <v>0.0</v>
      </c>
      <c r="X19" s="58">
        <v>0.0</v>
      </c>
      <c r="Y19" s="58">
        <v>0.0</v>
      </c>
      <c r="Z19" s="59">
        <v>0.0</v>
      </c>
      <c r="AA19" s="58">
        <v>0.0</v>
      </c>
      <c r="AB19" s="58">
        <v>0.0</v>
      </c>
      <c r="AC19" s="58">
        <v>0.0</v>
      </c>
      <c r="AD19" s="58">
        <v>0.0</v>
      </c>
      <c r="AE19" s="58">
        <v>0.0</v>
      </c>
      <c r="AF19" s="58">
        <v>0.0</v>
      </c>
      <c r="AG19" s="58">
        <v>0.0</v>
      </c>
      <c r="AH19" s="58">
        <v>0.0</v>
      </c>
      <c r="AI19" s="58">
        <v>0.0</v>
      </c>
      <c r="AJ19" s="58">
        <v>0.0</v>
      </c>
      <c r="AK19" s="58">
        <v>0.0</v>
      </c>
      <c r="AL19" s="58">
        <v>0.0</v>
      </c>
      <c r="AM19" s="58">
        <v>0.0</v>
      </c>
      <c r="AN19" s="58">
        <v>0.0</v>
      </c>
      <c r="AO19" s="58">
        <v>0.0</v>
      </c>
      <c r="AP19" s="58">
        <v>0.0</v>
      </c>
      <c r="AQ19" s="58">
        <v>0.0</v>
      </c>
      <c r="AR19" s="58">
        <v>0.0</v>
      </c>
      <c r="AS19" s="58">
        <v>0.0</v>
      </c>
      <c r="AT19" s="58">
        <v>0.0</v>
      </c>
      <c r="AU19" s="58">
        <v>0.0</v>
      </c>
      <c r="AV19" s="58">
        <v>0.0</v>
      </c>
      <c r="AW19" s="58">
        <v>0.0</v>
      </c>
      <c r="AX19" s="58">
        <v>0.0</v>
      </c>
      <c r="AY19" s="58">
        <v>0.0</v>
      </c>
      <c r="AZ19" s="58">
        <v>0.0</v>
      </c>
      <c r="BA19" s="58">
        <v>0.0</v>
      </c>
      <c r="BB19" s="58">
        <v>0.0</v>
      </c>
      <c r="BC19" s="58" t="s">
        <v>106</v>
      </c>
      <c r="BD19" s="58" t="s">
        <v>163</v>
      </c>
      <c r="BE19" s="58">
        <v>5013.0</v>
      </c>
      <c r="BH19" s="58" t="s">
        <v>107</v>
      </c>
      <c r="BI19" s="58" t="s">
        <v>108</v>
      </c>
      <c r="BN19" s="58" t="s">
        <v>111</v>
      </c>
      <c r="BO19" s="58" t="s">
        <v>112</v>
      </c>
      <c r="BW19" s="64" t="str">
        <f>if(OR(F19="SALE",F19="REFUNDED"),IFERROR(Vlookup(I19,'Listing SKU - Fill SKU Mapping'!A:C,3,false),"Map"),"")</f>
        <v/>
      </c>
      <c r="BX19" s="65" t="str">
        <f>IF(OR(F19="SALE",F19="REFUNDED")=TRUE,iferror(Vlookup(I19,'Listing SKU - Fill SKU Mapping'!A:B,2,false),"Map"),"")</f>
        <v/>
      </c>
      <c r="BY19" s="64" t="str">
        <f>IF(OR(F19="SALE",F19="REFUNDED")=TRUE,iferror(Vlookup(I19,'Listing SKU - Fill SKU Mapping'!A:D,4,false),"Map"),"")</f>
        <v/>
      </c>
      <c r="BZ19" s="66" t="str">
        <f t="shared" si="1"/>
        <v/>
      </c>
      <c r="CA19" s="64" t="str">
        <f t="shared" si="2"/>
        <v/>
      </c>
      <c r="CB19" s="64" t="str">
        <f t="shared" si="3"/>
        <v/>
      </c>
      <c r="CC19" s="65" t="str">
        <f>if(F19="REFUNDED",iferror(Vlookup(I19,'Listing SKU - Fill SKU Mapping'!A:B,2,false),"Map"),"")</f>
        <v/>
      </c>
      <c r="CD19" s="65" t="str">
        <f>if(F19="REFUNDED",iferror(Vlookup(I19,'Listing SKU - Fill SKU Mapping'!A:C,3,false),"Map"),"")</f>
        <v/>
      </c>
      <c r="CE19" s="64" t="str">
        <f t="shared" si="4"/>
        <v>2025</v>
      </c>
      <c r="CF19" s="64" t="str">
        <f t="shared" si="5"/>
        <v>May</v>
      </c>
      <c r="CG19" s="64" t="str">
        <f t="shared" si="6"/>
        <v/>
      </c>
    </row>
    <row r="20">
      <c r="A20" s="55">
        <v>2.00013328886328E14</v>
      </c>
      <c r="B20" s="56">
        <v>1.0</v>
      </c>
      <c r="C20" s="57">
        <v>1.09012673709835E14</v>
      </c>
      <c r="D20" s="58">
        <v>1.0</v>
      </c>
      <c r="F20" s="59" t="s">
        <v>100</v>
      </c>
      <c r="G20" s="60">
        <v>45783.0</v>
      </c>
      <c r="H20" s="58">
        <v>1.0</v>
      </c>
      <c r="I20" s="58" t="s">
        <v>179</v>
      </c>
      <c r="J20" s="61">
        <v>4.60776230986E11</v>
      </c>
      <c r="K20" s="62" t="s">
        <v>180</v>
      </c>
      <c r="L20" s="62">
        <v>2038710.0</v>
      </c>
      <c r="M20" s="63"/>
      <c r="N20" s="63"/>
      <c r="O20" s="62" t="s">
        <v>174</v>
      </c>
      <c r="P20" s="63"/>
      <c r="Q20" s="63"/>
      <c r="R20" s="62" t="s">
        <v>181</v>
      </c>
      <c r="S20" s="62">
        <v>78501.0</v>
      </c>
      <c r="T20" s="58" t="s">
        <v>105</v>
      </c>
      <c r="U20" s="59">
        <v>98.49</v>
      </c>
      <c r="V20" s="59">
        <v>84.61</v>
      </c>
      <c r="W20" s="58">
        <v>6.37</v>
      </c>
      <c r="X20" s="58">
        <v>7.0</v>
      </c>
      <c r="Y20" s="58">
        <v>90.98</v>
      </c>
      <c r="Z20" s="59">
        <v>0.0</v>
      </c>
      <c r="AA20" s="58">
        <v>0.0</v>
      </c>
      <c r="AB20" s="58">
        <v>0.0</v>
      </c>
      <c r="AC20" s="58">
        <v>0.0</v>
      </c>
      <c r="AD20" s="58">
        <v>0.0</v>
      </c>
      <c r="AE20" s="58">
        <v>0.0</v>
      </c>
      <c r="AF20" s="58">
        <v>0.0</v>
      </c>
      <c r="AG20" s="58">
        <v>0.0</v>
      </c>
      <c r="AH20" s="58">
        <v>0.0</v>
      </c>
      <c r="AI20" s="58">
        <v>0.0</v>
      </c>
      <c r="AJ20" s="58">
        <v>0.0</v>
      </c>
      <c r="AK20" s="58">
        <v>0.0</v>
      </c>
      <c r="AL20" s="58">
        <v>0.0</v>
      </c>
      <c r="AM20" s="58">
        <v>0.0</v>
      </c>
      <c r="AN20" s="58">
        <v>0.0</v>
      </c>
      <c r="AO20" s="58">
        <v>7.51</v>
      </c>
      <c r="AP20" s="58">
        <v>0.0</v>
      </c>
      <c r="AQ20" s="58">
        <v>0.0</v>
      </c>
      <c r="AR20" s="58">
        <v>0.0</v>
      </c>
      <c r="AS20" s="58">
        <v>0.0</v>
      </c>
      <c r="AT20" s="58">
        <v>0.0</v>
      </c>
      <c r="AU20" s="58">
        <v>0.0</v>
      </c>
      <c r="AV20" s="58">
        <v>0.0</v>
      </c>
      <c r="AW20" s="58">
        <v>0.0</v>
      </c>
      <c r="AX20" s="58">
        <v>0.0</v>
      </c>
      <c r="AY20" s="58">
        <v>0.0</v>
      </c>
      <c r="AZ20" s="58">
        <v>0.0</v>
      </c>
      <c r="BA20" s="58">
        <v>0.0</v>
      </c>
      <c r="BB20" s="58">
        <v>7.51</v>
      </c>
      <c r="BC20" s="58" t="s">
        <v>106</v>
      </c>
      <c r="BG20" s="58">
        <v>-9.1</v>
      </c>
      <c r="BH20" s="58" t="s">
        <v>107</v>
      </c>
      <c r="BI20" s="58" t="s">
        <v>108</v>
      </c>
      <c r="BJ20" s="58" t="s">
        <v>109</v>
      </c>
      <c r="BK20" s="58" t="s">
        <v>182</v>
      </c>
      <c r="BN20" s="58" t="s">
        <v>111</v>
      </c>
      <c r="BO20" s="58" t="s">
        <v>112</v>
      </c>
      <c r="BP20" s="58" t="s">
        <v>113</v>
      </c>
      <c r="BQ20" s="58" t="s">
        <v>114</v>
      </c>
      <c r="BR20" s="58">
        <v>2.73</v>
      </c>
      <c r="BW20" s="64" t="str">
        <f>if(OR(F20="SALE",F20="REFUNDED"),IFERROR(Vlookup(I20,'Listing SKU - Fill SKU Mapping'!A:C,3,false),"Map"),"")</f>
        <v>Keystone</v>
      </c>
      <c r="BX20" s="65" t="str">
        <f>IF(OR(F20="SALE",F20="REFUNDED")=TRUE,iferror(Vlookup(I20,'Listing SKU - Fill SKU Mapping'!A:B,2,false),"Map"),"")</f>
        <v>IMP375BLK</v>
      </c>
      <c r="BY20" s="64">
        <f>IF(OR(F20="SALE",F20="REFUNDED")=TRUE,iferror(Vlookup(I20,'Listing SKU - Fill SKU Mapping'!A:D,4,false),"Map"),"")</f>
        <v>41.03</v>
      </c>
      <c r="BZ20" s="66">
        <f t="shared" si="1"/>
        <v>11.5</v>
      </c>
      <c r="CA20" s="66">
        <f t="shared" si="2"/>
        <v>52.53</v>
      </c>
      <c r="CB20" s="66">
        <f t="shared" si="3"/>
        <v>32.08</v>
      </c>
      <c r="CC20" s="65" t="str">
        <f>if(F20="REFUNDED",iferror(Vlookup(I20,'Listing SKU - Fill SKU Mapping'!A:B,2,false),"Map"),"")</f>
        <v/>
      </c>
      <c r="CD20" s="65" t="str">
        <f>if(F20="REFUNDED",iferror(Vlookup(I20,'Listing SKU - Fill SKU Mapping'!A:C,3,false),"Map"),"")</f>
        <v/>
      </c>
      <c r="CE20" s="64" t="str">
        <f t="shared" si="4"/>
        <v>2025</v>
      </c>
      <c r="CF20" s="64" t="str">
        <f t="shared" si="5"/>
        <v>May</v>
      </c>
      <c r="CG20" s="64" t="str">
        <f t="shared" si="6"/>
        <v/>
      </c>
    </row>
    <row r="21">
      <c r="A21" s="55">
        <v>2.00013309638819E14</v>
      </c>
      <c r="B21" s="56">
        <v>1.0</v>
      </c>
      <c r="C21" s="57">
        <v>1.09013192839887E14</v>
      </c>
      <c r="D21" s="58">
        <v>1.0</v>
      </c>
      <c r="F21" s="59" t="s">
        <v>100</v>
      </c>
      <c r="G21" s="60">
        <v>45789.0</v>
      </c>
      <c r="H21" s="58">
        <v>1.0</v>
      </c>
      <c r="I21" s="58" t="s">
        <v>183</v>
      </c>
      <c r="J21" s="61">
        <v>4.60776229027E11</v>
      </c>
      <c r="K21" s="62" t="s">
        <v>184</v>
      </c>
      <c r="L21" s="62">
        <v>2038710.0</v>
      </c>
      <c r="M21" s="63"/>
      <c r="N21" s="63"/>
      <c r="O21" s="62" t="s">
        <v>170</v>
      </c>
      <c r="P21" s="63"/>
      <c r="Q21" s="63"/>
      <c r="R21" s="62" t="s">
        <v>185</v>
      </c>
      <c r="S21" s="62">
        <v>47714.0</v>
      </c>
      <c r="T21" s="58" t="s">
        <v>105</v>
      </c>
      <c r="U21" s="59">
        <v>139.08</v>
      </c>
      <c r="V21" s="59">
        <v>120.88</v>
      </c>
      <c r="W21" s="58">
        <v>9.1</v>
      </c>
      <c r="X21" s="58">
        <v>7.0</v>
      </c>
      <c r="Y21" s="58">
        <v>129.98</v>
      </c>
      <c r="Z21" s="59">
        <v>0.0</v>
      </c>
      <c r="AA21" s="58">
        <v>0.0</v>
      </c>
      <c r="AB21" s="58">
        <v>0.0</v>
      </c>
      <c r="AC21" s="58">
        <v>0.0</v>
      </c>
      <c r="AD21" s="58">
        <v>0.0</v>
      </c>
      <c r="AE21" s="58">
        <v>0.0</v>
      </c>
      <c r="AF21" s="58">
        <v>0.0</v>
      </c>
      <c r="AG21" s="58">
        <v>0.0</v>
      </c>
      <c r="AH21" s="58">
        <v>0.0</v>
      </c>
      <c r="AI21" s="58">
        <v>0.0</v>
      </c>
      <c r="AJ21" s="58">
        <v>0.0</v>
      </c>
      <c r="AK21" s="58">
        <v>0.0</v>
      </c>
      <c r="AL21" s="58">
        <v>0.0</v>
      </c>
      <c r="AM21" s="58">
        <v>0.0</v>
      </c>
      <c r="AN21" s="58">
        <v>0.0</v>
      </c>
      <c r="AO21" s="58">
        <v>9.1</v>
      </c>
      <c r="AP21" s="58">
        <v>0.0</v>
      </c>
      <c r="AQ21" s="58">
        <v>0.0</v>
      </c>
      <c r="AR21" s="58">
        <v>0.0</v>
      </c>
      <c r="AS21" s="58">
        <v>0.0</v>
      </c>
      <c r="AT21" s="58">
        <v>0.0</v>
      </c>
      <c r="AU21" s="58">
        <v>0.0</v>
      </c>
      <c r="AV21" s="58">
        <v>0.0</v>
      </c>
      <c r="AW21" s="58">
        <v>0.0</v>
      </c>
      <c r="AX21" s="58">
        <v>0.0</v>
      </c>
      <c r="AY21" s="58">
        <v>0.0</v>
      </c>
      <c r="AZ21" s="58">
        <v>0.0</v>
      </c>
      <c r="BA21" s="58">
        <v>0.0</v>
      </c>
      <c r="BB21" s="58">
        <v>9.1</v>
      </c>
      <c r="BC21" s="58" t="s">
        <v>106</v>
      </c>
      <c r="BG21" s="58">
        <v>-13.0</v>
      </c>
      <c r="BH21" s="58" t="s">
        <v>107</v>
      </c>
      <c r="BI21" s="58" t="s">
        <v>108</v>
      </c>
      <c r="BJ21" s="58" t="s">
        <v>109</v>
      </c>
      <c r="BK21" s="58" t="s">
        <v>186</v>
      </c>
      <c r="BN21" s="58" t="s">
        <v>111</v>
      </c>
      <c r="BO21" s="58" t="s">
        <v>112</v>
      </c>
      <c r="BP21" s="58" t="s">
        <v>113</v>
      </c>
      <c r="BQ21" s="58" t="s">
        <v>114</v>
      </c>
      <c r="BR21" s="58">
        <v>3.9</v>
      </c>
      <c r="BW21" s="64" t="str">
        <f>if(OR(F21="SALE",F21="REFUNDED"),IFERROR(Vlookup(I21,'Listing SKU - Fill SKU Mapping'!A:C,3,false),"Map"),"")</f>
        <v>Keystone</v>
      </c>
      <c r="BX21" s="65" t="str">
        <f>IF(OR(F21="SALE",F21="REFUNDED")=TRUE,iferror(Vlookup(I21,'Listing SKU - Fill SKU Mapping'!A:B,2,false),"Map"),"")</f>
        <v>IMP377XN</v>
      </c>
      <c r="BY21" s="64">
        <f>IF(OR(F21="SALE",F21="REFUNDED")=TRUE,iferror(Vlookup(I21,'Listing SKU - Fill SKU Mapping'!A:D,4,false),"Map"),"")</f>
        <v>67.85</v>
      </c>
      <c r="BZ21" s="66">
        <f t="shared" si="1"/>
        <v>11.5</v>
      </c>
      <c r="CA21" s="66">
        <f t="shared" si="2"/>
        <v>79.35</v>
      </c>
      <c r="CB21" s="66">
        <f t="shared" si="3"/>
        <v>41.53</v>
      </c>
      <c r="CC21" s="65" t="str">
        <f>if(F21="REFUNDED",iferror(Vlookup(I21,'Listing SKU - Fill SKU Mapping'!A:B,2,false),"Map"),"")</f>
        <v/>
      </c>
      <c r="CD21" s="65" t="str">
        <f>if(F21="REFUNDED",iferror(Vlookup(I21,'Listing SKU - Fill SKU Mapping'!A:C,3,false),"Map"),"")</f>
        <v/>
      </c>
      <c r="CE21" s="64" t="str">
        <f t="shared" si="4"/>
        <v>2025</v>
      </c>
      <c r="CF21" s="64" t="str">
        <f t="shared" si="5"/>
        <v>May</v>
      </c>
      <c r="CG21" s="64" t="str">
        <f t="shared" si="6"/>
        <v/>
      </c>
    </row>
    <row r="22">
      <c r="A22" s="55">
        <v>2.00013296634411E14</v>
      </c>
      <c r="B22" s="56">
        <v>1.0</v>
      </c>
      <c r="C22" s="57">
        <v>1.09013191993463E14</v>
      </c>
      <c r="D22" s="58">
        <v>1.0</v>
      </c>
      <c r="F22" s="59" t="s">
        <v>100</v>
      </c>
      <c r="G22" s="60">
        <v>45789.0</v>
      </c>
      <c r="H22" s="58">
        <v>1.0</v>
      </c>
      <c r="I22" s="58" t="s">
        <v>187</v>
      </c>
      <c r="J22" s="61">
        <v>4.64567125864E11</v>
      </c>
      <c r="K22" s="62" t="s">
        <v>188</v>
      </c>
      <c r="L22" s="62">
        <v>2038710.0</v>
      </c>
      <c r="M22" s="63"/>
      <c r="N22" s="63"/>
      <c r="O22" s="62" t="s">
        <v>103</v>
      </c>
      <c r="P22" s="63"/>
      <c r="Q22" s="63"/>
      <c r="R22" s="62" t="s">
        <v>189</v>
      </c>
      <c r="S22" s="62">
        <v>32908.0</v>
      </c>
      <c r="T22" s="58" t="s">
        <v>105</v>
      </c>
      <c r="U22" s="59">
        <v>98.42</v>
      </c>
      <c r="V22" s="59">
        <v>85.54</v>
      </c>
      <c r="W22" s="58">
        <v>6.44</v>
      </c>
      <c r="X22" s="58">
        <v>7.0</v>
      </c>
      <c r="Y22" s="58">
        <v>91.98</v>
      </c>
      <c r="Z22" s="59">
        <v>0.0</v>
      </c>
      <c r="AA22" s="58">
        <v>0.0</v>
      </c>
      <c r="AB22" s="58">
        <v>0.0</v>
      </c>
      <c r="AC22" s="58">
        <v>0.0</v>
      </c>
      <c r="AD22" s="58">
        <v>0.0</v>
      </c>
      <c r="AE22" s="58">
        <v>0.0</v>
      </c>
      <c r="AF22" s="58">
        <v>0.0</v>
      </c>
      <c r="AG22" s="58">
        <v>0.0</v>
      </c>
      <c r="AH22" s="58">
        <v>0.0</v>
      </c>
      <c r="AI22" s="58">
        <v>0.0</v>
      </c>
      <c r="AJ22" s="58">
        <v>0.0</v>
      </c>
      <c r="AK22" s="58">
        <v>0.0</v>
      </c>
      <c r="AL22" s="58">
        <v>0.0</v>
      </c>
      <c r="AM22" s="58">
        <v>0.0</v>
      </c>
      <c r="AN22" s="58">
        <v>0.0</v>
      </c>
      <c r="AO22" s="58">
        <v>6.44</v>
      </c>
      <c r="AP22" s="58">
        <v>0.0</v>
      </c>
      <c r="AQ22" s="58">
        <v>0.0</v>
      </c>
      <c r="AR22" s="58">
        <v>0.0</v>
      </c>
      <c r="AS22" s="58">
        <v>0.0</v>
      </c>
      <c r="AT22" s="58">
        <v>0.0</v>
      </c>
      <c r="AU22" s="58">
        <v>0.0</v>
      </c>
      <c r="AV22" s="58">
        <v>0.0</v>
      </c>
      <c r="AW22" s="58">
        <v>0.0</v>
      </c>
      <c r="AX22" s="58">
        <v>0.0</v>
      </c>
      <c r="AY22" s="58">
        <v>0.0</v>
      </c>
      <c r="AZ22" s="58">
        <v>0.0</v>
      </c>
      <c r="BA22" s="58">
        <v>0.0</v>
      </c>
      <c r="BB22" s="58">
        <v>6.44</v>
      </c>
      <c r="BC22" s="58" t="s">
        <v>106</v>
      </c>
      <c r="BG22" s="58">
        <v>-9.2</v>
      </c>
      <c r="BH22" s="58" t="s">
        <v>107</v>
      </c>
      <c r="BI22" s="58" t="s">
        <v>108</v>
      </c>
      <c r="BJ22" s="58" t="s">
        <v>109</v>
      </c>
      <c r="BK22" s="58" t="s">
        <v>186</v>
      </c>
      <c r="BN22" s="58" t="s">
        <v>111</v>
      </c>
      <c r="BO22" s="58" t="s">
        <v>112</v>
      </c>
      <c r="BP22" s="58" t="s">
        <v>113</v>
      </c>
      <c r="BQ22" s="58" t="s">
        <v>114</v>
      </c>
      <c r="BR22" s="58">
        <v>2.76</v>
      </c>
      <c r="BW22" s="64" t="str">
        <f>if(OR(F22="SALE",F22="REFUNDED"),IFERROR(Vlookup(I22,'Listing SKU - Fill SKU Mapping'!A:C,3,false),"Map"),"")</f>
        <v>Keystone</v>
      </c>
      <c r="BX22" s="65" t="str">
        <f>IF(OR(F22="SALE",F22="REFUNDED")=TRUE,iferror(Vlookup(I22,'Listing SKU - Fill SKU Mapping'!A:B,2,false),"Map"),"")</f>
        <v>IMP42X</v>
      </c>
      <c r="BY22" s="64">
        <f>IF(OR(F22="SALE",F22="REFUNDED")=TRUE,iferror(Vlookup(I22,'Listing SKU - Fill SKU Mapping'!A:D,4,false),"Map"),"")</f>
        <v>51.28</v>
      </c>
      <c r="BZ22" s="66">
        <f t="shared" si="1"/>
        <v>11.5</v>
      </c>
      <c r="CA22" s="66">
        <f t="shared" si="2"/>
        <v>62.78</v>
      </c>
      <c r="CB22" s="66">
        <f t="shared" si="3"/>
        <v>22.76</v>
      </c>
      <c r="CC22" s="65" t="str">
        <f>if(F22="REFUNDED",iferror(Vlookup(I22,'Listing SKU - Fill SKU Mapping'!A:B,2,false),"Map"),"")</f>
        <v/>
      </c>
      <c r="CD22" s="65" t="str">
        <f>if(F22="REFUNDED",iferror(Vlookup(I22,'Listing SKU - Fill SKU Mapping'!A:C,3,false),"Map"),"")</f>
        <v/>
      </c>
      <c r="CE22" s="64" t="str">
        <f t="shared" si="4"/>
        <v>2025</v>
      </c>
      <c r="CF22" s="64" t="str">
        <f t="shared" si="5"/>
        <v>May</v>
      </c>
      <c r="CG22" s="64" t="str">
        <f t="shared" si="6"/>
        <v/>
      </c>
    </row>
    <row r="23">
      <c r="A23" s="55">
        <v>2.00013250701552E14</v>
      </c>
      <c r="B23" s="56">
        <v>1.0</v>
      </c>
      <c r="C23" s="57">
        <v>1.09013412941626E14</v>
      </c>
      <c r="D23" s="58">
        <v>1.0</v>
      </c>
      <c r="F23" s="59" t="s">
        <v>100</v>
      </c>
      <c r="G23" s="60">
        <v>45790.0</v>
      </c>
      <c r="H23" s="58">
        <v>1.0</v>
      </c>
      <c r="I23" s="58" t="s">
        <v>190</v>
      </c>
      <c r="J23" s="61">
        <v>4.6077623102E11</v>
      </c>
      <c r="K23" s="62" t="s">
        <v>191</v>
      </c>
      <c r="L23" s="62">
        <v>2038710.0</v>
      </c>
      <c r="M23" s="63"/>
      <c r="N23" s="63"/>
      <c r="O23" s="62" t="s">
        <v>192</v>
      </c>
      <c r="P23" s="63"/>
      <c r="Q23" s="63"/>
      <c r="R23" s="62" t="s">
        <v>193</v>
      </c>
      <c r="S23" s="62">
        <v>53151.0</v>
      </c>
      <c r="T23" s="58" t="s">
        <v>105</v>
      </c>
      <c r="U23" s="59">
        <v>123.88</v>
      </c>
      <c r="V23" s="59">
        <v>109.72</v>
      </c>
      <c r="W23" s="58">
        <v>8.26</v>
      </c>
      <c r="X23" s="58">
        <v>7.0</v>
      </c>
      <c r="Y23" s="58">
        <v>117.98</v>
      </c>
      <c r="Z23" s="59">
        <v>0.0</v>
      </c>
      <c r="AA23" s="58">
        <v>0.0</v>
      </c>
      <c r="AB23" s="58">
        <v>0.0</v>
      </c>
      <c r="AC23" s="58">
        <v>0.0</v>
      </c>
      <c r="AD23" s="58">
        <v>0.0</v>
      </c>
      <c r="AE23" s="58">
        <v>0.0</v>
      </c>
      <c r="AF23" s="58">
        <v>0.0</v>
      </c>
      <c r="AG23" s="58">
        <v>0.0</v>
      </c>
      <c r="AH23" s="58">
        <v>0.0</v>
      </c>
      <c r="AI23" s="58">
        <v>0.0</v>
      </c>
      <c r="AJ23" s="58">
        <v>0.0</v>
      </c>
      <c r="AK23" s="58">
        <v>0.0</v>
      </c>
      <c r="AL23" s="58">
        <v>0.0</v>
      </c>
      <c r="AM23" s="58">
        <v>0.0</v>
      </c>
      <c r="AN23" s="58">
        <v>0.0</v>
      </c>
      <c r="AO23" s="58">
        <v>5.9</v>
      </c>
      <c r="AP23" s="58">
        <v>0.0</v>
      </c>
      <c r="AQ23" s="58">
        <v>0.0</v>
      </c>
      <c r="AR23" s="58">
        <v>0.0</v>
      </c>
      <c r="AS23" s="58">
        <v>0.0</v>
      </c>
      <c r="AT23" s="58">
        <v>0.0</v>
      </c>
      <c r="AU23" s="58">
        <v>0.0</v>
      </c>
      <c r="AV23" s="58">
        <v>0.0</v>
      </c>
      <c r="AW23" s="58">
        <v>0.0</v>
      </c>
      <c r="AX23" s="58">
        <v>0.0</v>
      </c>
      <c r="AY23" s="58">
        <v>0.0</v>
      </c>
      <c r="AZ23" s="58">
        <v>0.0</v>
      </c>
      <c r="BA23" s="58">
        <v>0.0</v>
      </c>
      <c r="BB23" s="58">
        <v>5.9</v>
      </c>
      <c r="BC23" s="58" t="s">
        <v>106</v>
      </c>
      <c r="BG23" s="58">
        <v>-11.8</v>
      </c>
      <c r="BH23" s="58" t="s">
        <v>107</v>
      </c>
      <c r="BI23" s="58" t="s">
        <v>108</v>
      </c>
      <c r="BJ23" s="58" t="s">
        <v>109</v>
      </c>
      <c r="BK23" s="58" t="s">
        <v>186</v>
      </c>
      <c r="BN23" s="58" t="s">
        <v>111</v>
      </c>
      <c r="BO23" s="58" t="s">
        <v>112</v>
      </c>
      <c r="BP23" s="58" t="s">
        <v>113</v>
      </c>
      <c r="BQ23" s="58" t="s">
        <v>114</v>
      </c>
      <c r="BR23" s="58">
        <v>3.54</v>
      </c>
      <c r="BW23" s="64" t="str">
        <f>if(OR(F23="SALE",F23="REFUNDED"),IFERROR(Vlookup(I23,'Listing SKU - Fill SKU Mapping'!A:C,3,false),"Map"),"")</f>
        <v>Keystone</v>
      </c>
      <c r="BX23" s="65" t="str">
        <f>IF(OR(F23="SALE",F23="REFUNDED")=TRUE,iferror(Vlookup(I23,'Listing SKU - Fill SKU Mapping'!A:B,2,false),"Map"),"")</f>
        <v>IMP75X</v>
      </c>
      <c r="BY23" s="64">
        <f>IF(OR(F23="SALE",F23="REFUNDED")=TRUE,iferror(Vlookup(I23,'Listing SKU - Fill SKU Mapping'!A:D,4,false),"Map"),"")</f>
        <v>59.57</v>
      </c>
      <c r="BZ23" s="66">
        <f t="shared" si="1"/>
        <v>11.5</v>
      </c>
      <c r="CA23" s="66">
        <f t="shared" si="2"/>
        <v>71.07</v>
      </c>
      <c r="CB23" s="66">
        <f t="shared" si="3"/>
        <v>38.65</v>
      </c>
      <c r="CC23" s="65" t="str">
        <f>if(F23="REFUNDED",iferror(Vlookup(I23,'Listing SKU - Fill SKU Mapping'!A:B,2,false),"Map"),"")</f>
        <v/>
      </c>
      <c r="CD23" s="65" t="str">
        <f>if(F23="REFUNDED",iferror(Vlookup(I23,'Listing SKU - Fill SKU Mapping'!A:C,3,false),"Map"),"")</f>
        <v/>
      </c>
      <c r="CE23" s="64" t="str">
        <f t="shared" si="4"/>
        <v>2025</v>
      </c>
      <c r="CF23" s="64" t="str">
        <f t="shared" si="5"/>
        <v>May</v>
      </c>
      <c r="CG23" s="64" t="str">
        <f t="shared" si="6"/>
        <v/>
      </c>
    </row>
    <row r="24">
      <c r="A24" s="55">
        <v>2.00013222975528E14</v>
      </c>
      <c r="B24" s="56">
        <v>1.0</v>
      </c>
      <c r="C24" s="57">
        <v>1.09013397530691E14</v>
      </c>
      <c r="D24" s="58">
        <v>1.0</v>
      </c>
      <c r="F24" s="59" t="s">
        <v>100</v>
      </c>
      <c r="G24" s="60">
        <v>45789.0</v>
      </c>
      <c r="H24" s="58">
        <v>1.0</v>
      </c>
      <c r="I24" s="58" t="s">
        <v>194</v>
      </c>
      <c r="J24" s="61">
        <v>4.60776231785E11</v>
      </c>
      <c r="K24" s="62" t="s">
        <v>195</v>
      </c>
      <c r="L24" s="62">
        <v>2038710.0</v>
      </c>
      <c r="M24" s="63"/>
      <c r="N24" s="63"/>
      <c r="O24" s="62" t="s">
        <v>117</v>
      </c>
      <c r="P24" s="63"/>
      <c r="Q24" s="63"/>
      <c r="R24" s="62" t="s">
        <v>196</v>
      </c>
      <c r="S24" s="62">
        <v>21703.0</v>
      </c>
      <c r="T24" s="58" t="s">
        <v>105</v>
      </c>
      <c r="U24" s="59">
        <v>108.1</v>
      </c>
      <c r="V24" s="59">
        <v>94.84</v>
      </c>
      <c r="W24" s="58">
        <v>7.14</v>
      </c>
      <c r="X24" s="58">
        <v>7.0</v>
      </c>
      <c r="Y24" s="58">
        <v>101.98</v>
      </c>
      <c r="Z24" s="59">
        <v>0.0</v>
      </c>
      <c r="AA24" s="58">
        <v>0.0</v>
      </c>
      <c r="AB24" s="58">
        <v>0.0</v>
      </c>
      <c r="AC24" s="58">
        <v>0.0</v>
      </c>
      <c r="AD24" s="58">
        <v>0.0</v>
      </c>
      <c r="AE24" s="58">
        <v>0.0</v>
      </c>
      <c r="AF24" s="58">
        <v>0.0</v>
      </c>
      <c r="AG24" s="58">
        <v>0.0</v>
      </c>
      <c r="AH24" s="58">
        <v>0.0</v>
      </c>
      <c r="AI24" s="58">
        <v>0.0</v>
      </c>
      <c r="AJ24" s="58">
        <v>0.0</v>
      </c>
      <c r="AK24" s="58">
        <v>0.0</v>
      </c>
      <c r="AL24" s="58">
        <v>0.0</v>
      </c>
      <c r="AM24" s="58">
        <v>0.0</v>
      </c>
      <c r="AN24" s="58">
        <v>0.0</v>
      </c>
      <c r="AO24" s="58">
        <v>6.12</v>
      </c>
      <c r="AP24" s="58">
        <v>0.0</v>
      </c>
      <c r="AQ24" s="58">
        <v>0.0</v>
      </c>
      <c r="AR24" s="58">
        <v>0.0</v>
      </c>
      <c r="AS24" s="58">
        <v>0.0</v>
      </c>
      <c r="AT24" s="58">
        <v>0.0</v>
      </c>
      <c r="AU24" s="58">
        <v>0.0</v>
      </c>
      <c r="AV24" s="58">
        <v>0.0</v>
      </c>
      <c r="AW24" s="58">
        <v>0.0</v>
      </c>
      <c r="AX24" s="58">
        <v>0.0</v>
      </c>
      <c r="AY24" s="58">
        <v>0.0</v>
      </c>
      <c r="AZ24" s="58">
        <v>0.0</v>
      </c>
      <c r="BA24" s="58">
        <v>0.0</v>
      </c>
      <c r="BB24" s="58">
        <v>6.12</v>
      </c>
      <c r="BC24" s="58" t="s">
        <v>106</v>
      </c>
      <c r="BG24" s="58">
        <v>-10.2</v>
      </c>
      <c r="BH24" s="58" t="s">
        <v>107</v>
      </c>
      <c r="BI24" s="58" t="s">
        <v>108</v>
      </c>
      <c r="BJ24" s="58" t="s">
        <v>109</v>
      </c>
      <c r="BK24" s="58" t="s">
        <v>186</v>
      </c>
      <c r="BN24" s="58" t="s">
        <v>111</v>
      </c>
      <c r="BO24" s="58" t="s">
        <v>112</v>
      </c>
      <c r="BP24" s="58" t="s">
        <v>113</v>
      </c>
      <c r="BQ24" s="58" t="s">
        <v>114</v>
      </c>
      <c r="BR24" s="58">
        <v>3.06</v>
      </c>
      <c r="BW24" s="64" t="str">
        <f>if(OR(F24="SALE",F24="REFUNDED"),IFERROR(Vlookup(I24,'Listing SKU - Fill SKU Mapping'!A:C,3,false),"Map"),"")</f>
        <v>Keystone</v>
      </c>
      <c r="BX24" s="65" t="str">
        <f>IF(OR(F24="SALE",F24="REFUNDED")=TRUE,iferror(Vlookup(I24,'Listing SKU - Fill SKU Mapping'!A:B,2,false),"Map"),"")</f>
        <v>IMP462BLK</v>
      </c>
      <c r="BY24" s="64">
        <f>IF(OR(F24="SALE",F24="REFUNDED")=TRUE,iferror(Vlookup(I24,'Listing SKU - Fill SKU Mapping'!A:D,4,false),"Map"),"")</f>
        <v>48.52</v>
      </c>
      <c r="BZ24" s="66">
        <f t="shared" si="1"/>
        <v>11.5</v>
      </c>
      <c r="CA24" s="66">
        <f t="shared" si="2"/>
        <v>60.02</v>
      </c>
      <c r="CB24" s="66">
        <f t="shared" si="3"/>
        <v>34.82</v>
      </c>
      <c r="CC24" s="65" t="str">
        <f>if(F24="REFUNDED",iferror(Vlookup(I24,'Listing SKU - Fill SKU Mapping'!A:B,2,false),"Map"),"")</f>
        <v/>
      </c>
      <c r="CD24" s="65" t="str">
        <f>if(F24="REFUNDED",iferror(Vlookup(I24,'Listing SKU - Fill SKU Mapping'!A:C,3,false),"Map"),"")</f>
        <v/>
      </c>
      <c r="CE24" s="64" t="str">
        <f t="shared" si="4"/>
        <v>2025</v>
      </c>
      <c r="CF24" s="64" t="str">
        <f t="shared" si="5"/>
        <v>May</v>
      </c>
      <c r="CG24" s="64" t="str">
        <f t="shared" si="6"/>
        <v/>
      </c>
    </row>
    <row r="25">
      <c r="A25" s="55">
        <v>2.00013139259493E14</v>
      </c>
      <c r="B25" s="56">
        <v>1.0</v>
      </c>
      <c r="C25" s="57">
        <v>1.09012880994491E14</v>
      </c>
      <c r="D25" s="58">
        <v>1.0</v>
      </c>
      <c r="F25" s="59" t="s">
        <v>100</v>
      </c>
      <c r="G25" s="60">
        <v>45785.0</v>
      </c>
      <c r="H25" s="58">
        <v>1.0</v>
      </c>
      <c r="I25" s="58" t="s">
        <v>159</v>
      </c>
      <c r="J25" s="61">
        <v>4.60776234854E11</v>
      </c>
      <c r="K25" s="62" t="s">
        <v>160</v>
      </c>
      <c r="L25" s="62">
        <v>2038710.0</v>
      </c>
      <c r="M25" s="63"/>
      <c r="N25" s="63"/>
      <c r="O25" s="62" t="s">
        <v>103</v>
      </c>
      <c r="P25" s="63"/>
      <c r="Q25" s="63"/>
      <c r="R25" s="62" t="s">
        <v>197</v>
      </c>
      <c r="S25" s="62">
        <v>32082.0</v>
      </c>
      <c r="T25" s="58" t="s">
        <v>105</v>
      </c>
      <c r="U25" s="59">
        <v>101.15</v>
      </c>
      <c r="V25" s="59">
        <v>88.33</v>
      </c>
      <c r="W25" s="58">
        <v>6.65</v>
      </c>
      <c r="X25" s="58">
        <v>7.0</v>
      </c>
      <c r="Y25" s="58">
        <v>94.98</v>
      </c>
      <c r="Z25" s="59">
        <v>0.0</v>
      </c>
      <c r="AA25" s="58">
        <v>0.0</v>
      </c>
      <c r="AB25" s="58">
        <v>0.0</v>
      </c>
      <c r="AC25" s="58">
        <v>0.0</v>
      </c>
      <c r="AD25" s="58">
        <v>0.0</v>
      </c>
      <c r="AE25" s="58">
        <v>0.0</v>
      </c>
      <c r="AF25" s="58">
        <v>0.0</v>
      </c>
      <c r="AG25" s="58">
        <v>0.0</v>
      </c>
      <c r="AH25" s="58">
        <v>0.0</v>
      </c>
      <c r="AI25" s="58">
        <v>0.0</v>
      </c>
      <c r="AJ25" s="58">
        <v>0.0</v>
      </c>
      <c r="AK25" s="58">
        <v>0.0</v>
      </c>
      <c r="AL25" s="58">
        <v>0.0</v>
      </c>
      <c r="AM25" s="58">
        <v>0.0</v>
      </c>
      <c r="AN25" s="58">
        <v>0.0</v>
      </c>
      <c r="AO25" s="58">
        <v>6.17</v>
      </c>
      <c r="AP25" s="58">
        <v>0.0</v>
      </c>
      <c r="AQ25" s="58">
        <v>0.0</v>
      </c>
      <c r="AR25" s="58">
        <v>0.0</v>
      </c>
      <c r="AS25" s="58">
        <v>0.0</v>
      </c>
      <c r="AT25" s="58">
        <v>0.0</v>
      </c>
      <c r="AU25" s="58">
        <v>0.0</v>
      </c>
      <c r="AV25" s="58">
        <v>0.0</v>
      </c>
      <c r="AW25" s="58">
        <v>0.0</v>
      </c>
      <c r="AX25" s="58">
        <v>0.0</v>
      </c>
      <c r="AY25" s="58">
        <v>0.0</v>
      </c>
      <c r="AZ25" s="58">
        <v>0.0</v>
      </c>
      <c r="BA25" s="58">
        <v>0.0</v>
      </c>
      <c r="BB25" s="58">
        <v>6.17</v>
      </c>
      <c r="BC25" s="58" t="s">
        <v>106</v>
      </c>
      <c r="BG25" s="58">
        <v>-9.5</v>
      </c>
      <c r="BH25" s="58" t="s">
        <v>107</v>
      </c>
      <c r="BI25" s="58" t="s">
        <v>108</v>
      </c>
      <c r="BJ25" s="58" t="s">
        <v>109</v>
      </c>
      <c r="BK25" s="58" t="s">
        <v>182</v>
      </c>
      <c r="BN25" s="58" t="s">
        <v>111</v>
      </c>
      <c r="BO25" s="58" t="s">
        <v>112</v>
      </c>
      <c r="BP25" s="58" t="s">
        <v>113</v>
      </c>
      <c r="BQ25" s="58" t="s">
        <v>114</v>
      </c>
      <c r="BR25" s="58">
        <v>2.85</v>
      </c>
      <c r="BW25" s="64" t="str">
        <f>if(OR(F25="SALE",F25="REFUNDED"),IFERROR(Vlookup(I25,'Listing SKU - Fill SKU Mapping'!A:C,3,false),"Map"),"")</f>
        <v>Keystone</v>
      </c>
      <c r="BX25" s="65" t="str">
        <f>IF(OR(F25="SALE",F25="REFUNDED")=TRUE,iferror(Vlookup(I25,'Listing SKU - Fill SKU Mapping'!A:B,2,false),"Map"),"")</f>
        <v>IMP371BLK</v>
      </c>
      <c r="BY25" s="64">
        <f>IF(OR(F25="SALE",F25="REFUNDED")=TRUE,iferror(Vlookup(I25,'Listing SKU - Fill SKU Mapping'!A:D,4,false),"Map"),"")</f>
        <v>43.79</v>
      </c>
      <c r="BZ25" s="66">
        <f t="shared" si="1"/>
        <v>11.5</v>
      </c>
      <c r="CA25" s="66">
        <f t="shared" si="2"/>
        <v>55.29</v>
      </c>
      <c r="CB25" s="66">
        <f t="shared" si="3"/>
        <v>33.04</v>
      </c>
      <c r="CC25" s="65" t="str">
        <f>if(F25="REFUNDED",iferror(Vlookup(I25,'Listing SKU - Fill SKU Mapping'!A:B,2,false),"Map"),"")</f>
        <v/>
      </c>
      <c r="CD25" s="65" t="str">
        <f>if(F25="REFUNDED",iferror(Vlookup(I25,'Listing SKU - Fill SKU Mapping'!A:C,3,false),"Map"),"")</f>
        <v/>
      </c>
      <c r="CE25" s="64" t="str">
        <f t="shared" si="4"/>
        <v>2025</v>
      </c>
      <c r="CF25" s="64" t="str">
        <f t="shared" si="5"/>
        <v>May</v>
      </c>
      <c r="CG25" s="64" t="str">
        <f t="shared" si="6"/>
        <v/>
      </c>
    </row>
    <row r="26">
      <c r="A26" s="55">
        <v>2.0001313846631E14</v>
      </c>
      <c r="B26" s="56">
        <v>1.0</v>
      </c>
      <c r="C26" s="57">
        <v>1.09011528057285E14</v>
      </c>
      <c r="D26" s="58">
        <v>1.0</v>
      </c>
      <c r="F26" s="59" t="s">
        <v>128</v>
      </c>
      <c r="G26" s="60">
        <v>45789.0</v>
      </c>
      <c r="H26" s="58">
        <v>1.0</v>
      </c>
      <c r="I26" s="58" t="s">
        <v>198</v>
      </c>
      <c r="J26" s="61">
        <v>4.60776240152E11</v>
      </c>
      <c r="K26" s="62" t="s">
        <v>199</v>
      </c>
      <c r="L26" s="62">
        <v>2038710.0</v>
      </c>
      <c r="M26" s="63"/>
      <c r="N26" s="63"/>
      <c r="O26" s="63"/>
      <c r="P26" s="63"/>
      <c r="Q26" s="63"/>
      <c r="R26" s="62" t="s">
        <v>167</v>
      </c>
      <c r="S26" s="62">
        <v>23805.0</v>
      </c>
      <c r="U26" s="59">
        <v>-101.07</v>
      </c>
      <c r="V26" s="59">
        <v>-89.26</v>
      </c>
      <c r="W26" s="58">
        <v>-6.72</v>
      </c>
      <c r="X26" s="58">
        <v>0.0</v>
      </c>
      <c r="Y26" s="58">
        <v>0.0</v>
      </c>
      <c r="Z26" s="59">
        <v>-95.98</v>
      </c>
      <c r="AA26" s="58">
        <v>0.0</v>
      </c>
      <c r="AB26" s="58">
        <v>0.0</v>
      </c>
      <c r="AC26" s="58">
        <v>0.0</v>
      </c>
      <c r="AD26" s="58">
        <v>0.0</v>
      </c>
      <c r="AE26" s="58">
        <v>0.0</v>
      </c>
      <c r="AF26" s="58">
        <v>0.0</v>
      </c>
      <c r="AG26" s="58">
        <v>0.0</v>
      </c>
      <c r="AH26" s="58">
        <v>0.0</v>
      </c>
      <c r="AI26" s="58">
        <v>0.0</v>
      </c>
      <c r="AJ26" s="58">
        <v>0.0</v>
      </c>
      <c r="AK26" s="58">
        <v>0.0</v>
      </c>
      <c r="AL26" s="58">
        <v>0.0</v>
      </c>
      <c r="AM26" s="58">
        <v>0.0</v>
      </c>
      <c r="AN26" s="58">
        <v>0.0</v>
      </c>
      <c r="AO26" s="58">
        <v>0.0</v>
      </c>
      <c r="AP26" s="58">
        <v>0.0</v>
      </c>
      <c r="AQ26" s="58">
        <v>0.0</v>
      </c>
      <c r="AR26" s="58">
        <v>0.0</v>
      </c>
      <c r="AS26" s="58">
        <v>0.0</v>
      </c>
      <c r="AT26" s="58">
        <v>-5.09</v>
      </c>
      <c r="AU26" s="58">
        <v>0.0</v>
      </c>
      <c r="AV26" s="58">
        <v>0.0</v>
      </c>
      <c r="AW26" s="58">
        <v>0.0</v>
      </c>
      <c r="AX26" s="58">
        <v>0.0</v>
      </c>
      <c r="AY26" s="58">
        <v>0.0</v>
      </c>
      <c r="AZ26" s="58">
        <v>0.0</v>
      </c>
      <c r="BA26" s="58">
        <v>0.0</v>
      </c>
      <c r="BB26" s="58">
        <v>-5.09</v>
      </c>
      <c r="BC26" s="58" t="s">
        <v>106</v>
      </c>
      <c r="BD26" s="58" t="s">
        <v>156</v>
      </c>
      <c r="BE26" s="58">
        <v>5010.0</v>
      </c>
      <c r="BH26" s="58" t="s">
        <v>107</v>
      </c>
      <c r="BI26" s="58" t="s">
        <v>108</v>
      </c>
      <c r="BL26" s="58">
        <v>1003.0</v>
      </c>
      <c r="BM26" s="58" t="s">
        <v>200</v>
      </c>
      <c r="BN26" s="58" t="s">
        <v>111</v>
      </c>
      <c r="BO26" s="58" t="s">
        <v>112</v>
      </c>
      <c r="BW26" s="64" t="str">
        <f>if(OR(F26="SALE",F26="REFUNDED"),IFERROR(Vlookup(I26,'Listing SKU - Fill SKU Mapping'!A:C,3,false),"Map"),"")</f>
        <v>Keystone</v>
      </c>
      <c r="BX26" s="65" t="str">
        <f>IF(OR(F26="SALE",F26="REFUNDED")=TRUE,iferror(Vlookup(I26,'Listing SKU - Fill SKU Mapping'!A:B,2,false),"Map"),"")</f>
        <v>IMP395BLK</v>
      </c>
      <c r="BY26" s="64">
        <f>IF(OR(F26="SALE",F26="REFUNDED")=TRUE,iferror(Vlookup(I26,'Listing SKU - Fill SKU Mapping'!A:D,4,false),"Map"),"")</f>
        <v>44.58</v>
      </c>
      <c r="BZ26" s="66">
        <f t="shared" si="1"/>
        <v>11.5</v>
      </c>
      <c r="CA26" s="66">
        <f t="shared" si="2"/>
        <v>56.08</v>
      </c>
      <c r="CB26" s="64" t="str">
        <f t="shared" si="3"/>
        <v/>
      </c>
      <c r="CC26" s="65" t="str">
        <f>if(F26="REFUNDED",iferror(Vlookup(I26,'Listing SKU - Fill SKU Mapping'!A:B,2,false),"Map"),"")</f>
        <v>IMP395BLK</v>
      </c>
      <c r="CD26" s="65" t="str">
        <f>if(F26="REFUNDED",iferror(Vlookup(I26,'Listing SKU - Fill SKU Mapping'!A:C,3,false),"Map"),"")</f>
        <v>Keystone</v>
      </c>
      <c r="CE26" s="64" t="str">
        <f t="shared" si="4"/>
        <v>2025</v>
      </c>
      <c r="CF26" s="64" t="str">
        <f t="shared" si="5"/>
        <v>May</v>
      </c>
      <c r="CG26" s="64" t="str">
        <f t="shared" si="6"/>
        <v/>
      </c>
    </row>
    <row r="27">
      <c r="A27" s="55">
        <v>2.00013083775008E14</v>
      </c>
      <c r="B27" s="56">
        <v>4.0</v>
      </c>
      <c r="C27" s="57">
        <v>1.0900912661842E14</v>
      </c>
      <c r="D27" s="58">
        <v>4.0</v>
      </c>
      <c r="F27" s="59" t="s">
        <v>158</v>
      </c>
      <c r="G27" s="60">
        <v>45788.0</v>
      </c>
      <c r="H27" s="58">
        <v>1.0</v>
      </c>
      <c r="I27" s="58" t="s">
        <v>201</v>
      </c>
      <c r="J27" s="61">
        <v>4.60776276861E11</v>
      </c>
      <c r="K27" s="62" t="s">
        <v>202</v>
      </c>
      <c r="L27" s="62">
        <v>2038710.0</v>
      </c>
      <c r="M27" s="63"/>
      <c r="N27" s="63"/>
      <c r="O27" s="62" t="s">
        <v>170</v>
      </c>
      <c r="P27" s="63"/>
      <c r="Q27" s="63"/>
      <c r="R27" s="62" t="s">
        <v>203</v>
      </c>
      <c r="S27" s="62">
        <v>46777.0</v>
      </c>
      <c r="T27" s="58" t="s">
        <v>105</v>
      </c>
      <c r="U27" s="59">
        <v>0.0</v>
      </c>
      <c r="V27" s="59">
        <v>-10.81</v>
      </c>
      <c r="W27" s="58">
        <v>0.0</v>
      </c>
      <c r="X27" s="58">
        <v>0.0</v>
      </c>
      <c r="Y27" s="58">
        <v>0.0</v>
      </c>
      <c r="Z27" s="59">
        <v>0.0</v>
      </c>
      <c r="AA27" s="58">
        <v>0.0</v>
      </c>
      <c r="AB27" s="58">
        <v>0.0</v>
      </c>
      <c r="AC27" s="58">
        <v>0.0</v>
      </c>
      <c r="AD27" s="58">
        <v>0.0</v>
      </c>
      <c r="AE27" s="58">
        <v>0.0</v>
      </c>
      <c r="AF27" s="58">
        <v>0.0</v>
      </c>
      <c r="AG27" s="58">
        <v>0.0</v>
      </c>
      <c r="AH27" s="58">
        <v>0.0</v>
      </c>
      <c r="AI27" s="58">
        <v>0.0</v>
      </c>
      <c r="AJ27" s="58">
        <v>0.0</v>
      </c>
      <c r="AK27" s="58">
        <v>0.0</v>
      </c>
      <c r="AL27" s="58">
        <v>0.0</v>
      </c>
      <c r="AM27" s="58">
        <v>0.0</v>
      </c>
      <c r="AN27" s="58">
        <v>0.0</v>
      </c>
      <c r="AO27" s="58">
        <v>0.0</v>
      </c>
      <c r="AP27" s="58">
        <v>0.0</v>
      </c>
      <c r="AQ27" s="58">
        <v>0.0</v>
      </c>
      <c r="AR27" s="58">
        <v>0.0</v>
      </c>
      <c r="AS27" s="58">
        <v>0.0</v>
      </c>
      <c r="AT27" s="58">
        <v>0.0</v>
      </c>
      <c r="AU27" s="58">
        <v>0.0</v>
      </c>
      <c r="AV27" s="58">
        <v>0.0</v>
      </c>
      <c r="AW27" s="58">
        <v>0.0</v>
      </c>
      <c r="AX27" s="58">
        <v>0.0</v>
      </c>
      <c r="AY27" s="58">
        <v>0.0</v>
      </c>
      <c r="AZ27" s="58">
        <v>0.0</v>
      </c>
      <c r="BA27" s="58">
        <v>0.0</v>
      </c>
      <c r="BB27" s="58">
        <v>0.0</v>
      </c>
      <c r="BC27" s="58" t="s">
        <v>106</v>
      </c>
      <c r="BD27" s="58" t="s">
        <v>163</v>
      </c>
      <c r="BE27" s="58">
        <v>5013.0</v>
      </c>
      <c r="BH27" s="58" t="s">
        <v>107</v>
      </c>
      <c r="BI27" s="58" t="s">
        <v>108</v>
      </c>
      <c r="BN27" s="58" t="s">
        <v>111</v>
      </c>
      <c r="BO27" s="58" t="s">
        <v>112</v>
      </c>
      <c r="BW27" s="64" t="str">
        <f>if(OR(F27="SALE",F27="REFUNDED"),IFERROR(Vlookup(I27,'Listing SKU - Fill SKU Mapping'!A:C,3,false),"Map"),"")</f>
        <v/>
      </c>
      <c r="BX27" s="65" t="str">
        <f>IF(OR(F27="SALE",F27="REFUNDED")=TRUE,iferror(Vlookup(I27,'Listing SKU - Fill SKU Mapping'!A:B,2,false),"Map"),"")</f>
        <v/>
      </c>
      <c r="BY27" s="64" t="str">
        <f>IF(OR(F27="SALE",F27="REFUNDED")=TRUE,iferror(Vlookup(I27,'Listing SKU - Fill SKU Mapping'!A:D,4,false),"Map"),"")</f>
        <v/>
      </c>
      <c r="BZ27" s="66" t="str">
        <f t="shared" si="1"/>
        <v/>
      </c>
      <c r="CA27" s="64" t="str">
        <f t="shared" si="2"/>
        <v/>
      </c>
      <c r="CB27" s="64" t="str">
        <f t="shared" si="3"/>
        <v/>
      </c>
      <c r="CC27" s="65" t="str">
        <f>if(F27="REFUNDED",iferror(Vlookup(I27,'Listing SKU - Fill SKU Mapping'!A:B,2,false),"Map"),"")</f>
        <v/>
      </c>
      <c r="CD27" s="65" t="str">
        <f>if(F27="REFUNDED",iferror(Vlookup(I27,'Listing SKU - Fill SKU Mapping'!A:C,3,false),"Map"),"")</f>
        <v/>
      </c>
      <c r="CE27" s="64" t="str">
        <f t="shared" si="4"/>
        <v>2025</v>
      </c>
      <c r="CF27" s="64" t="str">
        <f t="shared" si="5"/>
        <v>May</v>
      </c>
      <c r="CG27" s="64" t="str">
        <f t="shared" si="6"/>
        <v/>
      </c>
    </row>
    <row r="28">
      <c r="A28" s="55">
        <v>2.00013060278696E14</v>
      </c>
      <c r="B28" s="56">
        <v>7.0</v>
      </c>
      <c r="C28" s="57">
        <v>1.09011942953061E14</v>
      </c>
      <c r="D28" s="58">
        <v>7.0</v>
      </c>
      <c r="F28" s="59" t="s">
        <v>128</v>
      </c>
      <c r="G28" s="60">
        <v>45787.0</v>
      </c>
      <c r="H28" s="58">
        <v>1.0</v>
      </c>
      <c r="I28" s="58" t="s">
        <v>159</v>
      </c>
      <c r="J28" s="61">
        <v>4.60776234854E11</v>
      </c>
      <c r="K28" s="62" t="s">
        <v>160</v>
      </c>
      <c r="L28" s="62">
        <v>2038710.0</v>
      </c>
      <c r="M28" s="63"/>
      <c r="N28" s="63"/>
      <c r="O28" s="63"/>
      <c r="P28" s="63"/>
      <c r="Q28" s="63"/>
      <c r="R28" s="62" t="s">
        <v>162</v>
      </c>
      <c r="S28" s="62">
        <v>90605.0</v>
      </c>
      <c r="U28" s="59">
        <v>-104.24</v>
      </c>
      <c r="V28" s="59">
        <v>-88.33</v>
      </c>
      <c r="W28" s="58">
        <v>-6.65</v>
      </c>
      <c r="X28" s="58">
        <v>0.0</v>
      </c>
      <c r="Y28" s="58">
        <v>0.0</v>
      </c>
      <c r="Z28" s="59">
        <v>-94.98</v>
      </c>
      <c r="AA28" s="58">
        <v>0.0</v>
      </c>
      <c r="AB28" s="58">
        <v>0.0</v>
      </c>
      <c r="AC28" s="58">
        <v>0.0</v>
      </c>
      <c r="AD28" s="58">
        <v>0.0</v>
      </c>
      <c r="AE28" s="58">
        <v>0.0</v>
      </c>
      <c r="AF28" s="58">
        <v>0.0</v>
      </c>
      <c r="AG28" s="58">
        <v>0.0</v>
      </c>
      <c r="AH28" s="58">
        <v>0.0</v>
      </c>
      <c r="AI28" s="58">
        <v>0.0</v>
      </c>
      <c r="AJ28" s="58">
        <v>0.0</v>
      </c>
      <c r="AK28" s="58">
        <v>0.0</v>
      </c>
      <c r="AL28" s="58">
        <v>0.0</v>
      </c>
      <c r="AM28" s="58">
        <v>0.0</v>
      </c>
      <c r="AN28" s="58">
        <v>0.0</v>
      </c>
      <c r="AO28" s="58">
        <v>0.0</v>
      </c>
      <c r="AP28" s="58">
        <v>0.0</v>
      </c>
      <c r="AQ28" s="58">
        <v>0.0</v>
      </c>
      <c r="AR28" s="58">
        <v>0.0</v>
      </c>
      <c r="AS28" s="58">
        <v>0.0</v>
      </c>
      <c r="AT28" s="58">
        <v>-9.26</v>
      </c>
      <c r="AU28" s="58">
        <v>0.0</v>
      </c>
      <c r="AV28" s="58">
        <v>0.0</v>
      </c>
      <c r="AW28" s="58">
        <v>0.0</v>
      </c>
      <c r="AX28" s="58">
        <v>0.0</v>
      </c>
      <c r="AY28" s="58">
        <v>0.0</v>
      </c>
      <c r="AZ28" s="58">
        <v>0.0</v>
      </c>
      <c r="BA28" s="58">
        <v>0.0</v>
      </c>
      <c r="BB28" s="58">
        <v>-9.26</v>
      </c>
      <c r="BC28" s="58" t="s">
        <v>106</v>
      </c>
      <c r="BD28" s="58" t="s">
        <v>156</v>
      </c>
      <c r="BE28" s="58">
        <v>5010.0</v>
      </c>
      <c r="BH28" s="58" t="s">
        <v>107</v>
      </c>
      <c r="BI28" s="58" t="s">
        <v>108</v>
      </c>
      <c r="BL28" s="58">
        <v>1010.0</v>
      </c>
      <c r="BM28" s="58" t="s">
        <v>204</v>
      </c>
      <c r="BN28" s="58" t="s">
        <v>111</v>
      </c>
      <c r="BO28" s="58" t="s">
        <v>112</v>
      </c>
      <c r="BW28" s="64" t="str">
        <f>if(OR(F28="SALE",F28="REFUNDED"),IFERROR(Vlookup(I28,'Listing SKU - Fill SKU Mapping'!A:C,3,false),"Map"),"")</f>
        <v>Keystone</v>
      </c>
      <c r="BX28" s="65" t="str">
        <f>IF(OR(F28="SALE",F28="REFUNDED")=TRUE,iferror(Vlookup(I28,'Listing SKU - Fill SKU Mapping'!A:B,2,false),"Map"),"")</f>
        <v>IMP371BLK</v>
      </c>
      <c r="BY28" s="64">
        <f>IF(OR(F28="SALE",F28="REFUNDED")=TRUE,iferror(Vlookup(I28,'Listing SKU - Fill SKU Mapping'!A:D,4,false),"Map"),"")</f>
        <v>43.79</v>
      </c>
      <c r="BZ28" s="66">
        <f t="shared" si="1"/>
        <v>11.5</v>
      </c>
      <c r="CA28" s="66">
        <f t="shared" si="2"/>
        <v>55.29</v>
      </c>
      <c r="CB28" s="64" t="str">
        <f t="shared" si="3"/>
        <v/>
      </c>
      <c r="CC28" s="65" t="str">
        <f>if(F28="REFUNDED",iferror(Vlookup(I28,'Listing SKU - Fill SKU Mapping'!A:B,2,false),"Map"),"")</f>
        <v>IMP371BLK</v>
      </c>
      <c r="CD28" s="65" t="str">
        <f>if(F28="REFUNDED",iferror(Vlookup(I28,'Listing SKU - Fill SKU Mapping'!A:C,3,false),"Map"),"")</f>
        <v>Keystone</v>
      </c>
      <c r="CE28" s="64" t="str">
        <f t="shared" si="4"/>
        <v>2025</v>
      </c>
      <c r="CF28" s="64" t="str">
        <f t="shared" si="5"/>
        <v>May</v>
      </c>
      <c r="CG28" s="64" t="str">
        <f t="shared" si="6"/>
        <v/>
      </c>
    </row>
    <row r="29">
      <c r="A29" s="55">
        <v>2.00013041673912E14</v>
      </c>
      <c r="B29" s="56">
        <v>1.0</v>
      </c>
      <c r="C29" s="57">
        <v>1.09008919231712E14</v>
      </c>
      <c r="D29" s="58">
        <v>1.0</v>
      </c>
      <c r="F29" s="59" t="s">
        <v>158</v>
      </c>
      <c r="G29" s="60">
        <v>45781.0</v>
      </c>
      <c r="H29" s="58">
        <v>1.0</v>
      </c>
      <c r="I29" s="58" t="s">
        <v>205</v>
      </c>
      <c r="J29" s="61">
        <v>4.60776231143E11</v>
      </c>
      <c r="K29" s="62" t="s">
        <v>206</v>
      </c>
      <c r="L29" s="62">
        <v>2038710.0</v>
      </c>
      <c r="M29" s="63"/>
      <c r="N29" s="63"/>
      <c r="O29" s="62" t="s">
        <v>207</v>
      </c>
      <c r="P29" s="63"/>
      <c r="Q29" s="63"/>
      <c r="R29" s="62" t="s">
        <v>208</v>
      </c>
      <c r="S29" s="62">
        <v>72204.0</v>
      </c>
      <c r="T29" s="58" t="s">
        <v>105</v>
      </c>
      <c r="U29" s="59">
        <v>0.0</v>
      </c>
      <c r="V29" s="59">
        <v>-10.81</v>
      </c>
      <c r="W29" s="58">
        <v>0.0</v>
      </c>
      <c r="X29" s="58">
        <v>0.0</v>
      </c>
      <c r="Y29" s="58">
        <v>0.0</v>
      </c>
      <c r="Z29" s="59">
        <v>0.0</v>
      </c>
      <c r="AA29" s="58">
        <v>0.0</v>
      </c>
      <c r="AB29" s="58">
        <v>0.0</v>
      </c>
      <c r="AC29" s="58">
        <v>0.0</v>
      </c>
      <c r="AD29" s="58">
        <v>0.0</v>
      </c>
      <c r="AE29" s="58">
        <v>0.0</v>
      </c>
      <c r="AF29" s="58">
        <v>0.0</v>
      </c>
      <c r="AG29" s="58">
        <v>0.0</v>
      </c>
      <c r="AH29" s="58">
        <v>0.0</v>
      </c>
      <c r="AI29" s="58">
        <v>0.0</v>
      </c>
      <c r="AJ29" s="58">
        <v>0.0</v>
      </c>
      <c r="AK29" s="58">
        <v>0.0</v>
      </c>
      <c r="AL29" s="58">
        <v>0.0</v>
      </c>
      <c r="AM29" s="58">
        <v>0.0</v>
      </c>
      <c r="AN29" s="58">
        <v>0.0</v>
      </c>
      <c r="AO29" s="58">
        <v>0.0</v>
      </c>
      <c r="AP29" s="58">
        <v>0.0</v>
      </c>
      <c r="AQ29" s="58">
        <v>0.0</v>
      </c>
      <c r="AR29" s="58">
        <v>0.0</v>
      </c>
      <c r="AS29" s="58">
        <v>0.0</v>
      </c>
      <c r="AT29" s="58">
        <v>0.0</v>
      </c>
      <c r="AU29" s="58">
        <v>0.0</v>
      </c>
      <c r="AV29" s="58">
        <v>0.0</v>
      </c>
      <c r="AW29" s="58">
        <v>0.0</v>
      </c>
      <c r="AX29" s="58">
        <v>0.0</v>
      </c>
      <c r="AY29" s="58">
        <v>0.0</v>
      </c>
      <c r="AZ29" s="58">
        <v>0.0</v>
      </c>
      <c r="BA29" s="58">
        <v>0.0</v>
      </c>
      <c r="BB29" s="58">
        <v>0.0</v>
      </c>
      <c r="BC29" s="58" t="s">
        <v>106</v>
      </c>
      <c r="BD29" s="58" t="s">
        <v>163</v>
      </c>
      <c r="BE29" s="58">
        <v>5013.0</v>
      </c>
      <c r="BH29" s="58" t="s">
        <v>107</v>
      </c>
      <c r="BI29" s="58" t="s">
        <v>108</v>
      </c>
      <c r="BN29" s="58" t="s">
        <v>111</v>
      </c>
      <c r="BO29" s="58" t="s">
        <v>112</v>
      </c>
      <c r="BW29" s="64" t="str">
        <f>if(OR(F29="SALE",F29="REFUNDED"),IFERROR(Vlookup(I29,'Listing SKU - Fill SKU Mapping'!A:C,3,false),"Map"),"")</f>
        <v/>
      </c>
      <c r="BX29" s="65" t="str">
        <f>IF(OR(F29="SALE",F29="REFUNDED")=TRUE,iferror(Vlookup(I29,'Listing SKU - Fill SKU Mapping'!A:B,2,false),"Map"),"")</f>
        <v/>
      </c>
      <c r="BY29" s="64" t="str">
        <f>IF(OR(F29="SALE",F29="REFUNDED")=TRUE,iferror(Vlookup(I29,'Listing SKU - Fill SKU Mapping'!A:D,4,false),"Map"),"")</f>
        <v/>
      </c>
      <c r="BZ29" s="66" t="str">
        <f t="shared" si="1"/>
        <v/>
      </c>
      <c r="CA29" s="64" t="str">
        <f t="shared" si="2"/>
        <v/>
      </c>
      <c r="CB29" s="64" t="str">
        <f t="shared" si="3"/>
        <v/>
      </c>
      <c r="CC29" s="65" t="str">
        <f>if(F29="REFUNDED",iferror(Vlookup(I29,'Listing SKU - Fill SKU Mapping'!A:B,2,false),"Map"),"")</f>
        <v/>
      </c>
      <c r="CD29" s="65" t="str">
        <f>if(F29="REFUNDED",iferror(Vlookup(I29,'Listing SKU - Fill SKU Mapping'!A:C,3,false),"Map"),"")</f>
        <v/>
      </c>
      <c r="CE29" s="64" t="str">
        <f t="shared" si="4"/>
        <v>2025</v>
      </c>
      <c r="CF29" s="64" t="str">
        <f t="shared" si="5"/>
        <v>May</v>
      </c>
      <c r="CG29" s="64" t="str">
        <f t="shared" si="6"/>
        <v/>
      </c>
    </row>
    <row r="30">
      <c r="A30" s="55">
        <v>2.00013038493104E14</v>
      </c>
      <c r="B30" s="56">
        <v>1.0</v>
      </c>
      <c r="C30" s="57">
        <v>1.09011116508241E14</v>
      </c>
      <c r="D30" s="58">
        <v>1.0</v>
      </c>
      <c r="F30" s="59" t="s">
        <v>128</v>
      </c>
      <c r="G30" s="60">
        <v>45776.0</v>
      </c>
      <c r="H30" s="58">
        <v>1.0</v>
      </c>
      <c r="I30" s="58" t="s">
        <v>168</v>
      </c>
      <c r="J30" s="61">
        <v>4.64567112352E11</v>
      </c>
      <c r="K30" s="62" t="s">
        <v>169</v>
      </c>
      <c r="L30" s="62">
        <v>2038710.0</v>
      </c>
      <c r="M30" s="63"/>
      <c r="N30" s="63"/>
      <c r="O30" s="63"/>
      <c r="P30" s="63"/>
      <c r="Q30" s="63"/>
      <c r="R30" s="62" t="s">
        <v>171</v>
      </c>
      <c r="S30" s="62">
        <v>46107.0</v>
      </c>
      <c r="U30" s="59">
        <v>-92.0</v>
      </c>
      <c r="V30" s="59">
        <v>-79.96</v>
      </c>
      <c r="W30" s="58">
        <v>-6.02</v>
      </c>
      <c r="X30" s="58">
        <v>0.0</v>
      </c>
      <c r="Y30" s="58">
        <v>0.0</v>
      </c>
      <c r="Z30" s="59">
        <v>-85.98</v>
      </c>
      <c r="AA30" s="58">
        <v>0.0</v>
      </c>
      <c r="AB30" s="58">
        <v>0.0</v>
      </c>
      <c r="AC30" s="58">
        <v>0.0</v>
      </c>
      <c r="AD30" s="58">
        <v>0.0</v>
      </c>
      <c r="AE30" s="58">
        <v>0.0</v>
      </c>
      <c r="AF30" s="58">
        <v>0.0</v>
      </c>
      <c r="AG30" s="58">
        <v>0.0</v>
      </c>
      <c r="AH30" s="58">
        <v>0.0</v>
      </c>
      <c r="AI30" s="58">
        <v>0.0</v>
      </c>
      <c r="AJ30" s="58">
        <v>0.0</v>
      </c>
      <c r="AK30" s="58">
        <v>0.0</v>
      </c>
      <c r="AL30" s="58">
        <v>0.0</v>
      </c>
      <c r="AM30" s="58">
        <v>0.0</v>
      </c>
      <c r="AN30" s="58">
        <v>0.0</v>
      </c>
      <c r="AO30" s="58">
        <v>0.0</v>
      </c>
      <c r="AP30" s="58">
        <v>0.0</v>
      </c>
      <c r="AQ30" s="58">
        <v>0.0</v>
      </c>
      <c r="AR30" s="58">
        <v>0.0</v>
      </c>
      <c r="AS30" s="58">
        <v>0.0</v>
      </c>
      <c r="AT30" s="58">
        <v>-6.02</v>
      </c>
      <c r="AU30" s="58">
        <v>0.0</v>
      </c>
      <c r="AV30" s="58">
        <v>0.0</v>
      </c>
      <c r="AW30" s="58">
        <v>0.0</v>
      </c>
      <c r="AX30" s="58">
        <v>0.0</v>
      </c>
      <c r="AY30" s="58">
        <v>0.0</v>
      </c>
      <c r="AZ30" s="58">
        <v>0.0</v>
      </c>
      <c r="BA30" s="58">
        <v>0.0</v>
      </c>
      <c r="BB30" s="58">
        <v>-6.02</v>
      </c>
      <c r="BC30" s="58" t="s">
        <v>106</v>
      </c>
      <c r="BD30" s="58" t="s">
        <v>156</v>
      </c>
      <c r="BE30" s="58">
        <v>5010.0</v>
      </c>
      <c r="BH30" s="58" t="s">
        <v>107</v>
      </c>
      <c r="BI30" s="58" t="s">
        <v>108</v>
      </c>
      <c r="BL30" s="58">
        <v>1000.0</v>
      </c>
      <c r="BM30" s="58" t="s">
        <v>130</v>
      </c>
      <c r="BN30" s="58" t="s">
        <v>111</v>
      </c>
      <c r="BO30" s="58" t="s">
        <v>112</v>
      </c>
      <c r="BW30" s="64" t="str">
        <f>if(OR(F30="SALE",F30="REFUNDED"),IFERROR(Vlookup(I30,'Listing SKU - Fill SKU Mapping'!A:C,3,false),"Map"),"")</f>
        <v>Keystone</v>
      </c>
      <c r="BX30" s="65" t="str">
        <f>IF(OR(F30="SALE",F30="REFUNDED")=TRUE,iferror(Vlookup(I30,'Listing SKU - Fill SKU Mapping'!A:B,2,false),"Map"),"")</f>
        <v>IMP331X</v>
      </c>
      <c r="BY30" s="64">
        <f>IF(OR(F30="SALE",F30="REFUNDED")=TRUE,iferror(Vlookup(I30,'Listing SKU - Fill SKU Mapping'!A:D,4,false),"Map"),"")</f>
        <v>61.94</v>
      </c>
      <c r="BZ30" s="66">
        <f t="shared" si="1"/>
        <v>11.5</v>
      </c>
      <c r="CA30" s="66">
        <f t="shared" si="2"/>
        <v>73.44</v>
      </c>
      <c r="CB30" s="64" t="str">
        <f t="shared" si="3"/>
        <v/>
      </c>
      <c r="CC30" s="65" t="str">
        <f>if(F30="REFUNDED",iferror(Vlookup(I30,'Listing SKU - Fill SKU Mapping'!A:B,2,false),"Map"),"")</f>
        <v>IMP331X</v>
      </c>
      <c r="CD30" s="65" t="str">
        <f>if(F30="REFUNDED",iferror(Vlookup(I30,'Listing SKU - Fill SKU Mapping'!A:C,3,false),"Map"),"")</f>
        <v>Keystone</v>
      </c>
      <c r="CE30" s="64" t="str">
        <f t="shared" si="4"/>
        <v>2025</v>
      </c>
      <c r="CF30" s="64" t="str">
        <f t="shared" si="5"/>
        <v>April</v>
      </c>
      <c r="CG30" s="64" t="str">
        <f t="shared" si="6"/>
        <v/>
      </c>
    </row>
    <row r="31">
      <c r="A31" s="55">
        <v>2.00012947880406E14</v>
      </c>
      <c r="B31" s="56">
        <v>1.0</v>
      </c>
      <c r="C31" s="57">
        <v>1.09013723253596E14</v>
      </c>
      <c r="D31" s="58">
        <v>1.0</v>
      </c>
      <c r="F31" s="59" t="s">
        <v>100</v>
      </c>
      <c r="G31" s="60">
        <v>45793.0</v>
      </c>
      <c r="H31" s="58">
        <v>1.0</v>
      </c>
      <c r="I31" s="58" t="s">
        <v>209</v>
      </c>
      <c r="J31" s="61">
        <v>4.65595354004E11</v>
      </c>
      <c r="K31" s="62" t="s">
        <v>210</v>
      </c>
      <c r="L31" s="62">
        <v>2038710.0</v>
      </c>
      <c r="M31" s="63"/>
      <c r="N31" s="63"/>
      <c r="O31" s="62" t="s">
        <v>211</v>
      </c>
      <c r="P31" s="63"/>
      <c r="Q31" s="63"/>
      <c r="R31" s="62" t="s">
        <v>212</v>
      </c>
      <c r="S31" s="62">
        <v>35903.0</v>
      </c>
      <c r="T31" s="58" t="s">
        <v>105</v>
      </c>
      <c r="U31" s="59">
        <v>71.26</v>
      </c>
      <c r="V31" s="59">
        <v>61.36</v>
      </c>
      <c r="W31" s="58">
        <v>4.62</v>
      </c>
      <c r="X31" s="58">
        <v>7.0</v>
      </c>
      <c r="Y31" s="58">
        <v>65.98</v>
      </c>
      <c r="Z31" s="59">
        <v>0.0</v>
      </c>
      <c r="AA31" s="58">
        <v>0.0</v>
      </c>
      <c r="AB31" s="58">
        <v>0.0</v>
      </c>
      <c r="AC31" s="58">
        <v>0.0</v>
      </c>
      <c r="AD31" s="58">
        <v>0.0</v>
      </c>
      <c r="AE31" s="58">
        <v>0.0</v>
      </c>
      <c r="AF31" s="58">
        <v>0.0</v>
      </c>
      <c r="AG31" s="58">
        <v>0.0</v>
      </c>
      <c r="AH31" s="58">
        <v>0.0</v>
      </c>
      <c r="AI31" s="58">
        <v>0.0</v>
      </c>
      <c r="AJ31" s="58">
        <v>0.0</v>
      </c>
      <c r="AK31" s="58">
        <v>0.0</v>
      </c>
      <c r="AL31" s="58">
        <v>0.0</v>
      </c>
      <c r="AM31" s="58">
        <v>0.0</v>
      </c>
      <c r="AN31" s="58">
        <v>0.0</v>
      </c>
      <c r="AO31" s="58">
        <v>5.28</v>
      </c>
      <c r="AP31" s="58">
        <v>0.0</v>
      </c>
      <c r="AQ31" s="58">
        <v>0.0</v>
      </c>
      <c r="AR31" s="58">
        <v>0.0</v>
      </c>
      <c r="AS31" s="58">
        <v>0.0</v>
      </c>
      <c r="AT31" s="58">
        <v>0.0</v>
      </c>
      <c r="AU31" s="58">
        <v>0.0</v>
      </c>
      <c r="AV31" s="58">
        <v>0.0</v>
      </c>
      <c r="AW31" s="58">
        <v>0.0</v>
      </c>
      <c r="AX31" s="58">
        <v>0.0</v>
      </c>
      <c r="AY31" s="58">
        <v>0.0</v>
      </c>
      <c r="AZ31" s="58">
        <v>0.0</v>
      </c>
      <c r="BA31" s="58">
        <v>0.0</v>
      </c>
      <c r="BB31" s="58">
        <v>5.28</v>
      </c>
      <c r="BC31" s="58" t="s">
        <v>106</v>
      </c>
      <c r="BG31" s="58">
        <v>-6.6</v>
      </c>
      <c r="BH31" s="58" t="s">
        <v>107</v>
      </c>
      <c r="BI31" s="58" t="s">
        <v>108</v>
      </c>
      <c r="BJ31" s="58" t="s">
        <v>109</v>
      </c>
      <c r="BK31" s="58" t="s">
        <v>155</v>
      </c>
      <c r="BN31" s="58" t="s">
        <v>111</v>
      </c>
      <c r="BO31" s="58" t="s">
        <v>112</v>
      </c>
      <c r="BP31" s="58" t="s">
        <v>113</v>
      </c>
      <c r="BQ31" s="58" t="s">
        <v>114</v>
      </c>
      <c r="BR31" s="58">
        <v>1.98</v>
      </c>
      <c r="BW31" s="64" t="str">
        <f>if(OR(F31="SALE",F31="REFUNDED"),IFERROR(Vlookup(I31,'Listing SKU - Fill SKU Mapping'!A:C,3,false),"Map"),"")</f>
        <v>Keystone</v>
      </c>
      <c r="BX31" s="65" t="str">
        <f>IF(OR(F31="SALE",F31="REFUNDED")=TRUE,iferror(Vlookup(I31,'Listing SKU - Fill SKU Mapping'!A:B,2,false),"Map"),"")</f>
        <v>IMP492BLK</v>
      </c>
      <c r="BY31" s="64">
        <f>IF(OR(F31="SALE",F31="REFUNDED")=TRUE,iferror(Vlookup(I31,'Listing SKU - Fill SKU Mapping'!A:D,4,false),"Map"),"")</f>
        <v>49.31</v>
      </c>
      <c r="BZ31" s="66">
        <f t="shared" si="1"/>
        <v>11.5</v>
      </c>
      <c r="CA31" s="66">
        <f t="shared" si="2"/>
        <v>60.81</v>
      </c>
      <c r="CB31" s="66">
        <f t="shared" si="3"/>
        <v>0.55</v>
      </c>
      <c r="CC31" s="65" t="str">
        <f>if(F31="REFUNDED",iferror(Vlookup(I31,'Listing SKU - Fill SKU Mapping'!A:B,2,false),"Map"),"")</f>
        <v/>
      </c>
      <c r="CD31" s="65" t="str">
        <f>if(F31="REFUNDED",iferror(Vlookup(I31,'Listing SKU - Fill SKU Mapping'!A:C,3,false),"Map"),"")</f>
        <v/>
      </c>
      <c r="CE31" s="64" t="str">
        <f t="shared" si="4"/>
        <v>2025</v>
      </c>
      <c r="CF31" s="64" t="str">
        <f t="shared" si="5"/>
        <v>May</v>
      </c>
      <c r="CG31" s="64" t="str">
        <f t="shared" si="6"/>
        <v/>
      </c>
    </row>
    <row r="32">
      <c r="A32" s="55">
        <v>2.00012841383047E14</v>
      </c>
      <c r="B32" s="56">
        <v>1.0</v>
      </c>
      <c r="C32" s="57">
        <v>1.09007662415839E14</v>
      </c>
      <c r="D32" s="58">
        <v>1.0</v>
      </c>
      <c r="F32" s="59" t="s">
        <v>128</v>
      </c>
      <c r="G32" s="60">
        <v>45791.0</v>
      </c>
      <c r="H32" s="58">
        <v>1.0</v>
      </c>
      <c r="I32" s="58" t="s">
        <v>213</v>
      </c>
      <c r="J32" s="61">
        <v>4.60776230832E11</v>
      </c>
      <c r="K32" s="62" t="s">
        <v>214</v>
      </c>
      <c r="L32" s="62">
        <v>2038710.0</v>
      </c>
      <c r="M32" s="63"/>
      <c r="N32" s="63"/>
      <c r="O32" s="63"/>
      <c r="P32" s="63"/>
      <c r="Q32" s="63"/>
      <c r="R32" s="62" t="s">
        <v>215</v>
      </c>
      <c r="S32" s="62">
        <v>61401.0</v>
      </c>
      <c r="U32" s="59">
        <v>-113.34</v>
      </c>
      <c r="V32" s="59">
        <v>-96.7</v>
      </c>
      <c r="W32" s="58">
        <v>-7.28</v>
      </c>
      <c r="X32" s="58">
        <v>0.0</v>
      </c>
      <c r="Y32" s="58">
        <v>0.0</v>
      </c>
      <c r="Z32" s="59">
        <v>-103.98</v>
      </c>
      <c r="AA32" s="58">
        <v>0.0</v>
      </c>
      <c r="AB32" s="58">
        <v>0.0</v>
      </c>
      <c r="AC32" s="58">
        <v>0.0</v>
      </c>
      <c r="AD32" s="58">
        <v>0.0</v>
      </c>
      <c r="AE32" s="58">
        <v>0.0</v>
      </c>
      <c r="AF32" s="58">
        <v>0.0</v>
      </c>
      <c r="AG32" s="58">
        <v>0.0</v>
      </c>
      <c r="AH32" s="58">
        <v>0.0</v>
      </c>
      <c r="AI32" s="58">
        <v>0.0</v>
      </c>
      <c r="AJ32" s="58">
        <v>0.0</v>
      </c>
      <c r="AK32" s="58">
        <v>0.0</v>
      </c>
      <c r="AL32" s="58">
        <v>0.0</v>
      </c>
      <c r="AM32" s="58">
        <v>0.0</v>
      </c>
      <c r="AN32" s="58">
        <v>0.0</v>
      </c>
      <c r="AO32" s="58">
        <v>0.0</v>
      </c>
      <c r="AP32" s="58">
        <v>0.0</v>
      </c>
      <c r="AQ32" s="58">
        <v>0.0</v>
      </c>
      <c r="AR32" s="58">
        <v>0.0</v>
      </c>
      <c r="AS32" s="58">
        <v>0.0</v>
      </c>
      <c r="AT32" s="58">
        <v>-9.36</v>
      </c>
      <c r="AU32" s="58">
        <v>0.0</v>
      </c>
      <c r="AV32" s="58">
        <v>0.0</v>
      </c>
      <c r="AW32" s="58">
        <v>0.0</v>
      </c>
      <c r="AX32" s="58">
        <v>0.0</v>
      </c>
      <c r="AY32" s="58">
        <v>0.0</v>
      </c>
      <c r="AZ32" s="58">
        <v>0.0</v>
      </c>
      <c r="BA32" s="58">
        <v>0.0</v>
      </c>
      <c r="BB32" s="58">
        <v>-9.36</v>
      </c>
      <c r="BC32" s="58" t="s">
        <v>106</v>
      </c>
      <c r="BD32" s="58" t="s">
        <v>156</v>
      </c>
      <c r="BE32" s="58">
        <v>5010.0</v>
      </c>
      <c r="BH32" s="58" t="s">
        <v>107</v>
      </c>
      <c r="BI32" s="58" t="s">
        <v>108</v>
      </c>
      <c r="BL32" s="58">
        <v>1000.0</v>
      </c>
      <c r="BM32" s="58" t="s">
        <v>130</v>
      </c>
      <c r="BN32" s="58" t="s">
        <v>111</v>
      </c>
      <c r="BO32" s="58" t="s">
        <v>112</v>
      </c>
      <c r="BW32" s="64" t="str">
        <f>if(OR(F32="SALE",F32="REFUNDED"),IFERROR(Vlookup(I32,'Listing SKU - Fill SKU Mapping'!A:C,3,false),"Map"),"")</f>
        <v>Keystone</v>
      </c>
      <c r="BX32" s="65" t="str">
        <f>IF(OR(F32="SALE",F32="REFUNDED")=TRUE,iferror(Vlookup(I32,'Listing SKU - Fill SKU Mapping'!A:B,2,false),"Map"),"")</f>
        <v>IMP407BLK</v>
      </c>
      <c r="BY32" s="64">
        <f>IF(OR(F32="SALE",F32="REFUNDED")=TRUE,iferror(Vlookup(I32,'Listing SKU - Fill SKU Mapping'!A:D,4,false),"Map"),"")</f>
        <v>49.71</v>
      </c>
      <c r="BZ32" s="66">
        <f t="shared" si="1"/>
        <v>11.5</v>
      </c>
      <c r="CA32" s="66">
        <f t="shared" si="2"/>
        <v>61.21</v>
      </c>
      <c r="CB32" s="64" t="str">
        <f t="shared" si="3"/>
        <v/>
      </c>
      <c r="CC32" s="65" t="str">
        <f>if(F32="REFUNDED",iferror(Vlookup(I32,'Listing SKU - Fill SKU Mapping'!A:B,2,false),"Map"),"")</f>
        <v>IMP407BLK</v>
      </c>
      <c r="CD32" s="65" t="str">
        <f>if(F32="REFUNDED",iferror(Vlookup(I32,'Listing SKU - Fill SKU Mapping'!A:C,3,false),"Map"),"")</f>
        <v>Keystone</v>
      </c>
      <c r="CE32" s="64" t="str">
        <f t="shared" si="4"/>
        <v>2025</v>
      </c>
      <c r="CF32" s="64" t="str">
        <f t="shared" si="5"/>
        <v>May</v>
      </c>
      <c r="CG32" s="64" t="str">
        <f t="shared" si="6"/>
        <v/>
      </c>
    </row>
    <row r="33">
      <c r="A33" s="55">
        <v>2.00013365128295E14</v>
      </c>
      <c r="B33" s="56">
        <v>1.0</v>
      </c>
      <c r="C33" s="57">
        <v>1.09011840932398E14</v>
      </c>
      <c r="D33" s="58">
        <v>1.0</v>
      </c>
      <c r="F33" s="59" t="s">
        <v>100</v>
      </c>
      <c r="G33" s="60">
        <v>45775.0</v>
      </c>
      <c r="H33" s="58">
        <v>1.0</v>
      </c>
      <c r="I33" s="58" t="s">
        <v>216</v>
      </c>
      <c r="J33" s="61">
        <v>4.60776231204E11</v>
      </c>
      <c r="K33" s="62" t="s">
        <v>217</v>
      </c>
      <c r="L33" s="62">
        <v>2038710.0</v>
      </c>
      <c r="M33" s="63"/>
      <c r="N33" s="63"/>
      <c r="O33" s="62" t="s">
        <v>170</v>
      </c>
      <c r="P33" s="63"/>
      <c r="Q33" s="63"/>
      <c r="R33" s="62" t="s">
        <v>218</v>
      </c>
      <c r="S33" s="62">
        <v>47150.0</v>
      </c>
      <c r="T33" s="58" t="s">
        <v>105</v>
      </c>
      <c r="U33" s="59">
        <v>155.13</v>
      </c>
      <c r="V33" s="59">
        <v>134.83</v>
      </c>
      <c r="W33" s="58">
        <v>10.15</v>
      </c>
      <c r="X33" s="58">
        <v>7.0</v>
      </c>
      <c r="Y33" s="58">
        <v>144.98</v>
      </c>
      <c r="Z33" s="59">
        <v>0.0</v>
      </c>
      <c r="AA33" s="58">
        <v>0.0</v>
      </c>
      <c r="AB33" s="58">
        <v>0.0</v>
      </c>
      <c r="AC33" s="58">
        <v>0.0</v>
      </c>
      <c r="AD33" s="58">
        <v>0.0</v>
      </c>
      <c r="AE33" s="58">
        <v>0.0</v>
      </c>
      <c r="AF33" s="58">
        <v>0.0</v>
      </c>
      <c r="AG33" s="58">
        <v>0.0</v>
      </c>
      <c r="AH33" s="58">
        <v>0.0</v>
      </c>
      <c r="AI33" s="58">
        <v>0.0</v>
      </c>
      <c r="AJ33" s="58">
        <v>0.0</v>
      </c>
      <c r="AK33" s="58">
        <v>0.0</v>
      </c>
      <c r="AL33" s="58">
        <v>0.0</v>
      </c>
      <c r="AM33" s="58">
        <v>0.0</v>
      </c>
      <c r="AN33" s="58">
        <v>0.0</v>
      </c>
      <c r="AO33" s="58">
        <v>10.15</v>
      </c>
      <c r="AP33" s="58">
        <v>0.0</v>
      </c>
      <c r="AQ33" s="58">
        <v>0.0</v>
      </c>
      <c r="AR33" s="58">
        <v>0.0</v>
      </c>
      <c r="AS33" s="58">
        <v>0.0</v>
      </c>
      <c r="AT33" s="58">
        <v>0.0</v>
      </c>
      <c r="AU33" s="58">
        <v>0.0</v>
      </c>
      <c r="AV33" s="58">
        <v>0.0</v>
      </c>
      <c r="AW33" s="58">
        <v>0.0</v>
      </c>
      <c r="AX33" s="58">
        <v>0.0</v>
      </c>
      <c r="AY33" s="58">
        <v>0.0</v>
      </c>
      <c r="AZ33" s="58">
        <v>0.0</v>
      </c>
      <c r="BA33" s="58">
        <v>0.0</v>
      </c>
      <c r="BB33" s="58">
        <v>10.15</v>
      </c>
      <c r="BC33" s="58" t="s">
        <v>106</v>
      </c>
      <c r="BG33" s="58">
        <v>-14.5</v>
      </c>
      <c r="BH33" s="58" t="s">
        <v>107</v>
      </c>
      <c r="BI33" s="58" t="s">
        <v>108</v>
      </c>
      <c r="BJ33" s="58" t="s">
        <v>109</v>
      </c>
      <c r="BK33" s="58" t="s">
        <v>219</v>
      </c>
      <c r="BN33" s="58" t="s">
        <v>111</v>
      </c>
      <c r="BO33" s="58" t="s">
        <v>112</v>
      </c>
      <c r="BP33" s="58" t="s">
        <v>113</v>
      </c>
      <c r="BQ33" s="58" t="s">
        <v>114</v>
      </c>
      <c r="BR33" s="58">
        <v>4.35</v>
      </c>
      <c r="BW33" s="64" t="str">
        <f>if(OR(F33="SALE",F33="REFUNDED"),IFERROR(Vlookup(I33,'Listing SKU - Fill SKU Mapping'!A:C,3,false),"Map"),"")</f>
        <v>Keystone</v>
      </c>
      <c r="BX33" s="65" t="str">
        <f>IF(OR(F33="SALE",F33="REFUNDED")=TRUE,iferror(Vlookup(I33,'Listing SKU - Fill SKU Mapping'!A:B,2,false),"Map"),"")</f>
        <v>IMP398X</v>
      </c>
      <c r="BY33" s="64">
        <f>IF(OR(F33="SALE",F33="REFUNDED")=TRUE,iferror(Vlookup(I33,'Listing SKU - Fill SKU Mapping'!A:D,4,false),"Map"),"")</f>
        <v>74.21</v>
      </c>
      <c r="BZ33" s="66">
        <f t="shared" si="1"/>
        <v>11.5</v>
      </c>
      <c r="CA33" s="66">
        <f t="shared" si="2"/>
        <v>85.71</v>
      </c>
      <c r="CB33" s="66">
        <f t="shared" si="3"/>
        <v>49.12</v>
      </c>
      <c r="CC33" s="65" t="str">
        <f>if(F33="REFUNDED",iferror(Vlookup(I33,'Listing SKU - Fill SKU Mapping'!A:B,2,false),"Map"),"")</f>
        <v/>
      </c>
      <c r="CD33" s="65" t="str">
        <f>if(F33="REFUNDED",iferror(Vlookup(I33,'Listing SKU - Fill SKU Mapping'!A:C,3,false),"Map"),"")</f>
        <v/>
      </c>
      <c r="CE33" s="64" t="str">
        <f t="shared" si="4"/>
        <v>2025</v>
      </c>
      <c r="CF33" s="64" t="str">
        <f t="shared" si="5"/>
        <v>April</v>
      </c>
      <c r="CG33" s="64" t="str">
        <f t="shared" si="6"/>
        <v/>
      </c>
    </row>
    <row r="34">
      <c r="A34" s="55">
        <v>2.0001313846631E14</v>
      </c>
      <c r="B34" s="56">
        <v>1.0</v>
      </c>
      <c r="C34" s="57">
        <v>1.09011528057285E14</v>
      </c>
      <c r="D34" s="58">
        <v>1.0</v>
      </c>
      <c r="F34" s="59" t="s">
        <v>100</v>
      </c>
      <c r="G34" s="60">
        <v>45772.0</v>
      </c>
      <c r="H34" s="58">
        <v>1.0</v>
      </c>
      <c r="I34" s="58" t="s">
        <v>198</v>
      </c>
      <c r="J34" s="61">
        <v>4.60776240152E11</v>
      </c>
      <c r="K34" s="62" t="s">
        <v>199</v>
      </c>
      <c r="L34" s="62">
        <v>2038710.0</v>
      </c>
      <c r="M34" s="63"/>
      <c r="N34" s="63"/>
      <c r="O34" s="62" t="s">
        <v>166</v>
      </c>
      <c r="P34" s="63"/>
      <c r="Q34" s="63"/>
      <c r="R34" s="62" t="s">
        <v>167</v>
      </c>
      <c r="S34" s="62">
        <v>23805.0</v>
      </c>
      <c r="T34" s="58" t="s">
        <v>105</v>
      </c>
      <c r="U34" s="59">
        <v>101.07</v>
      </c>
      <c r="V34" s="59">
        <v>89.26</v>
      </c>
      <c r="W34" s="58">
        <v>6.72</v>
      </c>
      <c r="X34" s="58">
        <v>7.0</v>
      </c>
      <c r="Y34" s="58">
        <v>95.98</v>
      </c>
      <c r="Z34" s="59">
        <v>0.0</v>
      </c>
      <c r="AA34" s="58">
        <v>0.0</v>
      </c>
      <c r="AB34" s="58">
        <v>0.0</v>
      </c>
      <c r="AC34" s="58">
        <v>0.0</v>
      </c>
      <c r="AD34" s="58">
        <v>0.0</v>
      </c>
      <c r="AE34" s="58">
        <v>0.0</v>
      </c>
      <c r="AF34" s="58">
        <v>0.0</v>
      </c>
      <c r="AG34" s="58">
        <v>0.0</v>
      </c>
      <c r="AH34" s="58">
        <v>0.0</v>
      </c>
      <c r="AI34" s="58">
        <v>0.0</v>
      </c>
      <c r="AJ34" s="58">
        <v>0.0</v>
      </c>
      <c r="AK34" s="58">
        <v>0.0</v>
      </c>
      <c r="AL34" s="58">
        <v>0.0</v>
      </c>
      <c r="AM34" s="58">
        <v>0.0</v>
      </c>
      <c r="AN34" s="58">
        <v>0.0</v>
      </c>
      <c r="AO34" s="58">
        <v>5.09</v>
      </c>
      <c r="AP34" s="58">
        <v>0.0</v>
      </c>
      <c r="AQ34" s="58">
        <v>0.0</v>
      </c>
      <c r="AR34" s="58">
        <v>0.0</v>
      </c>
      <c r="AS34" s="58">
        <v>0.0</v>
      </c>
      <c r="AT34" s="58">
        <v>0.0</v>
      </c>
      <c r="AU34" s="58">
        <v>0.0</v>
      </c>
      <c r="AV34" s="58">
        <v>0.0</v>
      </c>
      <c r="AW34" s="58">
        <v>0.0</v>
      </c>
      <c r="AX34" s="58">
        <v>0.0</v>
      </c>
      <c r="AY34" s="58">
        <v>0.0</v>
      </c>
      <c r="AZ34" s="58">
        <v>0.0</v>
      </c>
      <c r="BA34" s="58">
        <v>0.0</v>
      </c>
      <c r="BB34" s="58">
        <v>5.09</v>
      </c>
      <c r="BC34" s="58" t="s">
        <v>106</v>
      </c>
      <c r="BG34" s="58">
        <v>-9.6</v>
      </c>
      <c r="BH34" s="58" t="s">
        <v>107</v>
      </c>
      <c r="BI34" s="58" t="s">
        <v>108</v>
      </c>
      <c r="BJ34" s="58" t="s">
        <v>109</v>
      </c>
      <c r="BK34" s="58" t="s">
        <v>219</v>
      </c>
      <c r="BN34" s="58" t="s">
        <v>111</v>
      </c>
      <c r="BO34" s="58" t="s">
        <v>112</v>
      </c>
      <c r="BP34" s="58" t="s">
        <v>113</v>
      </c>
      <c r="BQ34" s="58" t="s">
        <v>114</v>
      </c>
      <c r="BR34" s="58">
        <v>2.88</v>
      </c>
      <c r="BW34" s="64" t="str">
        <f>if(OR(F34="SALE",F34="REFUNDED"),IFERROR(Vlookup(I34,'Listing SKU - Fill SKU Mapping'!A:C,3,false),"Map"),"")</f>
        <v>Keystone</v>
      </c>
      <c r="BX34" s="65" t="str">
        <f>IF(OR(F34="SALE",F34="REFUNDED")=TRUE,iferror(Vlookup(I34,'Listing SKU - Fill SKU Mapping'!A:B,2,false),"Map"),"")</f>
        <v>IMP395BLK</v>
      </c>
      <c r="BY34" s="64">
        <f>IF(OR(F34="SALE",F34="REFUNDED")=TRUE,iferror(Vlookup(I34,'Listing SKU - Fill SKU Mapping'!A:D,4,false),"Map"),"")</f>
        <v>44.58</v>
      </c>
      <c r="BZ34" s="66">
        <f t="shared" si="1"/>
        <v>11.5</v>
      </c>
      <c r="CA34" s="66">
        <f t="shared" si="2"/>
        <v>56.08</v>
      </c>
      <c r="CB34" s="66">
        <f t="shared" si="3"/>
        <v>33.18</v>
      </c>
      <c r="CC34" s="65" t="str">
        <f>if(F34="REFUNDED",iferror(Vlookup(I34,'Listing SKU - Fill SKU Mapping'!A:B,2,false),"Map"),"")</f>
        <v/>
      </c>
      <c r="CD34" s="65" t="str">
        <f>if(F34="REFUNDED",iferror(Vlookup(I34,'Listing SKU - Fill SKU Mapping'!A:C,3,false),"Map"),"")</f>
        <v/>
      </c>
      <c r="CE34" s="64" t="str">
        <f t="shared" si="4"/>
        <v>2025</v>
      </c>
      <c r="CF34" s="64" t="str">
        <f t="shared" si="5"/>
        <v>April</v>
      </c>
      <c r="CG34" s="64" t="str">
        <f t="shared" si="6"/>
        <v/>
      </c>
    </row>
    <row r="35">
      <c r="A35" s="55">
        <v>2.00013107061952E14</v>
      </c>
      <c r="B35" s="56">
        <v>5.0</v>
      </c>
      <c r="C35" s="57">
        <v>1.09011838951391E14</v>
      </c>
      <c r="D35" s="58">
        <v>5.0</v>
      </c>
      <c r="F35" s="59" t="s">
        <v>100</v>
      </c>
      <c r="G35" s="60">
        <v>45775.0</v>
      </c>
      <c r="H35" s="58">
        <v>1.0</v>
      </c>
      <c r="I35" s="58" t="s">
        <v>220</v>
      </c>
      <c r="J35" s="61">
        <v>4.60776238135E11</v>
      </c>
      <c r="K35" s="62" t="s">
        <v>221</v>
      </c>
      <c r="L35" s="62">
        <v>2038710.0</v>
      </c>
      <c r="M35" s="63"/>
      <c r="N35" s="63"/>
      <c r="O35" s="62" t="s">
        <v>174</v>
      </c>
      <c r="P35" s="63"/>
      <c r="Q35" s="63"/>
      <c r="R35" s="62" t="s">
        <v>222</v>
      </c>
      <c r="S35" s="62">
        <v>78218.0</v>
      </c>
      <c r="T35" s="58" t="s">
        <v>105</v>
      </c>
      <c r="U35" s="59">
        <v>113.63</v>
      </c>
      <c r="V35" s="59">
        <v>97.63</v>
      </c>
      <c r="W35" s="58">
        <v>7.35</v>
      </c>
      <c r="X35" s="58">
        <v>7.0</v>
      </c>
      <c r="Y35" s="58">
        <v>104.98</v>
      </c>
      <c r="Z35" s="59">
        <v>0.0</v>
      </c>
      <c r="AA35" s="58">
        <v>0.0</v>
      </c>
      <c r="AB35" s="58">
        <v>0.0</v>
      </c>
      <c r="AC35" s="58">
        <v>0.0</v>
      </c>
      <c r="AD35" s="58">
        <v>0.0</v>
      </c>
      <c r="AE35" s="58">
        <v>0.0</v>
      </c>
      <c r="AF35" s="58">
        <v>0.0</v>
      </c>
      <c r="AG35" s="58">
        <v>0.0</v>
      </c>
      <c r="AH35" s="58">
        <v>0.0</v>
      </c>
      <c r="AI35" s="58">
        <v>0.0</v>
      </c>
      <c r="AJ35" s="58">
        <v>0.0</v>
      </c>
      <c r="AK35" s="58">
        <v>0.0</v>
      </c>
      <c r="AL35" s="58">
        <v>0.0</v>
      </c>
      <c r="AM35" s="58">
        <v>0.0</v>
      </c>
      <c r="AN35" s="58">
        <v>0.0</v>
      </c>
      <c r="AO35" s="58">
        <v>8.65</v>
      </c>
      <c r="AP35" s="58">
        <v>0.0</v>
      </c>
      <c r="AQ35" s="58">
        <v>0.0</v>
      </c>
      <c r="AR35" s="58">
        <v>0.0</v>
      </c>
      <c r="AS35" s="58">
        <v>0.0</v>
      </c>
      <c r="AT35" s="58">
        <v>0.0</v>
      </c>
      <c r="AU35" s="58">
        <v>0.0</v>
      </c>
      <c r="AV35" s="58">
        <v>0.0</v>
      </c>
      <c r="AW35" s="58">
        <v>0.0</v>
      </c>
      <c r="AX35" s="58">
        <v>0.0</v>
      </c>
      <c r="AY35" s="58">
        <v>0.0</v>
      </c>
      <c r="AZ35" s="58">
        <v>0.0</v>
      </c>
      <c r="BA35" s="58">
        <v>0.0</v>
      </c>
      <c r="BB35" s="58">
        <v>8.65</v>
      </c>
      <c r="BC35" s="58" t="s">
        <v>106</v>
      </c>
      <c r="BG35" s="58">
        <v>-10.5</v>
      </c>
      <c r="BH35" s="58" t="s">
        <v>107</v>
      </c>
      <c r="BI35" s="58" t="s">
        <v>108</v>
      </c>
      <c r="BJ35" s="58" t="s">
        <v>109</v>
      </c>
      <c r="BK35" s="58" t="s">
        <v>219</v>
      </c>
      <c r="BN35" s="58" t="s">
        <v>111</v>
      </c>
      <c r="BO35" s="58" t="s">
        <v>112</v>
      </c>
      <c r="BP35" s="58" t="s">
        <v>113</v>
      </c>
      <c r="BQ35" s="58" t="s">
        <v>114</v>
      </c>
      <c r="BR35" s="58">
        <v>3.15</v>
      </c>
      <c r="BW35" s="64" t="str">
        <f>if(OR(F35="SALE",F35="REFUNDED"),IFERROR(Vlookup(I35,'Listing SKU - Fill SKU Mapping'!A:C,3,false),"Map"),"")</f>
        <v>Keystone</v>
      </c>
      <c r="BX35" s="65" t="str">
        <f>IF(OR(F35="SALE",F35="REFUNDED")=TRUE,iferror(Vlookup(I35,'Listing SKU - Fill SKU Mapping'!A:B,2,false),"Map"),"")</f>
        <v>IMP409BLK</v>
      </c>
      <c r="BY35" s="64">
        <f>IF(OR(F35="SALE",F35="REFUNDED")=TRUE,iferror(Vlookup(I35,'Listing SKU - Fill SKU Mapping'!A:D,4,false),"Map"),"")</f>
        <v>50.49</v>
      </c>
      <c r="BZ35" s="66">
        <f t="shared" si="1"/>
        <v>11.5</v>
      </c>
      <c r="CA35" s="66">
        <f t="shared" si="2"/>
        <v>61.99</v>
      </c>
      <c r="CB35" s="66">
        <f t="shared" si="3"/>
        <v>35.64</v>
      </c>
      <c r="CC35" s="65" t="str">
        <f>if(F35="REFUNDED",iferror(Vlookup(I35,'Listing SKU - Fill SKU Mapping'!A:B,2,false),"Map"),"")</f>
        <v/>
      </c>
      <c r="CD35" s="65" t="str">
        <f>if(F35="REFUNDED",iferror(Vlookup(I35,'Listing SKU - Fill SKU Mapping'!A:C,3,false),"Map"),"")</f>
        <v/>
      </c>
      <c r="CE35" s="64" t="str">
        <f t="shared" si="4"/>
        <v>2025</v>
      </c>
      <c r="CF35" s="64" t="str">
        <f t="shared" si="5"/>
        <v>April</v>
      </c>
      <c r="CG35" s="64" t="str">
        <f t="shared" si="6"/>
        <v/>
      </c>
    </row>
    <row r="36">
      <c r="A36" s="55">
        <v>2.00013070499551E14</v>
      </c>
      <c r="B36" s="56">
        <v>6.0</v>
      </c>
      <c r="C36" s="57">
        <v>1.09012152656186E14</v>
      </c>
      <c r="D36" s="58">
        <v>6.0</v>
      </c>
      <c r="F36" s="59" t="s">
        <v>100</v>
      </c>
      <c r="G36" s="60">
        <v>45778.0</v>
      </c>
      <c r="H36" s="58">
        <v>1.0</v>
      </c>
      <c r="I36" s="58" t="s">
        <v>223</v>
      </c>
      <c r="J36" s="61">
        <v>4.60776231075E11</v>
      </c>
      <c r="K36" s="62" t="s">
        <v>224</v>
      </c>
      <c r="L36" s="62">
        <v>2038710.0</v>
      </c>
      <c r="M36" s="63"/>
      <c r="N36" s="63"/>
      <c r="O36" s="62" t="s">
        <v>225</v>
      </c>
      <c r="P36" s="63"/>
      <c r="Q36" s="63"/>
      <c r="R36" s="62" t="s">
        <v>226</v>
      </c>
      <c r="S36" s="62">
        <v>19711.0</v>
      </c>
      <c r="T36" s="58" t="s">
        <v>105</v>
      </c>
      <c r="U36" s="59">
        <v>98.98</v>
      </c>
      <c r="V36" s="59">
        <v>92.05</v>
      </c>
      <c r="W36" s="58">
        <v>6.93</v>
      </c>
      <c r="X36" s="58">
        <v>7.0</v>
      </c>
      <c r="Y36" s="58">
        <v>98.98</v>
      </c>
      <c r="Z36" s="59">
        <v>0.0</v>
      </c>
      <c r="AA36" s="58">
        <v>0.0</v>
      </c>
      <c r="AB36" s="58">
        <v>0.0</v>
      </c>
      <c r="AC36" s="58">
        <v>0.0</v>
      </c>
      <c r="AD36" s="58">
        <v>0.0</v>
      </c>
      <c r="AE36" s="58">
        <v>0.0</v>
      </c>
      <c r="AF36" s="58">
        <v>0.0</v>
      </c>
      <c r="AG36" s="58">
        <v>0.0</v>
      </c>
      <c r="AH36" s="58">
        <v>0.0</v>
      </c>
      <c r="AI36" s="58">
        <v>0.0</v>
      </c>
      <c r="AJ36" s="58">
        <v>0.0</v>
      </c>
      <c r="AK36" s="58">
        <v>0.0</v>
      </c>
      <c r="AL36" s="58">
        <v>0.0</v>
      </c>
      <c r="AM36" s="58">
        <v>0.0</v>
      </c>
      <c r="AN36" s="58">
        <v>0.0</v>
      </c>
      <c r="AO36" s="58">
        <v>0.0</v>
      </c>
      <c r="AP36" s="58">
        <v>0.0</v>
      </c>
      <c r="AQ36" s="58">
        <v>0.0</v>
      </c>
      <c r="AR36" s="58">
        <v>0.0</v>
      </c>
      <c r="AS36" s="58">
        <v>0.0</v>
      </c>
      <c r="AT36" s="58">
        <v>0.0</v>
      </c>
      <c r="AU36" s="58">
        <v>0.0</v>
      </c>
      <c r="AV36" s="58">
        <v>0.0</v>
      </c>
      <c r="AW36" s="58">
        <v>0.0</v>
      </c>
      <c r="AX36" s="58">
        <v>0.0</v>
      </c>
      <c r="AY36" s="58">
        <v>0.0</v>
      </c>
      <c r="AZ36" s="58">
        <v>0.0</v>
      </c>
      <c r="BA36" s="58">
        <v>0.0</v>
      </c>
      <c r="BB36" s="58">
        <v>0.0</v>
      </c>
      <c r="BC36" s="58" t="s">
        <v>111</v>
      </c>
      <c r="BG36" s="58">
        <v>-9.9</v>
      </c>
      <c r="BH36" s="58" t="s">
        <v>107</v>
      </c>
      <c r="BI36" s="58" t="s">
        <v>108</v>
      </c>
      <c r="BJ36" s="58" t="s">
        <v>109</v>
      </c>
      <c r="BK36" s="58" t="s">
        <v>219</v>
      </c>
      <c r="BN36" s="58" t="s">
        <v>111</v>
      </c>
      <c r="BO36" s="58" t="s">
        <v>112</v>
      </c>
      <c r="BP36" s="58" t="s">
        <v>113</v>
      </c>
      <c r="BQ36" s="58" t="s">
        <v>114</v>
      </c>
      <c r="BR36" s="58">
        <v>2.97</v>
      </c>
      <c r="BW36" s="64" t="str">
        <f>if(OR(F36="SALE",F36="REFUNDED"),IFERROR(Vlookup(I36,'Listing SKU - Fill SKU Mapping'!A:C,3,false),"Map"),"")</f>
        <v>Keystone</v>
      </c>
      <c r="BX36" s="65" t="str">
        <f>IF(OR(F36="SALE",F36="REFUNDED")=TRUE,iferror(Vlookup(I36,'Listing SKU - Fill SKU Mapping'!A:B,2,false),"Map"),"")</f>
        <v>IMP78BLK</v>
      </c>
      <c r="BY36" s="64">
        <f>IF(OR(F36="SALE",F36="REFUNDED")=TRUE,iferror(Vlookup(I36,'Listing SKU - Fill SKU Mapping'!A:D,4,false),"Map"),"")</f>
        <v>46.16</v>
      </c>
      <c r="BZ36" s="66">
        <f t="shared" si="1"/>
        <v>11.5</v>
      </c>
      <c r="CA36" s="66">
        <f t="shared" si="2"/>
        <v>57.66</v>
      </c>
      <c r="CB36" s="66">
        <f t="shared" si="3"/>
        <v>34.39</v>
      </c>
      <c r="CC36" s="65" t="str">
        <f>if(F36="REFUNDED",iferror(Vlookup(I36,'Listing SKU - Fill SKU Mapping'!A:B,2,false),"Map"),"")</f>
        <v/>
      </c>
      <c r="CD36" s="65" t="str">
        <f>if(F36="REFUNDED",iferror(Vlookup(I36,'Listing SKU - Fill SKU Mapping'!A:C,3,false),"Map"),"")</f>
        <v/>
      </c>
      <c r="CE36" s="64" t="str">
        <f t="shared" si="4"/>
        <v>2025</v>
      </c>
      <c r="CF36" s="64" t="str">
        <f t="shared" si="5"/>
        <v>May</v>
      </c>
      <c r="CG36" s="64" t="str">
        <f t="shared" si="6"/>
        <v/>
      </c>
    </row>
    <row r="37">
      <c r="A37" s="55">
        <v>2.00013060278696E14</v>
      </c>
      <c r="B37" s="56">
        <v>7.0</v>
      </c>
      <c r="C37" s="57">
        <v>1.09011942953061E14</v>
      </c>
      <c r="D37" s="58">
        <v>7.0</v>
      </c>
      <c r="F37" s="59" t="s">
        <v>100</v>
      </c>
      <c r="G37" s="60">
        <v>45775.0</v>
      </c>
      <c r="H37" s="58">
        <v>1.0</v>
      </c>
      <c r="I37" s="58" t="s">
        <v>159</v>
      </c>
      <c r="J37" s="61">
        <v>4.60776234854E11</v>
      </c>
      <c r="K37" s="62" t="s">
        <v>160</v>
      </c>
      <c r="L37" s="62">
        <v>2038710.0</v>
      </c>
      <c r="M37" s="63"/>
      <c r="N37" s="63"/>
      <c r="O37" s="62" t="s">
        <v>161</v>
      </c>
      <c r="P37" s="63"/>
      <c r="Q37" s="63"/>
      <c r="R37" s="62" t="s">
        <v>162</v>
      </c>
      <c r="S37" s="62">
        <v>90605.0</v>
      </c>
      <c r="T37" s="58" t="s">
        <v>105</v>
      </c>
      <c r="U37" s="59">
        <v>104.24</v>
      </c>
      <c r="V37" s="59">
        <v>88.33</v>
      </c>
      <c r="W37" s="58">
        <v>6.65</v>
      </c>
      <c r="X37" s="58">
        <v>7.0</v>
      </c>
      <c r="Y37" s="58">
        <v>94.98</v>
      </c>
      <c r="Z37" s="59">
        <v>0.0</v>
      </c>
      <c r="AA37" s="58">
        <v>0.0</v>
      </c>
      <c r="AB37" s="58">
        <v>0.0</v>
      </c>
      <c r="AC37" s="58">
        <v>0.0</v>
      </c>
      <c r="AD37" s="58">
        <v>0.0</v>
      </c>
      <c r="AE37" s="58">
        <v>0.0</v>
      </c>
      <c r="AF37" s="58">
        <v>0.0</v>
      </c>
      <c r="AG37" s="58">
        <v>0.0</v>
      </c>
      <c r="AH37" s="58">
        <v>0.0</v>
      </c>
      <c r="AI37" s="58">
        <v>0.0</v>
      </c>
      <c r="AJ37" s="58">
        <v>0.0</v>
      </c>
      <c r="AK37" s="58">
        <v>0.0</v>
      </c>
      <c r="AL37" s="58">
        <v>0.0</v>
      </c>
      <c r="AM37" s="58">
        <v>0.0</v>
      </c>
      <c r="AN37" s="58">
        <v>0.0</v>
      </c>
      <c r="AO37" s="58">
        <v>9.26</v>
      </c>
      <c r="AP37" s="58">
        <v>0.0</v>
      </c>
      <c r="AQ37" s="58">
        <v>0.0</v>
      </c>
      <c r="AR37" s="58">
        <v>0.0</v>
      </c>
      <c r="AS37" s="58">
        <v>0.0</v>
      </c>
      <c r="AT37" s="58">
        <v>0.0</v>
      </c>
      <c r="AU37" s="58">
        <v>0.0</v>
      </c>
      <c r="AV37" s="58">
        <v>0.0</v>
      </c>
      <c r="AW37" s="58">
        <v>0.0</v>
      </c>
      <c r="AX37" s="58">
        <v>0.0</v>
      </c>
      <c r="AY37" s="58">
        <v>0.0</v>
      </c>
      <c r="AZ37" s="58">
        <v>0.0</v>
      </c>
      <c r="BA37" s="58">
        <v>0.0</v>
      </c>
      <c r="BB37" s="58">
        <v>9.26</v>
      </c>
      <c r="BC37" s="58" t="s">
        <v>106</v>
      </c>
      <c r="BG37" s="58">
        <v>-9.5</v>
      </c>
      <c r="BH37" s="58" t="s">
        <v>107</v>
      </c>
      <c r="BI37" s="58" t="s">
        <v>108</v>
      </c>
      <c r="BJ37" s="58" t="s">
        <v>109</v>
      </c>
      <c r="BK37" s="58" t="s">
        <v>219</v>
      </c>
      <c r="BN37" s="58" t="s">
        <v>111</v>
      </c>
      <c r="BO37" s="58" t="s">
        <v>112</v>
      </c>
      <c r="BP37" s="58" t="s">
        <v>113</v>
      </c>
      <c r="BQ37" s="58" t="s">
        <v>114</v>
      </c>
      <c r="BR37" s="58">
        <v>2.85</v>
      </c>
      <c r="BW37" s="64" t="str">
        <f>if(OR(F37="SALE",F37="REFUNDED"),IFERROR(Vlookup(I37,'Listing SKU - Fill SKU Mapping'!A:C,3,false),"Map"),"")</f>
        <v>Keystone</v>
      </c>
      <c r="BX37" s="65" t="str">
        <f>IF(OR(F37="SALE",F37="REFUNDED")=TRUE,iferror(Vlookup(I37,'Listing SKU - Fill SKU Mapping'!A:B,2,false),"Map"),"")</f>
        <v>IMP371BLK</v>
      </c>
      <c r="BY37" s="64">
        <f>IF(OR(F37="SALE",F37="REFUNDED")=TRUE,iferror(Vlookup(I37,'Listing SKU - Fill SKU Mapping'!A:D,4,false),"Map"),"")</f>
        <v>43.79</v>
      </c>
      <c r="BZ37" s="66">
        <f t="shared" si="1"/>
        <v>11.5</v>
      </c>
      <c r="CA37" s="66">
        <f t="shared" si="2"/>
        <v>55.29</v>
      </c>
      <c r="CB37" s="66">
        <f t="shared" si="3"/>
        <v>33.04</v>
      </c>
      <c r="CC37" s="65" t="str">
        <f>if(F37="REFUNDED",iferror(Vlookup(I37,'Listing SKU - Fill SKU Mapping'!A:B,2,false),"Map"),"")</f>
        <v/>
      </c>
      <c r="CD37" s="65" t="str">
        <f>if(F37="REFUNDED",iferror(Vlookup(I37,'Listing SKU - Fill SKU Mapping'!A:C,3,false),"Map"),"")</f>
        <v/>
      </c>
      <c r="CE37" s="64" t="str">
        <f t="shared" si="4"/>
        <v>2025</v>
      </c>
      <c r="CF37" s="64" t="str">
        <f t="shared" si="5"/>
        <v>April</v>
      </c>
      <c r="CG37" s="64" t="str">
        <f t="shared" si="6"/>
        <v/>
      </c>
    </row>
    <row r="38">
      <c r="A38" s="55">
        <v>2.00013053340689E14</v>
      </c>
      <c r="B38" s="56">
        <v>1.0</v>
      </c>
      <c r="C38" s="57">
        <v>1.09012256632702E14</v>
      </c>
      <c r="D38" s="58">
        <v>1.0</v>
      </c>
      <c r="F38" s="59" t="s">
        <v>100</v>
      </c>
      <c r="G38" s="60">
        <v>45778.0</v>
      </c>
      <c r="H38" s="58">
        <v>1.0</v>
      </c>
      <c r="I38" s="58" t="s">
        <v>190</v>
      </c>
      <c r="J38" s="61">
        <v>4.6077623102E11</v>
      </c>
      <c r="K38" s="62" t="s">
        <v>191</v>
      </c>
      <c r="L38" s="62">
        <v>2038710.0</v>
      </c>
      <c r="M38" s="63"/>
      <c r="N38" s="63"/>
      <c r="O38" s="62" t="s">
        <v>227</v>
      </c>
      <c r="P38" s="63"/>
      <c r="Q38" s="63"/>
      <c r="R38" s="62" t="s">
        <v>228</v>
      </c>
      <c r="S38" s="62">
        <v>49120.0</v>
      </c>
      <c r="T38" s="58" t="s">
        <v>105</v>
      </c>
      <c r="U38" s="59">
        <v>125.06</v>
      </c>
      <c r="V38" s="59">
        <v>109.72</v>
      </c>
      <c r="W38" s="58">
        <v>8.26</v>
      </c>
      <c r="X38" s="58">
        <v>7.0</v>
      </c>
      <c r="Y38" s="58">
        <v>117.98</v>
      </c>
      <c r="Z38" s="59">
        <v>0.0</v>
      </c>
      <c r="AA38" s="58">
        <v>0.0</v>
      </c>
      <c r="AB38" s="58">
        <v>0.0</v>
      </c>
      <c r="AC38" s="58">
        <v>0.0</v>
      </c>
      <c r="AD38" s="58">
        <v>0.0</v>
      </c>
      <c r="AE38" s="58">
        <v>0.0</v>
      </c>
      <c r="AF38" s="58">
        <v>0.0</v>
      </c>
      <c r="AG38" s="58">
        <v>0.0</v>
      </c>
      <c r="AH38" s="58">
        <v>0.0</v>
      </c>
      <c r="AI38" s="58">
        <v>0.0</v>
      </c>
      <c r="AJ38" s="58">
        <v>0.0</v>
      </c>
      <c r="AK38" s="58">
        <v>0.0</v>
      </c>
      <c r="AL38" s="58">
        <v>0.0</v>
      </c>
      <c r="AM38" s="58">
        <v>0.0</v>
      </c>
      <c r="AN38" s="58">
        <v>0.0</v>
      </c>
      <c r="AO38" s="58">
        <v>7.08</v>
      </c>
      <c r="AP38" s="58">
        <v>0.0</v>
      </c>
      <c r="AQ38" s="58">
        <v>0.0</v>
      </c>
      <c r="AR38" s="58">
        <v>0.0</v>
      </c>
      <c r="AS38" s="58">
        <v>0.0</v>
      </c>
      <c r="AT38" s="58">
        <v>0.0</v>
      </c>
      <c r="AU38" s="58">
        <v>0.0</v>
      </c>
      <c r="AV38" s="58">
        <v>0.0</v>
      </c>
      <c r="AW38" s="58">
        <v>0.0</v>
      </c>
      <c r="AX38" s="58">
        <v>0.0</v>
      </c>
      <c r="AY38" s="58">
        <v>0.0</v>
      </c>
      <c r="AZ38" s="58">
        <v>0.0</v>
      </c>
      <c r="BA38" s="58">
        <v>0.0</v>
      </c>
      <c r="BB38" s="58">
        <v>7.08</v>
      </c>
      <c r="BC38" s="58" t="s">
        <v>106</v>
      </c>
      <c r="BG38" s="58">
        <v>-11.8</v>
      </c>
      <c r="BH38" s="58" t="s">
        <v>107</v>
      </c>
      <c r="BI38" s="58" t="s">
        <v>108</v>
      </c>
      <c r="BJ38" s="58" t="s">
        <v>109</v>
      </c>
      <c r="BK38" s="58" t="s">
        <v>219</v>
      </c>
      <c r="BN38" s="58" t="s">
        <v>111</v>
      </c>
      <c r="BO38" s="58" t="s">
        <v>112</v>
      </c>
      <c r="BP38" s="58" t="s">
        <v>113</v>
      </c>
      <c r="BQ38" s="58" t="s">
        <v>114</v>
      </c>
      <c r="BR38" s="58">
        <v>3.54</v>
      </c>
      <c r="BW38" s="64" t="str">
        <f>if(OR(F38="SALE",F38="REFUNDED"),IFERROR(Vlookup(I38,'Listing SKU - Fill SKU Mapping'!A:C,3,false),"Map"),"")</f>
        <v>Keystone</v>
      </c>
      <c r="BX38" s="65" t="str">
        <f>IF(OR(F38="SALE",F38="REFUNDED")=TRUE,iferror(Vlookup(I38,'Listing SKU - Fill SKU Mapping'!A:B,2,false),"Map"),"")</f>
        <v>IMP75X</v>
      </c>
      <c r="BY38" s="64">
        <f>IF(OR(F38="SALE",F38="REFUNDED")=TRUE,iferror(Vlookup(I38,'Listing SKU - Fill SKU Mapping'!A:D,4,false),"Map"),"")</f>
        <v>59.57</v>
      </c>
      <c r="BZ38" s="66">
        <f t="shared" si="1"/>
        <v>11.5</v>
      </c>
      <c r="CA38" s="66">
        <f t="shared" si="2"/>
        <v>71.07</v>
      </c>
      <c r="CB38" s="66">
        <f t="shared" si="3"/>
        <v>38.65</v>
      </c>
      <c r="CC38" s="65" t="str">
        <f>if(F38="REFUNDED",iferror(Vlookup(I38,'Listing SKU - Fill SKU Mapping'!A:B,2,false),"Map"),"")</f>
        <v/>
      </c>
      <c r="CD38" s="65" t="str">
        <f>if(F38="REFUNDED",iferror(Vlookup(I38,'Listing SKU - Fill SKU Mapping'!A:C,3,false),"Map"),"")</f>
        <v/>
      </c>
      <c r="CE38" s="64" t="str">
        <f t="shared" si="4"/>
        <v>2025</v>
      </c>
      <c r="CF38" s="64" t="str">
        <f t="shared" si="5"/>
        <v>May</v>
      </c>
      <c r="CG38" s="64" t="str">
        <f t="shared" si="6"/>
        <v/>
      </c>
    </row>
    <row r="39">
      <c r="A39" s="55">
        <v>2.00013049604965E14</v>
      </c>
      <c r="B39" s="56">
        <v>1.0</v>
      </c>
      <c r="C39" s="57">
        <v>1.09011426675392E14</v>
      </c>
      <c r="D39" s="58">
        <v>1.0</v>
      </c>
      <c r="F39" s="59" t="s">
        <v>100</v>
      </c>
      <c r="G39" s="60">
        <v>45771.0</v>
      </c>
      <c r="H39" s="58">
        <v>1.0</v>
      </c>
      <c r="I39" s="58" t="s">
        <v>164</v>
      </c>
      <c r="J39" s="61">
        <v>4.60776235042E11</v>
      </c>
      <c r="K39" s="62" t="s">
        <v>165</v>
      </c>
      <c r="L39" s="62">
        <v>2038710.0</v>
      </c>
      <c r="M39" s="63"/>
      <c r="N39" s="63"/>
      <c r="O39" s="62" t="s">
        <v>166</v>
      </c>
      <c r="P39" s="63"/>
      <c r="Q39" s="63"/>
      <c r="R39" s="62" t="s">
        <v>167</v>
      </c>
      <c r="S39" s="62">
        <v>23805.0</v>
      </c>
      <c r="T39" s="58" t="s">
        <v>105</v>
      </c>
      <c r="U39" s="59">
        <v>109.49</v>
      </c>
      <c r="V39" s="59">
        <v>96.7</v>
      </c>
      <c r="W39" s="58">
        <v>7.28</v>
      </c>
      <c r="X39" s="58">
        <v>7.0</v>
      </c>
      <c r="Y39" s="58">
        <v>103.98</v>
      </c>
      <c r="Z39" s="59">
        <v>0.0</v>
      </c>
      <c r="AA39" s="58">
        <v>0.0</v>
      </c>
      <c r="AB39" s="58">
        <v>0.0</v>
      </c>
      <c r="AC39" s="58">
        <v>0.0</v>
      </c>
      <c r="AD39" s="58">
        <v>0.0</v>
      </c>
      <c r="AE39" s="58">
        <v>0.0</v>
      </c>
      <c r="AF39" s="58">
        <v>0.0</v>
      </c>
      <c r="AG39" s="58">
        <v>0.0</v>
      </c>
      <c r="AH39" s="58">
        <v>0.0</v>
      </c>
      <c r="AI39" s="58">
        <v>0.0</v>
      </c>
      <c r="AJ39" s="58">
        <v>0.0</v>
      </c>
      <c r="AK39" s="58">
        <v>0.0</v>
      </c>
      <c r="AL39" s="58">
        <v>0.0</v>
      </c>
      <c r="AM39" s="58">
        <v>0.0</v>
      </c>
      <c r="AN39" s="58">
        <v>0.0</v>
      </c>
      <c r="AO39" s="58">
        <v>5.51</v>
      </c>
      <c r="AP39" s="58">
        <v>0.0</v>
      </c>
      <c r="AQ39" s="58">
        <v>0.0</v>
      </c>
      <c r="AR39" s="58">
        <v>0.0</v>
      </c>
      <c r="AS39" s="58">
        <v>0.0</v>
      </c>
      <c r="AT39" s="58">
        <v>0.0</v>
      </c>
      <c r="AU39" s="58">
        <v>0.0</v>
      </c>
      <c r="AV39" s="58">
        <v>0.0</v>
      </c>
      <c r="AW39" s="58">
        <v>0.0</v>
      </c>
      <c r="AX39" s="58">
        <v>0.0</v>
      </c>
      <c r="AY39" s="58">
        <v>0.0</v>
      </c>
      <c r="AZ39" s="58">
        <v>0.0</v>
      </c>
      <c r="BA39" s="58">
        <v>0.0</v>
      </c>
      <c r="BB39" s="58">
        <v>5.51</v>
      </c>
      <c r="BC39" s="58" t="s">
        <v>106</v>
      </c>
      <c r="BG39" s="58">
        <v>-10.4</v>
      </c>
      <c r="BH39" s="58" t="s">
        <v>107</v>
      </c>
      <c r="BI39" s="58" t="s">
        <v>108</v>
      </c>
      <c r="BJ39" s="58" t="s">
        <v>109</v>
      </c>
      <c r="BK39" s="58" t="s">
        <v>229</v>
      </c>
      <c r="BN39" s="58" t="s">
        <v>111</v>
      </c>
      <c r="BO39" s="58" t="s">
        <v>112</v>
      </c>
      <c r="BP39" s="58" t="s">
        <v>113</v>
      </c>
      <c r="BQ39" s="58" t="s">
        <v>114</v>
      </c>
      <c r="BR39" s="58">
        <v>3.12</v>
      </c>
      <c r="BW39" s="64" t="str">
        <f>if(OR(F39="SALE",F39="REFUNDED"),IFERROR(Vlookup(I39,'Listing SKU - Fill SKU Mapping'!A:C,3,false),"Map"),"")</f>
        <v>Keystone</v>
      </c>
      <c r="BX39" s="65" t="str">
        <f>IF(OR(F39="SALE",F39="REFUNDED")=TRUE,iferror(Vlookup(I39,'Listing SKU - Fill SKU Mapping'!A:B,2,false),"Map"),"")</f>
        <v>IMP417BLK</v>
      </c>
      <c r="BY39" s="64">
        <f>IF(OR(F39="SALE",F39="REFUNDED")=TRUE,iferror(Vlookup(I39,'Listing SKU - Fill SKU Mapping'!A:D,4,false),"Map"),"")</f>
        <v>50.1</v>
      </c>
      <c r="BZ39" s="66">
        <f t="shared" si="1"/>
        <v>11.5</v>
      </c>
      <c r="CA39" s="66">
        <f t="shared" si="2"/>
        <v>61.6</v>
      </c>
      <c r="CB39" s="66">
        <f t="shared" si="3"/>
        <v>35.1</v>
      </c>
      <c r="CC39" s="65" t="str">
        <f>if(F39="REFUNDED",iferror(Vlookup(I39,'Listing SKU - Fill SKU Mapping'!A:B,2,false),"Map"),"")</f>
        <v/>
      </c>
      <c r="CD39" s="65" t="str">
        <f>if(F39="REFUNDED",iferror(Vlookup(I39,'Listing SKU - Fill SKU Mapping'!A:C,3,false),"Map"),"")</f>
        <v/>
      </c>
      <c r="CE39" s="64" t="str">
        <f t="shared" si="4"/>
        <v>2025</v>
      </c>
      <c r="CF39" s="64" t="str">
        <f t="shared" si="5"/>
        <v>April</v>
      </c>
      <c r="CG39" s="64" t="str">
        <f t="shared" si="6"/>
        <v/>
      </c>
    </row>
    <row r="40">
      <c r="A40" s="55">
        <v>2.00013049604965E14</v>
      </c>
      <c r="B40" s="56">
        <v>1.0</v>
      </c>
      <c r="C40" s="57">
        <v>1.09011426675392E14</v>
      </c>
      <c r="D40" s="58">
        <v>1.0</v>
      </c>
      <c r="F40" s="59" t="s">
        <v>128</v>
      </c>
      <c r="G40" s="60">
        <v>45775.0</v>
      </c>
      <c r="H40" s="58">
        <v>1.0</v>
      </c>
      <c r="I40" s="58" t="s">
        <v>164</v>
      </c>
      <c r="J40" s="61">
        <v>4.60776235042E11</v>
      </c>
      <c r="K40" s="62" t="s">
        <v>165</v>
      </c>
      <c r="L40" s="62">
        <v>2038710.0</v>
      </c>
      <c r="M40" s="63"/>
      <c r="N40" s="63"/>
      <c r="O40" s="63"/>
      <c r="P40" s="63"/>
      <c r="Q40" s="63"/>
      <c r="R40" s="62" t="s">
        <v>167</v>
      </c>
      <c r="S40" s="62">
        <v>23805.0</v>
      </c>
      <c r="U40" s="59">
        <v>-109.49</v>
      </c>
      <c r="V40" s="59">
        <v>-96.7</v>
      </c>
      <c r="W40" s="58">
        <v>-7.28</v>
      </c>
      <c r="X40" s="58">
        <v>0.0</v>
      </c>
      <c r="Y40" s="58">
        <v>0.0</v>
      </c>
      <c r="Z40" s="59">
        <v>-103.98</v>
      </c>
      <c r="AA40" s="58">
        <v>0.0</v>
      </c>
      <c r="AB40" s="58">
        <v>0.0</v>
      </c>
      <c r="AC40" s="58">
        <v>0.0</v>
      </c>
      <c r="AD40" s="58">
        <v>0.0</v>
      </c>
      <c r="AE40" s="58">
        <v>0.0</v>
      </c>
      <c r="AF40" s="58">
        <v>0.0</v>
      </c>
      <c r="AG40" s="58">
        <v>0.0</v>
      </c>
      <c r="AH40" s="58">
        <v>0.0</v>
      </c>
      <c r="AI40" s="58">
        <v>0.0</v>
      </c>
      <c r="AJ40" s="58">
        <v>0.0</v>
      </c>
      <c r="AK40" s="58">
        <v>0.0</v>
      </c>
      <c r="AL40" s="58">
        <v>0.0</v>
      </c>
      <c r="AM40" s="58">
        <v>0.0</v>
      </c>
      <c r="AN40" s="58">
        <v>0.0</v>
      </c>
      <c r="AO40" s="58">
        <v>0.0</v>
      </c>
      <c r="AP40" s="58">
        <v>0.0</v>
      </c>
      <c r="AQ40" s="58">
        <v>0.0</v>
      </c>
      <c r="AR40" s="58">
        <v>0.0</v>
      </c>
      <c r="AS40" s="58">
        <v>0.0</v>
      </c>
      <c r="AT40" s="58">
        <v>-5.51</v>
      </c>
      <c r="AU40" s="58">
        <v>0.0</v>
      </c>
      <c r="AV40" s="58">
        <v>0.0</v>
      </c>
      <c r="AW40" s="58">
        <v>0.0</v>
      </c>
      <c r="AX40" s="58">
        <v>0.0</v>
      </c>
      <c r="AY40" s="58">
        <v>0.0</v>
      </c>
      <c r="AZ40" s="58">
        <v>0.0</v>
      </c>
      <c r="BA40" s="58">
        <v>0.0</v>
      </c>
      <c r="BB40" s="58">
        <v>-5.51</v>
      </c>
      <c r="BC40" s="58" t="s">
        <v>106</v>
      </c>
      <c r="BD40" s="58" t="s">
        <v>156</v>
      </c>
      <c r="BE40" s="58">
        <v>5010.0</v>
      </c>
      <c r="BH40" s="58" t="s">
        <v>107</v>
      </c>
      <c r="BI40" s="58" t="s">
        <v>108</v>
      </c>
      <c r="BL40" s="58">
        <v>1000.0</v>
      </c>
      <c r="BM40" s="58" t="s">
        <v>130</v>
      </c>
      <c r="BN40" s="58" t="s">
        <v>111</v>
      </c>
      <c r="BO40" s="58" t="s">
        <v>112</v>
      </c>
      <c r="BW40" s="64" t="str">
        <f>if(OR(F40="SALE",F40="REFUNDED"),IFERROR(Vlookup(I40,'Listing SKU - Fill SKU Mapping'!A:C,3,false),"Map"),"")</f>
        <v>Keystone</v>
      </c>
      <c r="BX40" s="65" t="str">
        <f>IF(OR(F40="SALE",F40="REFUNDED")=TRUE,iferror(Vlookup(I40,'Listing SKU - Fill SKU Mapping'!A:B,2,false),"Map"),"")</f>
        <v>IMP417BLK</v>
      </c>
      <c r="BY40" s="64">
        <f>IF(OR(F40="SALE",F40="REFUNDED")=TRUE,iferror(Vlookup(I40,'Listing SKU - Fill SKU Mapping'!A:D,4,false),"Map"),"")</f>
        <v>50.1</v>
      </c>
      <c r="BZ40" s="66">
        <f t="shared" si="1"/>
        <v>11.5</v>
      </c>
      <c r="CA40" s="66">
        <f t="shared" si="2"/>
        <v>61.6</v>
      </c>
      <c r="CB40" s="64" t="str">
        <f t="shared" si="3"/>
        <v/>
      </c>
      <c r="CC40" s="65" t="str">
        <f>if(F40="REFUNDED",iferror(Vlookup(I40,'Listing SKU - Fill SKU Mapping'!A:B,2,false),"Map"),"")</f>
        <v>IMP417BLK</v>
      </c>
      <c r="CD40" s="65" t="str">
        <f>if(F40="REFUNDED",iferror(Vlookup(I40,'Listing SKU - Fill SKU Mapping'!A:C,3,false),"Map"),"")</f>
        <v>Keystone</v>
      </c>
      <c r="CE40" s="64" t="str">
        <f t="shared" si="4"/>
        <v>2025</v>
      </c>
      <c r="CF40" s="64" t="str">
        <f t="shared" si="5"/>
        <v>April</v>
      </c>
      <c r="CG40" s="64" t="str">
        <f t="shared" si="6"/>
        <v/>
      </c>
    </row>
    <row r="41">
      <c r="A41" s="55">
        <v>2.00013038493104E14</v>
      </c>
      <c r="B41" s="56">
        <v>1.0</v>
      </c>
      <c r="C41" s="57">
        <v>1.09011116508241E14</v>
      </c>
      <c r="D41" s="58">
        <v>1.0</v>
      </c>
      <c r="F41" s="59" t="s">
        <v>100</v>
      </c>
      <c r="G41" s="60">
        <v>45768.0</v>
      </c>
      <c r="H41" s="58">
        <v>1.0</v>
      </c>
      <c r="I41" s="58" t="s">
        <v>168</v>
      </c>
      <c r="J41" s="61">
        <v>4.64567112352E11</v>
      </c>
      <c r="K41" s="62" t="s">
        <v>169</v>
      </c>
      <c r="L41" s="62">
        <v>2038710.0</v>
      </c>
      <c r="M41" s="63"/>
      <c r="N41" s="63"/>
      <c r="O41" s="62" t="s">
        <v>170</v>
      </c>
      <c r="P41" s="63"/>
      <c r="Q41" s="63"/>
      <c r="R41" s="62" t="s">
        <v>171</v>
      </c>
      <c r="S41" s="62">
        <v>46107.0</v>
      </c>
      <c r="T41" s="58" t="s">
        <v>105</v>
      </c>
      <c r="U41" s="59">
        <v>92.0</v>
      </c>
      <c r="V41" s="59">
        <v>79.96</v>
      </c>
      <c r="W41" s="58">
        <v>6.02</v>
      </c>
      <c r="X41" s="58">
        <v>7.0</v>
      </c>
      <c r="Y41" s="58">
        <v>85.98</v>
      </c>
      <c r="Z41" s="59">
        <v>0.0</v>
      </c>
      <c r="AA41" s="58">
        <v>0.0</v>
      </c>
      <c r="AB41" s="58">
        <v>0.0</v>
      </c>
      <c r="AC41" s="58">
        <v>0.0</v>
      </c>
      <c r="AD41" s="58">
        <v>0.0</v>
      </c>
      <c r="AE41" s="58">
        <v>0.0</v>
      </c>
      <c r="AF41" s="58">
        <v>0.0</v>
      </c>
      <c r="AG41" s="58">
        <v>0.0</v>
      </c>
      <c r="AH41" s="58">
        <v>0.0</v>
      </c>
      <c r="AI41" s="58">
        <v>0.0</v>
      </c>
      <c r="AJ41" s="58">
        <v>0.0</v>
      </c>
      <c r="AK41" s="58">
        <v>0.0</v>
      </c>
      <c r="AL41" s="58">
        <v>0.0</v>
      </c>
      <c r="AM41" s="58">
        <v>0.0</v>
      </c>
      <c r="AN41" s="58">
        <v>0.0</v>
      </c>
      <c r="AO41" s="58">
        <v>6.02</v>
      </c>
      <c r="AP41" s="58">
        <v>0.0</v>
      </c>
      <c r="AQ41" s="58">
        <v>0.0</v>
      </c>
      <c r="AR41" s="58">
        <v>0.0</v>
      </c>
      <c r="AS41" s="58">
        <v>0.0</v>
      </c>
      <c r="AT41" s="58">
        <v>0.0</v>
      </c>
      <c r="AU41" s="58">
        <v>0.0</v>
      </c>
      <c r="AV41" s="58">
        <v>0.0</v>
      </c>
      <c r="AW41" s="58">
        <v>0.0</v>
      </c>
      <c r="AX41" s="58">
        <v>0.0</v>
      </c>
      <c r="AY41" s="58">
        <v>0.0</v>
      </c>
      <c r="AZ41" s="58">
        <v>0.0</v>
      </c>
      <c r="BA41" s="58">
        <v>0.0</v>
      </c>
      <c r="BB41" s="58">
        <v>6.02</v>
      </c>
      <c r="BC41" s="58" t="s">
        <v>106</v>
      </c>
      <c r="BG41" s="58">
        <v>-8.6</v>
      </c>
      <c r="BH41" s="58" t="s">
        <v>107</v>
      </c>
      <c r="BI41" s="58" t="s">
        <v>108</v>
      </c>
      <c r="BJ41" s="58" t="s">
        <v>109</v>
      </c>
      <c r="BK41" s="58" t="s">
        <v>229</v>
      </c>
      <c r="BN41" s="58" t="s">
        <v>111</v>
      </c>
      <c r="BO41" s="58" t="s">
        <v>112</v>
      </c>
      <c r="BP41" s="58" t="s">
        <v>113</v>
      </c>
      <c r="BQ41" s="58" t="s">
        <v>114</v>
      </c>
      <c r="BR41" s="58">
        <v>2.58</v>
      </c>
      <c r="BW41" s="64" t="str">
        <f>if(OR(F41="SALE",F41="REFUNDED"),IFERROR(Vlookup(I41,'Listing SKU - Fill SKU Mapping'!A:C,3,false),"Map"),"")</f>
        <v>Keystone</v>
      </c>
      <c r="BX41" s="65" t="str">
        <f>IF(OR(F41="SALE",F41="REFUNDED")=TRUE,iferror(Vlookup(I41,'Listing SKU - Fill SKU Mapping'!A:B,2,false),"Map"),"")</f>
        <v>IMP331X</v>
      </c>
      <c r="BY41" s="64">
        <f>IF(OR(F41="SALE",F41="REFUNDED")=TRUE,iferror(Vlookup(I41,'Listing SKU - Fill SKU Mapping'!A:D,4,false),"Map"),"")</f>
        <v>61.94</v>
      </c>
      <c r="BZ41" s="66">
        <f t="shared" si="1"/>
        <v>11.5</v>
      </c>
      <c r="CA41" s="66">
        <f t="shared" si="2"/>
        <v>73.44</v>
      </c>
      <c r="CB41" s="66">
        <f t="shared" si="3"/>
        <v>6.52</v>
      </c>
      <c r="CC41" s="65" t="str">
        <f>if(F41="REFUNDED",iferror(Vlookup(I41,'Listing SKU - Fill SKU Mapping'!A:B,2,false),"Map"),"")</f>
        <v/>
      </c>
      <c r="CD41" s="65" t="str">
        <f>if(F41="REFUNDED",iferror(Vlookup(I41,'Listing SKU - Fill SKU Mapping'!A:C,3,false),"Map"),"")</f>
        <v/>
      </c>
      <c r="CE41" s="64" t="str">
        <f t="shared" si="4"/>
        <v>2025</v>
      </c>
      <c r="CF41" s="64" t="str">
        <f t="shared" si="5"/>
        <v>April</v>
      </c>
      <c r="CG41" s="64" t="str">
        <f t="shared" si="6"/>
        <v/>
      </c>
    </row>
    <row r="42">
      <c r="A42" s="55">
        <v>2.00013001971046E14</v>
      </c>
      <c r="B42" s="56">
        <v>1.0</v>
      </c>
      <c r="C42" s="57">
        <v>1.09010999475878E14</v>
      </c>
      <c r="D42" s="58">
        <v>1.0</v>
      </c>
      <c r="F42" s="59" t="s">
        <v>100</v>
      </c>
      <c r="G42" s="60">
        <v>45768.0</v>
      </c>
      <c r="H42" s="58">
        <v>1.0</v>
      </c>
      <c r="I42" s="58" t="s">
        <v>230</v>
      </c>
      <c r="J42" s="61">
        <v>4.60776230825E11</v>
      </c>
      <c r="K42" s="62" t="s">
        <v>231</v>
      </c>
      <c r="L42" s="62">
        <v>2038710.0</v>
      </c>
      <c r="M42" s="63"/>
      <c r="N42" s="63"/>
      <c r="O42" s="62" t="s">
        <v>232</v>
      </c>
      <c r="P42" s="63"/>
      <c r="Q42" s="63"/>
      <c r="R42" s="62" t="s">
        <v>233</v>
      </c>
      <c r="S42" s="62">
        <v>17066.0</v>
      </c>
      <c r="T42" s="58" t="s">
        <v>105</v>
      </c>
      <c r="U42" s="59">
        <v>116.58</v>
      </c>
      <c r="V42" s="59">
        <v>102.28</v>
      </c>
      <c r="W42" s="58">
        <v>7.7</v>
      </c>
      <c r="X42" s="58">
        <v>7.0</v>
      </c>
      <c r="Y42" s="58">
        <v>109.98</v>
      </c>
      <c r="Z42" s="59">
        <v>0.0</v>
      </c>
      <c r="AA42" s="58">
        <v>0.0</v>
      </c>
      <c r="AB42" s="58">
        <v>0.0</v>
      </c>
      <c r="AC42" s="58">
        <v>0.0</v>
      </c>
      <c r="AD42" s="58">
        <v>0.0</v>
      </c>
      <c r="AE42" s="58">
        <v>0.0</v>
      </c>
      <c r="AF42" s="58">
        <v>0.0</v>
      </c>
      <c r="AG42" s="58">
        <v>0.0</v>
      </c>
      <c r="AH42" s="58">
        <v>0.0</v>
      </c>
      <c r="AI42" s="58">
        <v>0.0</v>
      </c>
      <c r="AJ42" s="58">
        <v>0.0</v>
      </c>
      <c r="AK42" s="58">
        <v>0.0</v>
      </c>
      <c r="AL42" s="58">
        <v>0.0</v>
      </c>
      <c r="AM42" s="58">
        <v>0.0</v>
      </c>
      <c r="AN42" s="58">
        <v>0.0</v>
      </c>
      <c r="AO42" s="58">
        <v>6.6</v>
      </c>
      <c r="AP42" s="58">
        <v>0.0</v>
      </c>
      <c r="AQ42" s="58">
        <v>0.0</v>
      </c>
      <c r="AR42" s="58">
        <v>0.0</v>
      </c>
      <c r="AS42" s="58">
        <v>0.0</v>
      </c>
      <c r="AT42" s="58">
        <v>0.0</v>
      </c>
      <c r="AU42" s="58">
        <v>0.0</v>
      </c>
      <c r="AV42" s="58">
        <v>0.0</v>
      </c>
      <c r="AW42" s="58">
        <v>0.0</v>
      </c>
      <c r="AX42" s="58">
        <v>0.0</v>
      </c>
      <c r="AY42" s="58">
        <v>0.0</v>
      </c>
      <c r="AZ42" s="58">
        <v>0.0</v>
      </c>
      <c r="BA42" s="58">
        <v>0.0</v>
      </c>
      <c r="BB42" s="58">
        <v>6.6</v>
      </c>
      <c r="BC42" s="58" t="s">
        <v>106</v>
      </c>
      <c r="BG42" s="58">
        <v>-11.0</v>
      </c>
      <c r="BH42" s="58" t="s">
        <v>107</v>
      </c>
      <c r="BI42" s="58" t="s">
        <v>108</v>
      </c>
      <c r="BJ42" s="58" t="s">
        <v>109</v>
      </c>
      <c r="BK42" s="58" t="s">
        <v>229</v>
      </c>
      <c r="BN42" s="58" t="s">
        <v>111</v>
      </c>
      <c r="BO42" s="58" t="s">
        <v>112</v>
      </c>
      <c r="BP42" s="58" t="s">
        <v>113</v>
      </c>
      <c r="BQ42" s="58" t="s">
        <v>114</v>
      </c>
      <c r="BR42" s="58">
        <v>3.3</v>
      </c>
      <c r="BW42" s="64" t="str">
        <f>if(OR(F42="SALE",F42="REFUNDED"),IFERROR(Vlookup(I42,'Listing SKU - Fill SKU Mapping'!A:C,3,false),"Map"),"")</f>
        <v>Keystone</v>
      </c>
      <c r="BX42" s="65" t="str">
        <f>IF(OR(F42="SALE",F42="REFUNDED")=TRUE,iferror(Vlookup(I42,'Listing SKU - Fill SKU Mapping'!A:B,2,false),"Map"),"")</f>
        <v>IMP390BLKN</v>
      </c>
      <c r="BY42" s="64">
        <f>IF(OR(F42="SALE",F42="REFUNDED")=TRUE,iferror(Vlookup(I42,'Listing SKU - Fill SKU Mapping'!A:D,4,false),"Map"),"")</f>
        <v>54.05</v>
      </c>
      <c r="BZ42" s="66">
        <f t="shared" si="1"/>
        <v>11.5</v>
      </c>
      <c r="CA42" s="66">
        <f t="shared" si="2"/>
        <v>65.55</v>
      </c>
      <c r="CB42" s="66">
        <f t="shared" si="3"/>
        <v>36.73</v>
      </c>
      <c r="CC42" s="65" t="str">
        <f>if(F42="REFUNDED",iferror(Vlookup(I42,'Listing SKU - Fill SKU Mapping'!A:B,2,false),"Map"),"")</f>
        <v/>
      </c>
      <c r="CD42" s="65" t="str">
        <f>if(F42="REFUNDED",iferror(Vlookup(I42,'Listing SKU - Fill SKU Mapping'!A:C,3,false),"Map"),"")</f>
        <v/>
      </c>
      <c r="CE42" s="64" t="str">
        <f t="shared" si="4"/>
        <v>2025</v>
      </c>
      <c r="CF42" s="64" t="str">
        <f t="shared" si="5"/>
        <v>April</v>
      </c>
      <c r="CG42" s="64" t="str">
        <f t="shared" si="6"/>
        <v/>
      </c>
    </row>
    <row r="43">
      <c r="A43" s="55">
        <v>2.00013001971046E14</v>
      </c>
      <c r="B43" s="56">
        <v>1.0</v>
      </c>
      <c r="C43" s="57">
        <v>1.09010999475878E14</v>
      </c>
      <c r="D43" s="58">
        <v>1.0</v>
      </c>
      <c r="F43" s="59" t="s">
        <v>128</v>
      </c>
      <c r="G43" s="60">
        <v>45779.0</v>
      </c>
      <c r="H43" s="58">
        <v>1.0</v>
      </c>
      <c r="I43" s="58" t="s">
        <v>230</v>
      </c>
      <c r="J43" s="61">
        <v>4.60776230825E11</v>
      </c>
      <c r="K43" s="62" t="s">
        <v>231</v>
      </c>
      <c r="L43" s="62">
        <v>2038710.0</v>
      </c>
      <c r="M43" s="63"/>
      <c r="N43" s="63"/>
      <c r="O43" s="63"/>
      <c r="P43" s="63"/>
      <c r="Q43" s="63"/>
      <c r="R43" s="62" t="s">
        <v>233</v>
      </c>
      <c r="S43" s="62">
        <v>17066.0</v>
      </c>
      <c r="U43" s="59">
        <v>-116.58</v>
      </c>
      <c r="V43" s="59">
        <v>-102.28</v>
      </c>
      <c r="W43" s="58">
        <v>-7.7</v>
      </c>
      <c r="X43" s="58">
        <v>0.0</v>
      </c>
      <c r="Y43" s="58">
        <v>0.0</v>
      </c>
      <c r="Z43" s="59">
        <v>-109.98</v>
      </c>
      <c r="AA43" s="58">
        <v>0.0</v>
      </c>
      <c r="AB43" s="58">
        <v>0.0</v>
      </c>
      <c r="AC43" s="58">
        <v>0.0</v>
      </c>
      <c r="AD43" s="58">
        <v>0.0</v>
      </c>
      <c r="AE43" s="58">
        <v>0.0</v>
      </c>
      <c r="AF43" s="58">
        <v>0.0</v>
      </c>
      <c r="AG43" s="58">
        <v>0.0</v>
      </c>
      <c r="AH43" s="58">
        <v>0.0</v>
      </c>
      <c r="AI43" s="58">
        <v>0.0</v>
      </c>
      <c r="AJ43" s="58">
        <v>0.0</v>
      </c>
      <c r="AK43" s="58">
        <v>0.0</v>
      </c>
      <c r="AL43" s="58">
        <v>0.0</v>
      </c>
      <c r="AM43" s="58">
        <v>0.0</v>
      </c>
      <c r="AN43" s="58">
        <v>0.0</v>
      </c>
      <c r="AO43" s="58">
        <v>0.0</v>
      </c>
      <c r="AP43" s="58">
        <v>0.0</v>
      </c>
      <c r="AQ43" s="58">
        <v>0.0</v>
      </c>
      <c r="AR43" s="58">
        <v>0.0</v>
      </c>
      <c r="AS43" s="58">
        <v>0.0</v>
      </c>
      <c r="AT43" s="58">
        <v>-6.6</v>
      </c>
      <c r="AU43" s="58">
        <v>0.0</v>
      </c>
      <c r="AV43" s="58">
        <v>0.0</v>
      </c>
      <c r="AW43" s="58">
        <v>0.0</v>
      </c>
      <c r="AX43" s="58">
        <v>0.0</v>
      </c>
      <c r="AY43" s="58">
        <v>0.0</v>
      </c>
      <c r="AZ43" s="58">
        <v>0.0</v>
      </c>
      <c r="BA43" s="58">
        <v>0.0</v>
      </c>
      <c r="BB43" s="58">
        <v>-6.6</v>
      </c>
      <c r="BC43" s="58" t="s">
        <v>106</v>
      </c>
      <c r="BD43" s="58" t="s">
        <v>156</v>
      </c>
      <c r="BE43" s="58">
        <v>5010.0</v>
      </c>
      <c r="BH43" s="58" t="s">
        <v>107</v>
      </c>
      <c r="BI43" s="58" t="s">
        <v>108</v>
      </c>
      <c r="BL43" s="58">
        <v>1018.0</v>
      </c>
      <c r="BM43" s="58" t="s">
        <v>157</v>
      </c>
      <c r="BN43" s="58" t="s">
        <v>111</v>
      </c>
      <c r="BO43" s="58" t="s">
        <v>112</v>
      </c>
      <c r="BW43" s="64" t="str">
        <f>if(OR(F43="SALE",F43="REFUNDED"),IFERROR(Vlookup(I43,'Listing SKU - Fill SKU Mapping'!A:C,3,false),"Map"),"")</f>
        <v>Keystone</v>
      </c>
      <c r="BX43" s="65" t="str">
        <f>IF(OR(F43="SALE",F43="REFUNDED")=TRUE,iferror(Vlookup(I43,'Listing SKU - Fill SKU Mapping'!A:B,2,false),"Map"),"")</f>
        <v>IMP390BLKN</v>
      </c>
      <c r="BY43" s="64">
        <f>IF(OR(F43="SALE",F43="REFUNDED")=TRUE,iferror(Vlookup(I43,'Listing SKU - Fill SKU Mapping'!A:D,4,false),"Map"),"")</f>
        <v>54.05</v>
      </c>
      <c r="BZ43" s="66">
        <f t="shared" si="1"/>
        <v>11.5</v>
      </c>
      <c r="CA43" s="66">
        <f t="shared" si="2"/>
        <v>65.55</v>
      </c>
      <c r="CB43" s="64" t="str">
        <f t="shared" si="3"/>
        <v/>
      </c>
      <c r="CC43" s="65" t="str">
        <f>if(F43="REFUNDED",iferror(Vlookup(I43,'Listing SKU - Fill SKU Mapping'!A:B,2,false),"Map"),"")</f>
        <v>IMP390BLKN</v>
      </c>
      <c r="CD43" s="65" t="str">
        <f>if(F43="REFUNDED",iferror(Vlookup(I43,'Listing SKU - Fill SKU Mapping'!A:C,3,false),"Map"),"")</f>
        <v>Keystone</v>
      </c>
      <c r="CE43" s="64" t="str">
        <f t="shared" si="4"/>
        <v>2025</v>
      </c>
      <c r="CF43" s="64" t="str">
        <f t="shared" si="5"/>
        <v>May</v>
      </c>
      <c r="CG43" s="64" t="str">
        <f t="shared" si="6"/>
        <v/>
      </c>
    </row>
    <row r="44">
      <c r="A44" s="55">
        <v>2.00012993559082E14</v>
      </c>
      <c r="B44" s="56">
        <v>1.0</v>
      </c>
      <c r="C44" s="57">
        <v>1.09011114761058E14</v>
      </c>
      <c r="D44" s="58">
        <v>1.0</v>
      </c>
      <c r="F44" s="59" t="s">
        <v>100</v>
      </c>
      <c r="G44" s="60">
        <v>45768.0</v>
      </c>
      <c r="H44" s="58">
        <v>1.0</v>
      </c>
      <c r="I44" s="58" t="s">
        <v>172</v>
      </c>
      <c r="J44" s="61">
        <v>4.6456713107E11</v>
      </c>
      <c r="K44" s="62" t="s">
        <v>173</v>
      </c>
      <c r="L44" s="62">
        <v>2038710.0</v>
      </c>
      <c r="M44" s="63"/>
      <c r="N44" s="63"/>
      <c r="O44" s="62" t="s">
        <v>174</v>
      </c>
      <c r="P44" s="63"/>
      <c r="Q44" s="63"/>
      <c r="R44" s="62" t="s">
        <v>175</v>
      </c>
      <c r="S44" s="62">
        <v>77040.0</v>
      </c>
      <c r="T44" s="58" t="s">
        <v>105</v>
      </c>
      <c r="U44" s="59">
        <v>108.23</v>
      </c>
      <c r="V44" s="59">
        <v>92.98</v>
      </c>
      <c r="W44" s="58">
        <v>7.0</v>
      </c>
      <c r="X44" s="58">
        <v>7.0</v>
      </c>
      <c r="Y44" s="58">
        <v>99.98</v>
      </c>
      <c r="Z44" s="59">
        <v>0.0</v>
      </c>
      <c r="AA44" s="58">
        <v>0.0</v>
      </c>
      <c r="AB44" s="58">
        <v>0.0</v>
      </c>
      <c r="AC44" s="58">
        <v>0.0</v>
      </c>
      <c r="AD44" s="58">
        <v>0.0</v>
      </c>
      <c r="AE44" s="58">
        <v>0.0</v>
      </c>
      <c r="AF44" s="58">
        <v>0.0</v>
      </c>
      <c r="AG44" s="58">
        <v>0.0</v>
      </c>
      <c r="AH44" s="58">
        <v>0.0</v>
      </c>
      <c r="AI44" s="58">
        <v>0.0</v>
      </c>
      <c r="AJ44" s="58">
        <v>0.0</v>
      </c>
      <c r="AK44" s="58">
        <v>0.0</v>
      </c>
      <c r="AL44" s="58">
        <v>0.0</v>
      </c>
      <c r="AM44" s="58">
        <v>0.0</v>
      </c>
      <c r="AN44" s="58">
        <v>0.0</v>
      </c>
      <c r="AO44" s="58">
        <v>8.25</v>
      </c>
      <c r="AP44" s="58">
        <v>0.0</v>
      </c>
      <c r="AQ44" s="58">
        <v>0.0</v>
      </c>
      <c r="AR44" s="58">
        <v>0.0</v>
      </c>
      <c r="AS44" s="58">
        <v>0.0</v>
      </c>
      <c r="AT44" s="58">
        <v>0.0</v>
      </c>
      <c r="AU44" s="58">
        <v>0.0</v>
      </c>
      <c r="AV44" s="58">
        <v>0.0</v>
      </c>
      <c r="AW44" s="58">
        <v>0.0</v>
      </c>
      <c r="AX44" s="58">
        <v>0.0</v>
      </c>
      <c r="AY44" s="58">
        <v>0.0</v>
      </c>
      <c r="AZ44" s="58">
        <v>0.0</v>
      </c>
      <c r="BA44" s="58">
        <v>0.0</v>
      </c>
      <c r="BB44" s="58">
        <v>8.25</v>
      </c>
      <c r="BC44" s="58" t="s">
        <v>106</v>
      </c>
      <c r="BG44" s="58">
        <v>-10.0</v>
      </c>
      <c r="BH44" s="58" t="s">
        <v>107</v>
      </c>
      <c r="BI44" s="58" t="s">
        <v>108</v>
      </c>
      <c r="BJ44" s="58" t="s">
        <v>109</v>
      </c>
      <c r="BK44" s="58" t="s">
        <v>229</v>
      </c>
      <c r="BN44" s="58" t="s">
        <v>111</v>
      </c>
      <c r="BO44" s="58" t="s">
        <v>112</v>
      </c>
      <c r="BP44" s="58" t="s">
        <v>113</v>
      </c>
      <c r="BQ44" s="58" t="s">
        <v>114</v>
      </c>
      <c r="BR44" s="58">
        <v>3.0</v>
      </c>
      <c r="BW44" s="64" t="str">
        <f>if(OR(F44="SALE",F44="REFUNDED"),IFERROR(Vlookup(I44,'Listing SKU - Fill SKU Mapping'!A:C,3,false),"Map"),"")</f>
        <v>Keystone</v>
      </c>
      <c r="BX44" s="65" t="str">
        <f>IF(OR(F44="SALE",F44="REFUNDED")=TRUE,iferror(Vlookup(I44,'Listing SKU - Fill SKU Mapping'!A:B,2,false),"Map"),"")</f>
        <v>IMP385X</v>
      </c>
      <c r="BY44" s="64">
        <f>IF(OR(F44="SALE",F44="REFUNDED")=TRUE,iferror(Vlookup(I44,'Listing SKU - Fill SKU Mapping'!A:D,4,false),"Map"),"")</f>
        <v>51.68</v>
      </c>
      <c r="BZ44" s="66">
        <f t="shared" si="1"/>
        <v>11.5</v>
      </c>
      <c r="CA44" s="66">
        <f t="shared" si="2"/>
        <v>63.18</v>
      </c>
      <c r="CB44" s="66">
        <f t="shared" si="3"/>
        <v>29.8</v>
      </c>
      <c r="CC44" s="65" t="str">
        <f>if(F44="REFUNDED",iferror(Vlookup(I44,'Listing SKU - Fill SKU Mapping'!A:B,2,false),"Map"),"")</f>
        <v/>
      </c>
      <c r="CD44" s="65" t="str">
        <f>if(F44="REFUNDED",iferror(Vlookup(I44,'Listing SKU - Fill SKU Mapping'!A:C,3,false),"Map"),"")</f>
        <v/>
      </c>
      <c r="CE44" s="64" t="str">
        <f t="shared" si="4"/>
        <v>2025</v>
      </c>
      <c r="CF44" s="64" t="str">
        <f t="shared" si="5"/>
        <v>April</v>
      </c>
      <c r="CG44" s="64" t="str">
        <f t="shared" si="6"/>
        <v/>
      </c>
    </row>
    <row r="45">
      <c r="A45" s="55">
        <v>2.00012993559082E14</v>
      </c>
      <c r="B45" s="56">
        <v>1.0</v>
      </c>
      <c r="C45" s="57">
        <v>1.09011114761058E14</v>
      </c>
      <c r="D45" s="58">
        <v>1.0</v>
      </c>
      <c r="F45" s="59" t="s">
        <v>128</v>
      </c>
      <c r="G45" s="60">
        <v>45775.0</v>
      </c>
      <c r="H45" s="58">
        <v>1.0</v>
      </c>
      <c r="I45" s="58" t="s">
        <v>172</v>
      </c>
      <c r="J45" s="61">
        <v>4.6456713107E11</v>
      </c>
      <c r="K45" s="62" t="s">
        <v>173</v>
      </c>
      <c r="L45" s="62">
        <v>2038710.0</v>
      </c>
      <c r="M45" s="63"/>
      <c r="N45" s="63"/>
      <c r="O45" s="63"/>
      <c r="P45" s="63"/>
      <c r="Q45" s="63"/>
      <c r="R45" s="62" t="s">
        <v>175</v>
      </c>
      <c r="S45" s="62">
        <v>77040.0</v>
      </c>
      <c r="U45" s="59">
        <v>-108.23</v>
      </c>
      <c r="V45" s="59">
        <v>-92.98</v>
      </c>
      <c r="W45" s="58">
        <v>-7.0</v>
      </c>
      <c r="X45" s="58">
        <v>0.0</v>
      </c>
      <c r="Y45" s="58">
        <v>0.0</v>
      </c>
      <c r="Z45" s="59">
        <v>-99.98</v>
      </c>
      <c r="AA45" s="58">
        <v>0.0</v>
      </c>
      <c r="AB45" s="58">
        <v>0.0</v>
      </c>
      <c r="AC45" s="58">
        <v>0.0</v>
      </c>
      <c r="AD45" s="58">
        <v>0.0</v>
      </c>
      <c r="AE45" s="58">
        <v>0.0</v>
      </c>
      <c r="AF45" s="58">
        <v>0.0</v>
      </c>
      <c r="AG45" s="58">
        <v>0.0</v>
      </c>
      <c r="AH45" s="58">
        <v>0.0</v>
      </c>
      <c r="AI45" s="58">
        <v>0.0</v>
      </c>
      <c r="AJ45" s="58">
        <v>0.0</v>
      </c>
      <c r="AK45" s="58">
        <v>0.0</v>
      </c>
      <c r="AL45" s="58">
        <v>0.0</v>
      </c>
      <c r="AM45" s="58">
        <v>0.0</v>
      </c>
      <c r="AN45" s="58">
        <v>0.0</v>
      </c>
      <c r="AO45" s="58">
        <v>0.0</v>
      </c>
      <c r="AP45" s="58">
        <v>0.0</v>
      </c>
      <c r="AQ45" s="58">
        <v>0.0</v>
      </c>
      <c r="AR45" s="58">
        <v>0.0</v>
      </c>
      <c r="AS45" s="58">
        <v>0.0</v>
      </c>
      <c r="AT45" s="58">
        <v>-8.25</v>
      </c>
      <c r="AU45" s="58">
        <v>0.0</v>
      </c>
      <c r="AV45" s="58">
        <v>0.0</v>
      </c>
      <c r="AW45" s="58">
        <v>0.0</v>
      </c>
      <c r="AX45" s="58">
        <v>0.0</v>
      </c>
      <c r="AY45" s="58">
        <v>0.0</v>
      </c>
      <c r="AZ45" s="58">
        <v>0.0</v>
      </c>
      <c r="BA45" s="58">
        <v>0.0</v>
      </c>
      <c r="BB45" s="58">
        <v>-8.25</v>
      </c>
      <c r="BC45" s="58" t="s">
        <v>106</v>
      </c>
      <c r="BD45" s="58" t="s">
        <v>156</v>
      </c>
      <c r="BE45" s="58">
        <v>5010.0</v>
      </c>
      <c r="BH45" s="58" t="s">
        <v>107</v>
      </c>
      <c r="BI45" s="58" t="s">
        <v>108</v>
      </c>
      <c r="BL45" s="58">
        <v>1000.0</v>
      </c>
      <c r="BM45" s="58" t="s">
        <v>130</v>
      </c>
      <c r="BN45" s="58" t="s">
        <v>111</v>
      </c>
      <c r="BO45" s="58" t="s">
        <v>112</v>
      </c>
      <c r="BW45" s="64" t="str">
        <f>if(OR(F45="SALE",F45="REFUNDED"),IFERROR(Vlookup(I45,'Listing SKU - Fill SKU Mapping'!A:C,3,false),"Map"),"")</f>
        <v>Keystone</v>
      </c>
      <c r="BX45" s="65" t="str">
        <f>IF(OR(F45="SALE",F45="REFUNDED")=TRUE,iferror(Vlookup(I45,'Listing SKU - Fill SKU Mapping'!A:B,2,false),"Map"),"")</f>
        <v>IMP385X</v>
      </c>
      <c r="BY45" s="64">
        <f>IF(OR(F45="SALE",F45="REFUNDED")=TRUE,iferror(Vlookup(I45,'Listing SKU - Fill SKU Mapping'!A:D,4,false),"Map"),"")</f>
        <v>51.68</v>
      </c>
      <c r="BZ45" s="66">
        <f t="shared" si="1"/>
        <v>11.5</v>
      </c>
      <c r="CA45" s="66">
        <f t="shared" si="2"/>
        <v>63.18</v>
      </c>
      <c r="CB45" s="64" t="str">
        <f t="shared" si="3"/>
        <v/>
      </c>
      <c r="CC45" s="65" t="str">
        <f>if(F45="REFUNDED",iferror(Vlookup(I45,'Listing SKU - Fill SKU Mapping'!A:B,2,false),"Map"),"")</f>
        <v>IMP385X</v>
      </c>
      <c r="CD45" s="65" t="str">
        <f>if(F45="REFUNDED",iferror(Vlookup(I45,'Listing SKU - Fill SKU Mapping'!A:C,3,false),"Map"),"")</f>
        <v>Keystone</v>
      </c>
      <c r="CE45" s="64" t="str">
        <f t="shared" si="4"/>
        <v>2025</v>
      </c>
      <c r="CF45" s="64" t="str">
        <f t="shared" si="5"/>
        <v>April</v>
      </c>
      <c r="CG45" s="64" t="str">
        <f t="shared" si="6"/>
        <v/>
      </c>
    </row>
    <row r="46">
      <c r="A46" s="55">
        <v>2.00012986276514E14</v>
      </c>
      <c r="B46" s="56">
        <v>1.0</v>
      </c>
      <c r="C46" s="57">
        <v>1.09011841148324E14</v>
      </c>
      <c r="D46" s="58">
        <v>1.0</v>
      </c>
      <c r="F46" s="59" t="s">
        <v>100</v>
      </c>
      <c r="G46" s="60">
        <v>45775.0</v>
      </c>
      <c r="H46" s="58">
        <v>1.0</v>
      </c>
      <c r="I46" s="58" t="s">
        <v>234</v>
      </c>
      <c r="J46" s="61">
        <v>4.60776240275E11</v>
      </c>
      <c r="K46" s="62" t="s">
        <v>235</v>
      </c>
      <c r="L46" s="62">
        <v>2038710.0</v>
      </c>
      <c r="M46" s="63"/>
      <c r="N46" s="63"/>
      <c r="O46" s="62" t="s">
        <v>137</v>
      </c>
      <c r="P46" s="63"/>
      <c r="Q46" s="63"/>
      <c r="R46" s="62" t="s">
        <v>236</v>
      </c>
      <c r="S46" s="62">
        <v>44706.0</v>
      </c>
      <c r="T46" s="58" t="s">
        <v>105</v>
      </c>
      <c r="U46" s="59">
        <v>128.84</v>
      </c>
      <c r="V46" s="59">
        <v>112.51</v>
      </c>
      <c r="W46" s="58">
        <v>8.47</v>
      </c>
      <c r="X46" s="58">
        <v>7.0</v>
      </c>
      <c r="Y46" s="58">
        <v>120.98</v>
      </c>
      <c r="Z46" s="59">
        <v>0.0</v>
      </c>
      <c r="AA46" s="58">
        <v>0.0</v>
      </c>
      <c r="AB46" s="58">
        <v>0.0</v>
      </c>
      <c r="AC46" s="58">
        <v>0.0</v>
      </c>
      <c r="AD46" s="58">
        <v>0.0</v>
      </c>
      <c r="AE46" s="58">
        <v>0.0</v>
      </c>
      <c r="AF46" s="58">
        <v>0.0</v>
      </c>
      <c r="AG46" s="58">
        <v>0.0</v>
      </c>
      <c r="AH46" s="58">
        <v>0.0</v>
      </c>
      <c r="AI46" s="58">
        <v>0.0</v>
      </c>
      <c r="AJ46" s="58">
        <v>0.0</v>
      </c>
      <c r="AK46" s="58">
        <v>0.0</v>
      </c>
      <c r="AL46" s="58">
        <v>0.0</v>
      </c>
      <c r="AM46" s="58">
        <v>0.0</v>
      </c>
      <c r="AN46" s="58">
        <v>0.0</v>
      </c>
      <c r="AO46" s="58">
        <v>7.86</v>
      </c>
      <c r="AP46" s="58">
        <v>0.0</v>
      </c>
      <c r="AQ46" s="58">
        <v>0.0</v>
      </c>
      <c r="AR46" s="58">
        <v>0.0</v>
      </c>
      <c r="AS46" s="58">
        <v>0.0</v>
      </c>
      <c r="AT46" s="58">
        <v>0.0</v>
      </c>
      <c r="AU46" s="58">
        <v>0.0</v>
      </c>
      <c r="AV46" s="58">
        <v>0.0</v>
      </c>
      <c r="AW46" s="58">
        <v>0.0</v>
      </c>
      <c r="AX46" s="58">
        <v>0.0</v>
      </c>
      <c r="AY46" s="58">
        <v>0.0</v>
      </c>
      <c r="AZ46" s="58">
        <v>0.0</v>
      </c>
      <c r="BA46" s="58">
        <v>0.0</v>
      </c>
      <c r="BB46" s="58">
        <v>7.86</v>
      </c>
      <c r="BC46" s="58" t="s">
        <v>106</v>
      </c>
      <c r="BG46" s="58">
        <v>-12.1</v>
      </c>
      <c r="BH46" s="58" t="s">
        <v>107</v>
      </c>
      <c r="BI46" s="58" t="s">
        <v>108</v>
      </c>
      <c r="BJ46" s="58" t="s">
        <v>109</v>
      </c>
      <c r="BK46" s="58" t="s">
        <v>219</v>
      </c>
      <c r="BN46" s="58" t="s">
        <v>111</v>
      </c>
      <c r="BO46" s="58" t="s">
        <v>112</v>
      </c>
      <c r="BP46" s="58" t="s">
        <v>113</v>
      </c>
      <c r="BQ46" s="58" t="s">
        <v>114</v>
      </c>
      <c r="BR46" s="58">
        <v>3.63</v>
      </c>
      <c r="BW46" s="64" t="str">
        <f>if(OR(F46="SALE",F46="REFUNDED"),IFERROR(Vlookup(I46,'Listing SKU - Fill SKU Mapping'!A:C,3,false),"Map"),"")</f>
        <v>Keystone</v>
      </c>
      <c r="BX46" s="65" t="str">
        <f>IF(OR(F46="SALE",F46="REFUNDED")=TRUE,iferror(Vlookup(I46,'Listing SKU - Fill SKU Mapping'!A:B,2,false),"Map"),"")</f>
        <v>IMP436BLK</v>
      </c>
      <c r="BY46" s="64">
        <f>IF(OR(F46="SALE",F46="REFUNDED")=TRUE,iferror(Vlookup(I46,'Listing SKU - Fill SKU Mapping'!A:D,4,false),"Map"),"")</f>
        <v>61.14</v>
      </c>
      <c r="BZ46" s="66">
        <f t="shared" si="1"/>
        <v>11.5</v>
      </c>
      <c r="CA46" s="66">
        <f t="shared" si="2"/>
        <v>72.64</v>
      </c>
      <c r="CB46" s="66">
        <f t="shared" si="3"/>
        <v>39.87</v>
      </c>
      <c r="CC46" s="65" t="str">
        <f>if(F46="REFUNDED",iferror(Vlookup(I46,'Listing SKU - Fill SKU Mapping'!A:B,2,false),"Map"),"")</f>
        <v/>
      </c>
      <c r="CD46" s="65" t="str">
        <f>if(F46="REFUNDED",iferror(Vlookup(I46,'Listing SKU - Fill SKU Mapping'!A:C,3,false),"Map"),"")</f>
        <v/>
      </c>
      <c r="CE46" s="64" t="str">
        <f t="shared" si="4"/>
        <v>2025</v>
      </c>
      <c r="CF46" s="64" t="str">
        <f t="shared" si="5"/>
        <v>April</v>
      </c>
      <c r="CG46" s="64" t="str">
        <f t="shared" si="6"/>
        <v/>
      </c>
    </row>
    <row r="47">
      <c r="A47" s="55">
        <v>2.00012934607014E14</v>
      </c>
      <c r="B47" s="56">
        <v>1.0</v>
      </c>
      <c r="C47" s="57">
        <v>1.09010168324919E14</v>
      </c>
      <c r="D47" s="58">
        <v>1.0</v>
      </c>
      <c r="F47" s="59" t="s">
        <v>128</v>
      </c>
      <c r="G47" s="60">
        <v>45770.0</v>
      </c>
      <c r="H47" s="58">
        <v>1.0</v>
      </c>
      <c r="I47" s="58" t="s">
        <v>176</v>
      </c>
      <c r="J47" s="61">
        <v>4.60776230283E11</v>
      </c>
      <c r="K47" s="62" t="s">
        <v>177</v>
      </c>
      <c r="L47" s="62">
        <v>2038710.0</v>
      </c>
      <c r="M47" s="63"/>
      <c r="N47" s="63"/>
      <c r="O47" s="63"/>
      <c r="P47" s="63"/>
      <c r="Q47" s="63"/>
      <c r="R47" s="62" t="s">
        <v>178</v>
      </c>
      <c r="S47" s="62">
        <v>24013.0</v>
      </c>
      <c r="U47" s="59">
        <v>-91.59</v>
      </c>
      <c r="V47" s="59">
        <v>-80.89</v>
      </c>
      <c r="W47" s="58">
        <v>-6.09</v>
      </c>
      <c r="X47" s="58">
        <v>0.0</v>
      </c>
      <c r="Y47" s="58">
        <v>0.0</v>
      </c>
      <c r="Z47" s="59">
        <v>-86.98</v>
      </c>
      <c r="AA47" s="58">
        <v>0.0</v>
      </c>
      <c r="AB47" s="58">
        <v>0.0</v>
      </c>
      <c r="AC47" s="58">
        <v>0.0</v>
      </c>
      <c r="AD47" s="58">
        <v>0.0</v>
      </c>
      <c r="AE47" s="58">
        <v>0.0</v>
      </c>
      <c r="AF47" s="58">
        <v>0.0</v>
      </c>
      <c r="AG47" s="58">
        <v>0.0</v>
      </c>
      <c r="AH47" s="58">
        <v>0.0</v>
      </c>
      <c r="AI47" s="58">
        <v>0.0</v>
      </c>
      <c r="AJ47" s="58">
        <v>0.0</v>
      </c>
      <c r="AK47" s="58">
        <v>0.0</v>
      </c>
      <c r="AL47" s="58">
        <v>0.0</v>
      </c>
      <c r="AM47" s="58">
        <v>0.0</v>
      </c>
      <c r="AN47" s="58">
        <v>0.0</v>
      </c>
      <c r="AO47" s="58">
        <v>0.0</v>
      </c>
      <c r="AP47" s="58">
        <v>0.0</v>
      </c>
      <c r="AQ47" s="58">
        <v>0.0</v>
      </c>
      <c r="AR47" s="58">
        <v>0.0</v>
      </c>
      <c r="AS47" s="58">
        <v>0.0</v>
      </c>
      <c r="AT47" s="58">
        <v>-4.61</v>
      </c>
      <c r="AU47" s="58">
        <v>0.0</v>
      </c>
      <c r="AV47" s="58">
        <v>0.0</v>
      </c>
      <c r="AW47" s="58">
        <v>0.0</v>
      </c>
      <c r="AX47" s="58">
        <v>0.0</v>
      </c>
      <c r="AY47" s="58">
        <v>0.0</v>
      </c>
      <c r="AZ47" s="58">
        <v>0.0</v>
      </c>
      <c r="BA47" s="58">
        <v>0.0</v>
      </c>
      <c r="BB47" s="58">
        <v>-4.61</v>
      </c>
      <c r="BC47" s="58" t="s">
        <v>106</v>
      </c>
      <c r="BD47" s="58" t="s">
        <v>156</v>
      </c>
      <c r="BE47" s="58">
        <v>5010.0</v>
      </c>
      <c r="BH47" s="58" t="s">
        <v>107</v>
      </c>
      <c r="BI47" s="58" t="s">
        <v>108</v>
      </c>
      <c r="BL47" s="58">
        <v>1000.0</v>
      </c>
      <c r="BM47" s="58" t="s">
        <v>130</v>
      </c>
      <c r="BN47" s="58" t="s">
        <v>111</v>
      </c>
      <c r="BO47" s="58" t="s">
        <v>112</v>
      </c>
      <c r="BW47" s="64" t="str">
        <f>if(OR(F47="SALE",F47="REFUNDED"),IFERROR(Vlookup(I47,'Listing SKU - Fill SKU Mapping'!A:C,3,false),"Map"),"")</f>
        <v>Keystone</v>
      </c>
      <c r="BX47" s="65" t="str">
        <f>IF(OR(F47="SALE",F47="REFUNDED")=TRUE,iferror(Vlookup(I47,'Listing SKU - Fill SKU Mapping'!A:B,2,false),"Map"),"")</f>
        <v>IMP447CC</v>
      </c>
      <c r="BY47" s="64">
        <f>IF(OR(F47="SALE",F47="REFUNDED")=TRUE,iferror(Vlookup(I47,'Listing SKU - Fill SKU Mapping'!A:D,4,false),"Map"),"")</f>
        <v>67.46</v>
      </c>
      <c r="BZ47" s="66">
        <f t="shared" si="1"/>
        <v>11.5</v>
      </c>
      <c r="CA47" s="66">
        <f t="shared" si="2"/>
        <v>78.96</v>
      </c>
      <c r="CB47" s="64" t="str">
        <f t="shared" si="3"/>
        <v/>
      </c>
      <c r="CC47" s="65" t="str">
        <f>if(F47="REFUNDED",iferror(Vlookup(I47,'Listing SKU - Fill SKU Mapping'!A:B,2,false),"Map"),"")</f>
        <v>IMP447CC</v>
      </c>
      <c r="CD47" s="65" t="str">
        <f>if(F47="REFUNDED",iferror(Vlookup(I47,'Listing SKU - Fill SKU Mapping'!A:C,3,false),"Map"),"")</f>
        <v>Keystone</v>
      </c>
      <c r="CE47" s="64" t="str">
        <f t="shared" si="4"/>
        <v>2025</v>
      </c>
      <c r="CF47" s="64" t="str">
        <f t="shared" si="5"/>
        <v>April</v>
      </c>
      <c r="CG47" s="64" t="str">
        <f t="shared" si="6"/>
        <v/>
      </c>
    </row>
    <row r="48">
      <c r="A48" s="55">
        <v>2.00012893572614E14</v>
      </c>
      <c r="B48" s="56">
        <v>1.0</v>
      </c>
      <c r="C48" s="57">
        <v>1.09008493702855E14</v>
      </c>
      <c r="D48" s="58">
        <v>1.0</v>
      </c>
      <c r="F48" s="59" t="s">
        <v>158</v>
      </c>
      <c r="G48" s="60">
        <v>45767.0</v>
      </c>
      <c r="H48" s="58">
        <v>1.0</v>
      </c>
      <c r="I48" s="58" t="s">
        <v>213</v>
      </c>
      <c r="J48" s="61">
        <v>4.60776230832E11</v>
      </c>
      <c r="K48" s="62" t="s">
        <v>214</v>
      </c>
      <c r="L48" s="62">
        <v>2038710.0</v>
      </c>
      <c r="M48" s="63"/>
      <c r="N48" s="63"/>
      <c r="O48" s="62" t="s">
        <v>237</v>
      </c>
      <c r="P48" s="63"/>
      <c r="Q48" s="63"/>
      <c r="R48" s="62" t="s">
        <v>238</v>
      </c>
      <c r="S48" s="62">
        <v>29527.0</v>
      </c>
      <c r="T48" s="58" t="s">
        <v>105</v>
      </c>
      <c r="U48" s="59">
        <v>0.0</v>
      </c>
      <c r="V48" s="59">
        <v>-10.81</v>
      </c>
      <c r="W48" s="58">
        <v>0.0</v>
      </c>
      <c r="X48" s="58">
        <v>0.0</v>
      </c>
      <c r="Y48" s="58">
        <v>0.0</v>
      </c>
      <c r="Z48" s="59">
        <v>0.0</v>
      </c>
      <c r="AA48" s="58">
        <v>0.0</v>
      </c>
      <c r="AB48" s="58">
        <v>0.0</v>
      </c>
      <c r="AC48" s="58">
        <v>0.0</v>
      </c>
      <c r="AD48" s="58">
        <v>0.0</v>
      </c>
      <c r="AE48" s="58">
        <v>0.0</v>
      </c>
      <c r="AF48" s="58">
        <v>0.0</v>
      </c>
      <c r="AG48" s="58">
        <v>0.0</v>
      </c>
      <c r="AH48" s="58">
        <v>0.0</v>
      </c>
      <c r="AI48" s="58">
        <v>0.0</v>
      </c>
      <c r="AJ48" s="58">
        <v>0.0</v>
      </c>
      <c r="AK48" s="58">
        <v>0.0</v>
      </c>
      <c r="AL48" s="58">
        <v>0.0</v>
      </c>
      <c r="AM48" s="58">
        <v>0.0</v>
      </c>
      <c r="AN48" s="58">
        <v>0.0</v>
      </c>
      <c r="AO48" s="58">
        <v>0.0</v>
      </c>
      <c r="AP48" s="58">
        <v>0.0</v>
      </c>
      <c r="AQ48" s="58">
        <v>0.0</v>
      </c>
      <c r="AR48" s="58">
        <v>0.0</v>
      </c>
      <c r="AS48" s="58">
        <v>0.0</v>
      </c>
      <c r="AT48" s="58">
        <v>0.0</v>
      </c>
      <c r="AU48" s="58">
        <v>0.0</v>
      </c>
      <c r="AV48" s="58">
        <v>0.0</v>
      </c>
      <c r="AW48" s="58">
        <v>0.0</v>
      </c>
      <c r="AX48" s="58">
        <v>0.0</v>
      </c>
      <c r="AY48" s="58">
        <v>0.0</v>
      </c>
      <c r="AZ48" s="58">
        <v>0.0</v>
      </c>
      <c r="BA48" s="58">
        <v>0.0</v>
      </c>
      <c r="BB48" s="58">
        <v>0.0</v>
      </c>
      <c r="BC48" s="58" t="s">
        <v>106</v>
      </c>
      <c r="BD48" s="58" t="s">
        <v>163</v>
      </c>
      <c r="BE48" s="58">
        <v>5013.0</v>
      </c>
      <c r="BH48" s="58" t="s">
        <v>107</v>
      </c>
      <c r="BI48" s="58" t="s">
        <v>108</v>
      </c>
      <c r="BN48" s="58" t="s">
        <v>111</v>
      </c>
      <c r="BO48" s="58" t="s">
        <v>112</v>
      </c>
      <c r="BW48" s="64" t="str">
        <f>if(OR(F48="SALE",F48="REFUNDED"),IFERROR(Vlookup(I48,'Listing SKU - Fill SKU Mapping'!A:C,3,false),"Map"),"")</f>
        <v/>
      </c>
      <c r="BX48" s="65" t="str">
        <f>IF(OR(F48="SALE",F48="REFUNDED")=TRUE,iferror(Vlookup(I48,'Listing SKU - Fill SKU Mapping'!A:B,2,false),"Map"),"")</f>
        <v/>
      </c>
      <c r="BY48" s="64" t="str">
        <f>IF(OR(F48="SALE",F48="REFUNDED")=TRUE,iferror(Vlookup(I48,'Listing SKU - Fill SKU Mapping'!A:D,4,false),"Map"),"")</f>
        <v/>
      </c>
      <c r="BZ48" s="66" t="str">
        <f t="shared" si="1"/>
        <v/>
      </c>
      <c r="CA48" s="64" t="str">
        <f t="shared" si="2"/>
        <v/>
      </c>
      <c r="CB48" s="64" t="str">
        <f t="shared" si="3"/>
        <v/>
      </c>
      <c r="CC48" s="65" t="str">
        <f>if(F48="REFUNDED",iferror(Vlookup(I48,'Listing SKU - Fill SKU Mapping'!A:B,2,false),"Map"),"")</f>
        <v/>
      </c>
      <c r="CD48" s="65" t="str">
        <f>if(F48="REFUNDED",iferror(Vlookup(I48,'Listing SKU - Fill SKU Mapping'!A:C,3,false),"Map"),"")</f>
        <v/>
      </c>
      <c r="CE48" s="64" t="str">
        <f t="shared" si="4"/>
        <v>2025</v>
      </c>
      <c r="CF48" s="64" t="str">
        <f t="shared" si="5"/>
        <v>April</v>
      </c>
      <c r="CG48" s="64" t="str">
        <f t="shared" si="6"/>
        <v/>
      </c>
    </row>
    <row r="49">
      <c r="A49" s="55">
        <v>2.00013232673504E14</v>
      </c>
      <c r="B49" s="56">
        <v>1.0</v>
      </c>
      <c r="C49" s="57">
        <v>1.09010583959963E14</v>
      </c>
      <c r="D49" s="58">
        <v>1.0</v>
      </c>
      <c r="F49" s="59" t="s">
        <v>100</v>
      </c>
      <c r="G49" s="60">
        <v>45762.0</v>
      </c>
      <c r="H49" s="58">
        <v>1.0</v>
      </c>
      <c r="I49" s="58" t="s">
        <v>239</v>
      </c>
      <c r="J49" s="61">
        <v>4.60776236148E11</v>
      </c>
      <c r="K49" s="62" t="s">
        <v>240</v>
      </c>
      <c r="L49" s="62">
        <v>2038710.0</v>
      </c>
      <c r="M49" s="63"/>
      <c r="N49" s="63"/>
      <c r="O49" s="62" t="s">
        <v>241</v>
      </c>
      <c r="P49" s="63"/>
      <c r="Q49" s="63"/>
      <c r="R49" s="62" t="s">
        <v>242</v>
      </c>
      <c r="S49" s="62">
        <v>84119.0</v>
      </c>
      <c r="T49" s="58" t="s">
        <v>105</v>
      </c>
      <c r="U49" s="59">
        <v>107.23</v>
      </c>
      <c r="V49" s="59">
        <v>92.98</v>
      </c>
      <c r="W49" s="58">
        <v>7.0</v>
      </c>
      <c r="X49" s="58">
        <v>7.0</v>
      </c>
      <c r="Y49" s="58">
        <v>99.98</v>
      </c>
      <c r="Z49" s="59">
        <v>0.0</v>
      </c>
      <c r="AA49" s="58">
        <v>0.0</v>
      </c>
      <c r="AB49" s="58">
        <v>0.0</v>
      </c>
      <c r="AC49" s="58">
        <v>0.0</v>
      </c>
      <c r="AD49" s="58">
        <v>0.0</v>
      </c>
      <c r="AE49" s="58">
        <v>0.0</v>
      </c>
      <c r="AF49" s="58">
        <v>0.0</v>
      </c>
      <c r="AG49" s="58">
        <v>0.0</v>
      </c>
      <c r="AH49" s="58">
        <v>0.0</v>
      </c>
      <c r="AI49" s="58">
        <v>0.0</v>
      </c>
      <c r="AJ49" s="58">
        <v>0.0</v>
      </c>
      <c r="AK49" s="58">
        <v>0.0</v>
      </c>
      <c r="AL49" s="58">
        <v>0.0</v>
      </c>
      <c r="AM49" s="58">
        <v>0.0</v>
      </c>
      <c r="AN49" s="58">
        <v>0.0</v>
      </c>
      <c r="AO49" s="58">
        <v>7.25</v>
      </c>
      <c r="AP49" s="58">
        <v>0.0</v>
      </c>
      <c r="AQ49" s="58">
        <v>0.0</v>
      </c>
      <c r="AR49" s="58">
        <v>0.0</v>
      </c>
      <c r="AS49" s="58">
        <v>0.0</v>
      </c>
      <c r="AT49" s="58">
        <v>0.0</v>
      </c>
      <c r="AU49" s="58">
        <v>0.0</v>
      </c>
      <c r="AV49" s="58">
        <v>0.0</v>
      </c>
      <c r="AW49" s="58">
        <v>0.0</v>
      </c>
      <c r="AX49" s="58">
        <v>0.0</v>
      </c>
      <c r="AY49" s="58">
        <v>0.0</v>
      </c>
      <c r="AZ49" s="58">
        <v>0.0</v>
      </c>
      <c r="BA49" s="58">
        <v>0.0</v>
      </c>
      <c r="BB49" s="58">
        <v>7.25</v>
      </c>
      <c r="BC49" s="58" t="s">
        <v>106</v>
      </c>
      <c r="BG49" s="58">
        <v>-10.0</v>
      </c>
      <c r="BH49" s="58" t="s">
        <v>107</v>
      </c>
      <c r="BI49" s="58" t="s">
        <v>108</v>
      </c>
      <c r="BJ49" s="58" t="s">
        <v>109</v>
      </c>
      <c r="BK49" s="58" t="s">
        <v>243</v>
      </c>
      <c r="BN49" s="58" t="s">
        <v>111</v>
      </c>
      <c r="BO49" s="58" t="s">
        <v>112</v>
      </c>
      <c r="BP49" s="58" t="s">
        <v>113</v>
      </c>
      <c r="BQ49" s="58" t="s">
        <v>114</v>
      </c>
      <c r="BR49" s="58">
        <v>3.0</v>
      </c>
      <c r="BW49" s="64" t="str">
        <f>if(OR(F49="SALE",F49="REFUNDED"),IFERROR(Vlookup(I49,'Listing SKU - Fill SKU Mapping'!A:C,3,false),"Map"),"")</f>
        <v>Keystone</v>
      </c>
      <c r="BX49" s="65" t="str">
        <f>IF(OR(F49="SALE",F49="REFUNDED")=TRUE,iferror(Vlookup(I49,'Listing SKU - Fill SKU Mapping'!A:B,2,false),"Map"),"")</f>
        <v>IMP423BLK</v>
      </c>
      <c r="BY49" s="64">
        <f>IF(OR(F49="SALE",F49="REFUNDED")=TRUE,iferror(Vlookup(I49,'Listing SKU - Fill SKU Mapping'!A:D,4,false),"Map"),"")</f>
        <v>47.34</v>
      </c>
      <c r="BZ49" s="66">
        <f t="shared" si="1"/>
        <v>11.5</v>
      </c>
      <c r="CA49" s="66">
        <f t="shared" si="2"/>
        <v>58.84</v>
      </c>
      <c r="CB49" s="66">
        <f t="shared" si="3"/>
        <v>34.14</v>
      </c>
      <c r="CC49" s="65" t="str">
        <f>if(F49="REFUNDED",iferror(Vlookup(I49,'Listing SKU - Fill SKU Mapping'!A:B,2,false),"Map"),"")</f>
        <v/>
      </c>
      <c r="CD49" s="65" t="str">
        <f>if(F49="REFUNDED",iferror(Vlookup(I49,'Listing SKU - Fill SKU Mapping'!A:C,3,false),"Map"),"")</f>
        <v/>
      </c>
      <c r="CE49" s="64" t="str">
        <f t="shared" si="4"/>
        <v>2025</v>
      </c>
      <c r="CF49" s="64" t="str">
        <f t="shared" si="5"/>
        <v>April</v>
      </c>
      <c r="CG49" s="64" t="str">
        <f t="shared" si="6"/>
        <v/>
      </c>
    </row>
    <row r="50">
      <c r="A50" s="55">
        <v>2.00013138757466E14</v>
      </c>
      <c r="B50" s="56">
        <v>1.0</v>
      </c>
      <c r="C50" s="57">
        <v>1.09008699469676E14</v>
      </c>
      <c r="D50" s="58">
        <v>1.0</v>
      </c>
      <c r="F50" s="59" t="s">
        <v>100</v>
      </c>
      <c r="G50" s="60">
        <v>45743.0</v>
      </c>
      <c r="H50" s="58">
        <v>1.0</v>
      </c>
      <c r="I50" s="58" t="s">
        <v>244</v>
      </c>
      <c r="J50" s="61">
        <v>4.60776241128E11</v>
      </c>
      <c r="K50" s="62" t="s">
        <v>245</v>
      </c>
      <c r="L50" s="62">
        <v>2038710.0</v>
      </c>
      <c r="M50" s="63"/>
      <c r="N50" s="63"/>
      <c r="O50" s="62" t="s">
        <v>227</v>
      </c>
      <c r="P50" s="63"/>
      <c r="Q50" s="63"/>
      <c r="R50" s="62" t="s">
        <v>246</v>
      </c>
      <c r="S50" s="62">
        <v>49346.0</v>
      </c>
      <c r="T50" s="58" t="s">
        <v>105</v>
      </c>
      <c r="U50" s="59">
        <v>100.68</v>
      </c>
      <c r="V50" s="59">
        <v>88.33</v>
      </c>
      <c r="W50" s="58">
        <v>6.65</v>
      </c>
      <c r="X50" s="58">
        <v>7.0</v>
      </c>
      <c r="Y50" s="58">
        <v>94.98</v>
      </c>
      <c r="Z50" s="59">
        <v>0.0</v>
      </c>
      <c r="AA50" s="58">
        <v>0.0</v>
      </c>
      <c r="AB50" s="58">
        <v>0.0</v>
      </c>
      <c r="AC50" s="58">
        <v>0.0</v>
      </c>
      <c r="AD50" s="58">
        <v>0.0</v>
      </c>
      <c r="AE50" s="58">
        <v>0.0</v>
      </c>
      <c r="AF50" s="58">
        <v>0.0</v>
      </c>
      <c r="AG50" s="58">
        <v>0.0</v>
      </c>
      <c r="AH50" s="58">
        <v>0.0</v>
      </c>
      <c r="AI50" s="58">
        <v>0.0</v>
      </c>
      <c r="AJ50" s="58">
        <v>0.0</v>
      </c>
      <c r="AK50" s="58">
        <v>0.0</v>
      </c>
      <c r="AL50" s="58">
        <v>0.0</v>
      </c>
      <c r="AM50" s="58">
        <v>0.0</v>
      </c>
      <c r="AN50" s="58">
        <v>0.0</v>
      </c>
      <c r="AO50" s="58">
        <v>5.7</v>
      </c>
      <c r="AP50" s="58">
        <v>0.0</v>
      </c>
      <c r="AQ50" s="58">
        <v>0.0</v>
      </c>
      <c r="AR50" s="58">
        <v>0.0</v>
      </c>
      <c r="AS50" s="58">
        <v>0.0</v>
      </c>
      <c r="AT50" s="58">
        <v>0.0</v>
      </c>
      <c r="AU50" s="58">
        <v>0.0</v>
      </c>
      <c r="AV50" s="58">
        <v>0.0</v>
      </c>
      <c r="AW50" s="58">
        <v>0.0</v>
      </c>
      <c r="AX50" s="58">
        <v>0.0</v>
      </c>
      <c r="AY50" s="58">
        <v>0.0</v>
      </c>
      <c r="AZ50" s="58">
        <v>0.0</v>
      </c>
      <c r="BA50" s="58">
        <v>0.0</v>
      </c>
      <c r="BB50" s="58">
        <v>5.7</v>
      </c>
      <c r="BC50" s="58" t="s">
        <v>106</v>
      </c>
      <c r="BG50" s="58">
        <v>-9.5</v>
      </c>
      <c r="BH50" s="58" t="s">
        <v>107</v>
      </c>
      <c r="BI50" s="58" t="s">
        <v>108</v>
      </c>
      <c r="BJ50" s="58" t="s">
        <v>109</v>
      </c>
      <c r="BK50" s="58" t="s">
        <v>247</v>
      </c>
      <c r="BN50" s="58" t="s">
        <v>111</v>
      </c>
      <c r="BO50" s="58" t="s">
        <v>112</v>
      </c>
      <c r="BP50" s="58" t="s">
        <v>113</v>
      </c>
      <c r="BQ50" s="58" t="s">
        <v>114</v>
      </c>
      <c r="BR50" s="58">
        <v>2.85</v>
      </c>
      <c r="BW50" s="64" t="str">
        <f>if(OR(F50="SALE",F50="REFUNDED"),IFERROR(Vlookup(I50,'Listing SKU - Fill SKU Mapping'!A:C,3,false),"Map"),"")</f>
        <v>Keystone</v>
      </c>
      <c r="BX50" s="65" t="str">
        <f>IF(OR(F50="SALE",F50="REFUNDED")=TRUE,iferror(Vlookup(I50,'Listing SKU - Fill SKU Mapping'!A:B,2,false),"Map"),"")</f>
        <v>IMP347X</v>
      </c>
      <c r="BY50" s="64">
        <f>IF(OR(F50="SALE",F50="REFUNDED")=TRUE,iferror(Vlookup(I50,'Listing SKU - Fill SKU Mapping'!A:D,4,false),"Map"),"")</f>
        <v>43.79</v>
      </c>
      <c r="BZ50" s="66">
        <f t="shared" si="1"/>
        <v>11.5</v>
      </c>
      <c r="CA50" s="66">
        <f t="shared" si="2"/>
        <v>55.29</v>
      </c>
      <c r="CB50" s="66">
        <f t="shared" si="3"/>
        <v>33.04</v>
      </c>
      <c r="CC50" s="65" t="str">
        <f>if(F50="REFUNDED",iferror(Vlookup(I50,'Listing SKU - Fill SKU Mapping'!A:B,2,false),"Map"),"")</f>
        <v/>
      </c>
      <c r="CD50" s="65" t="str">
        <f>if(F50="REFUNDED",iferror(Vlookup(I50,'Listing SKU - Fill SKU Mapping'!A:C,3,false),"Map"),"")</f>
        <v/>
      </c>
      <c r="CE50" s="64" t="str">
        <f t="shared" si="4"/>
        <v>2025</v>
      </c>
      <c r="CF50" s="64" t="str">
        <f t="shared" si="5"/>
        <v>March</v>
      </c>
      <c r="CG50" s="64" t="str">
        <f t="shared" si="6"/>
        <v/>
      </c>
    </row>
    <row r="51">
      <c r="A51" s="55">
        <v>2.00013116006538E14</v>
      </c>
      <c r="B51" s="56">
        <v>2.0</v>
      </c>
      <c r="C51" s="57">
        <v>1.09010167259537E14</v>
      </c>
      <c r="D51" s="58">
        <v>2.0</v>
      </c>
      <c r="F51" s="59" t="s">
        <v>100</v>
      </c>
      <c r="G51" s="60">
        <v>45757.0</v>
      </c>
      <c r="H51" s="58">
        <v>1.0</v>
      </c>
      <c r="I51" s="58" t="s">
        <v>248</v>
      </c>
      <c r="J51" s="61">
        <v>4.60776231082E11</v>
      </c>
      <c r="K51" s="62" t="s">
        <v>249</v>
      </c>
      <c r="L51" s="62">
        <v>2038710.0</v>
      </c>
      <c r="M51" s="63"/>
      <c r="N51" s="63"/>
      <c r="O51" s="62" t="s">
        <v>166</v>
      </c>
      <c r="P51" s="63"/>
      <c r="Q51" s="63"/>
      <c r="R51" s="62" t="s">
        <v>250</v>
      </c>
      <c r="S51" s="62">
        <v>22952.0</v>
      </c>
      <c r="T51" s="58" t="s">
        <v>105</v>
      </c>
      <c r="U51" s="59">
        <v>128.44</v>
      </c>
      <c r="V51" s="59">
        <v>113.44</v>
      </c>
      <c r="W51" s="58">
        <v>8.54</v>
      </c>
      <c r="X51" s="58">
        <v>7.0</v>
      </c>
      <c r="Y51" s="58">
        <v>121.98</v>
      </c>
      <c r="Z51" s="59">
        <v>0.0</v>
      </c>
      <c r="AA51" s="58">
        <v>0.0</v>
      </c>
      <c r="AB51" s="58">
        <v>0.0</v>
      </c>
      <c r="AC51" s="58">
        <v>0.0</v>
      </c>
      <c r="AD51" s="58">
        <v>0.0</v>
      </c>
      <c r="AE51" s="58">
        <v>0.0</v>
      </c>
      <c r="AF51" s="58">
        <v>0.0</v>
      </c>
      <c r="AG51" s="58">
        <v>0.0</v>
      </c>
      <c r="AH51" s="58">
        <v>0.0</v>
      </c>
      <c r="AI51" s="58">
        <v>0.0</v>
      </c>
      <c r="AJ51" s="58">
        <v>0.0</v>
      </c>
      <c r="AK51" s="58">
        <v>0.0</v>
      </c>
      <c r="AL51" s="58">
        <v>0.0</v>
      </c>
      <c r="AM51" s="58">
        <v>0.0</v>
      </c>
      <c r="AN51" s="58">
        <v>0.0</v>
      </c>
      <c r="AO51" s="58">
        <v>6.46</v>
      </c>
      <c r="AP51" s="58">
        <v>0.0</v>
      </c>
      <c r="AQ51" s="58">
        <v>0.0</v>
      </c>
      <c r="AR51" s="58">
        <v>0.0</v>
      </c>
      <c r="AS51" s="58">
        <v>0.0</v>
      </c>
      <c r="AT51" s="58">
        <v>0.0</v>
      </c>
      <c r="AU51" s="58">
        <v>0.0</v>
      </c>
      <c r="AV51" s="58">
        <v>0.0</v>
      </c>
      <c r="AW51" s="58">
        <v>0.0</v>
      </c>
      <c r="AX51" s="58">
        <v>0.0</v>
      </c>
      <c r="AY51" s="58">
        <v>0.0</v>
      </c>
      <c r="AZ51" s="58">
        <v>0.0</v>
      </c>
      <c r="BA51" s="58">
        <v>0.0</v>
      </c>
      <c r="BB51" s="58">
        <v>6.46</v>
      </c>
      <c r="BC51" s="58" t="s">
        <v>106</v>
      </c>
      <c r="BG51" s="58">
        <v>-12.2</v>
      </c>
      <c r="BH51" s="58" t="s">
        <v>107</v>
      </c>
      <c r="BI51" s="58" t="s">
        <v>108</v>
      </c>
      <c r="BJ51" s="58" t="s">
        <v>109</v>
      </c>
      <c r="BK51" s="58" t="s">
        <v>251</v>
      </c>
      <c r="BN51" s="58" t="s">
        <v>111</v>
      </c>
      <c r="BO51" s="58" t="s">
        <v>112</v>
      </c>
      <c r="BP51" s="58" t="s">
        <v>113</v>
      </c>
      <c r="BQ51" s="58" t="s">
        <v>114</v>
      </c>
      <c r="BR51" s="58">
        <v>3.66</v>
      </c>
      <c r="BW51" s="64" t="str">
        <f>if(OR(F51="SALE",F51="REFUNDED"),IFERROR(Vlookup(I51,'Listing SKU - Fill SKU Mapping'!A:C,3,false),"Map"),"")</f>
        <v>Keystone</v>
      </c>
      <c r="BX51" s="65" t="str">
        <f>IF(OR(F51="SALE",F51="REFUNDED")=TRUE,iferror(Vlookup(I51,'Listing SKU - Fill SKU Mapping'!A:B,2,false),"Map"),"")</f>
        <v>IMP401BLK</v>
      </c>
      <c r="BY51" s="64">
        <f>IF(OR(F51="SALE",F51="REFUNDED")=TRUE,iferror(Vlookup(I51,'Listing SKU - Fill SKU Mapping'!A:D,4,false),"Map"),"")</f>
        <v>62.33</v>
      </c>
      <c r="BZ51" s="66">
        <f t="shared" si="1"/>
        <v>11.5</v>
      </c>
      <c r="CA51" s="66">
        <f t="shared" si="2"/>
        <v>73.83</v>
      </c>
      <c r="CB51" s="66">
        <f t="shared" si="3"/>
        <v>39.61</v>
      </c>
      <c r="CC51" s="65" t="str">
        <f>if(F51="REFUNDED",iferror(Vlookup(I51,'Listing SKU - Fill SKU Mapping'!A:B,2,false),"Map"),"")</f>
        <v/>
      </c>
      <c r="CD51" s="65" t="str">
        <f>if(F51="REFUNDED",iferror(Vlookup(I51,'Listing SKU - Fill SKU Mapping'!A:C,3,false),"Map"),"")</f>
        <v/>
      </c>
      <c r="CE51" s="64" t="str">
        <f t="shared" si="4"/>
        <v>2025</v>
      </c>
      <c r="CF51" s="64" t="str">
        <f t="shared" si="5"/>
        <v>April</v>
      </c>
      <c r="CG51" s="64" t="str">
        <f t="shared" si="6"/>
        <v/>
      </c>
    </row>
    <row r="52">
      <c r="A52" s="55">
        <v>2.00013099169767E14</v>
      </c>
      <c r="B52" s="56">
        <v>2.0</v>
      </c>
      <c r="C52" s="57">
        <v>1.09009128533166E14</v>
      </c>
      <c r="D52" s="58">
        <v>2.0</v>
      </c>
      <c r="F52" s="59" t="s">
        <v>100</v>
      </c>
      <c r="G52" s="60">
        <v>45748.0</v>
      </c>
      <c r="H52" s="58">
        <v>1.0</v>
      </c>
      <c r="I52" s="58" t="s">
        <v>252</v>
      </c>
      <c r="J52" s="61">
        <v>4.60776233253E11</v>
      </c>
      <c r="K52" s="62" t="s">
        <v>253</v>
      </c>
      <c r="L52" s="62">
        <v>2038710.0</v>
      </c>
      <c r="M52" s="63"/>
      <c r="N52" s="63"/>
      <c r="O52" s="62" t="s">
        <v>170</v>
      </c>
      <c r="P52" s="63"/>
      <c r="Q52" s="63"/>
      <c r="R52" s="62" t="s">
        <v>254</v>
      </c>
      <c r="S52" s="62">
        <v>46324.0</v>
      </c>
      <c r="T52" s="58" t="s">
        <v>105</v>
      </c>
      <c r="U52" s="59">
        <v>104.84</v>
      </c>
      <c r="V52" s="59">
        <v>91.12</v>
      </c>
      <c r="W52" s="58">
        <v>6.86</v>
      </c>
      <c r="X52" s="58">
        <v>7.0</v>
      </c>
      <c r="Y52" s="58">
        <v>97.98</v>
      </c>
      <c r="Z52" s="59">
        <v>0.0</v>
      </c>
      <c r="AA52" s="58">
        <v>0.0</v>
      </c>
      <c r="AB52" s="58">
        <v>0.0</v>
      </c>
      <c r="AC52" s="58">
        <v>0.0</v>
      </c>
      <c r="AD52" s="58">
        <v>0.0</v>
      </c>
      <c r="AE52" s="58">
        <v>0.0</v>
      </c>
      <c r="AF52" s="58">
        <v>0.0</v>
      </c>
      <c r="AG52" s="58">
        <v>0.0</v>
      </c>
      <c r="AH52" s="58">
        <v>0.0</v>
      </c>
      <c r="AI52" s="58">
        <v>0.0</v>
      </c>
      <c r="AJ52" s="58">
        <v>0.0</v>
      </c>
      <c r="AK52" s="58">
        <v>0.0</v>
      </c>
      <c r="AL52" s="58">
        <v>0.0</v>
      </c>
      <c r="AM52" s="58">
        <v>0.0</v>
      </c>
      <c r="AN52" s="58">
        <v>0.0</v>
      </c>
      <c r="AO52" s="58">
        <v>6.86</v>
      </c>
      <c r="AP52" s="58">
        <v>0.0</v>
      </c>
      <c r="AQ52" s="58">
        <v>0.0</v>
      </c>
      <c r="AR52" s="58">
        <v>0.0</v>
      </c>
      <c r="AS52" s="58">
        <v>0.0</v>
      </c>
      <c r="AT52" s="58">
        <v>0.0</v>
      </c>
      <c r="AU52" s="58">
        <v>0.0</v>
      </c>
      <c r="AV52" s="58">
        <v>0.0</v>
      </c>
      <c r="AW52" s="58">
        <v>0.0</v>
      </c>
      <c r="AX52" s="58">
        <v>0.0</v>
      </c>
      <c r="AY52" s="58">
        <v>0.0</v>
      </c>
      <c r="AZ52" s="58">
        <v>0.0</v>
      </c>
      <c r="BA52" s="58">
        <v>0.0</v>
      </c>
      <c r="BB52" s="58">
        <v>6.86</v>
      </c>
      <c r="BC52" s="58" t="s">
        <v>106</v>
      </c>
      <c r="BG52" s="58">
        <v>-9.8</v>
      </c>
      <c r="BH52" s="58" t="s">
        <v>107</v>
      </c>
      <c r="BI52" s="58" t="s">
        <v>108</v>
      </c>
      <c r="BJ52" s="58" t="s">
        <v>109</v>
      </c>
      <c r="BK52" s="58" t="s">
        <v>255</v>
      </c>
      <c r="BN52" s="58" t="s">
        <v>111</v>
      </c>
      <c r="BO52" s="58" t="s">
        <v>112</v>
      </c>
      <c r="BP52" s="58" t="s">
        <v>113</v>
      </c>
      <c r="BQ52" s="58" t="s">
        <v>114</v>
      </c>
      <c r="BR52" s="58">
        <v>2.94</v>
      </c>
      <c r="BW52" s="64" t="str">
        <f>if(OR(F52="SALE",F52="REFUNDED"),IFERROR(Vlookup(I52,'Listing SKU - Fill SKU Mapping'!A:C,3,false),"Map"),"")</f>
        <v>Keystone</v>
      </c>
      <c r="BX52" s="65" t="str">
        <f>IF(OR(F52="SALE",F52="REFUNDED")=TRUE,iferror(Vlookup(I52,'Listing SKU - Fill SKU Mapping'!A:B,2,false),"Map"),"")</f>
        <v>IMP388BLK</v>
      </c>
      <c r="BY52" s="64">
        <f>IF(OR(F52="SALE",F52="REFUNDED")=TRUE,iferror(Vlookup(I52,'Listing SKU - Fill SKU Mapping'!A:D,4,false),"Map"),"")</f>
        <v>45.76</v>
      </c>
      <c r="BZ52" s="66">
        <f t="shared" si="1"/>
        <v>11.5</v>
      </c>
      <c r="CA52" s="66">
        <f t="shared" si="2"/>
        <v>57.26</v>
      </c>
      <c r="CB52" s="66">
        <f t="shared" si="3"/>
        <v>33.86</v>
      </c>
      <c r="CC52" s="65" t="str">
        <f>if(F52="REFUNDED",iferror(Vlookup(I52,'Listing SKU - Fill SKU Mapping'!A:B,2,false),"Map"),"")</f>
        <v/>
      </c>
      <c r="CD52" s="65" t="str">
        <f>if(F52="REFUNDED",iferror(Vlookup(I52,'Listing SKU - Fill SKU Mapping'!A:C,3,false),"Map"),"")</f>
        <v/>
      </c>
      <c r="CE52" s="64" t="str">
        <f t="shared" si="4"/>
        <v>2025</v>
      </c>
      <c r="CF52" s="64" t="str">
        <f t="shared" si="5"/>
        <v>April</v>
      </c>
      <c r="CG52" s="64" t="str">
        <f t="shared" si="6"/>
        <v/>
      </c>
    </row>
    <row r="53">
      <c r="A53" s="55">
        <v>2.00013083775008E14</v>
      </c>
      <c r="B53" s="56">
        <v>4.0</v>
      </c>
      <c r="C53" s="57">
        <v>1.0900912661842E14</v>
      </c>
      <c r="D53" s="58">
        <v>4.0</v>
      </c>
      <c r="F53" s="59" t="s">
        <v>100</v>
      </c>
      <c r="G53" s="60">
        <v>45748.0</v>
      </c>
      <c r="H53" s="58">
        <v>1.0</v>
      </c>
      <c r="I53" s="58" t="s">
        <v>201</v>
      </c>
      <c r="J53" s="61">
        <v>4.60776276861E11</v>
      </c>
      <c r="K53" s="62" t="s">
        <v>202</v>
      </c>
      <c r="L53" s="62">
        <v>2038710.0</v>
      </c>
      <c r="M53" s="63"/>
      <c r="N53" s="63"/>
      <c r="O53" s="62" t="s">
        <v>170</v>
      </c>
      <c r="P53" s="63"/>
      <c r="Q53" s="63"/>
      <c r="R53" s="62" t="s">
        <v>203</v>
      </c>
      <c r="S53" s="62">
        <v>46777.0</v>
      </c>
      <c r="T53" s="58" t="s">
        <v>105</v>
      </c>
      <c r="U53" s="59">
        <v>95.21</v>
      </c>
      <c r="V53" s="59">
        <v>82.75</v>
      </c>
      <c r="W53" s="58">
        <v>6.23</v>
      </c>
      <c r="X53" s="58">
        <v>7.0</v>
      </c>
      <c r="Y53" s="58">
        <v>88.98</v>
      </c>
      <c r="Z53" s="59">
        <v>0.0</v>
      </c>
      <c r="AA53" s="58">
        <v>0.0</v>
      </c>
      <c r="AB53" s="58">
        <v>0.0</v>
      </c>
      <c r="AC53" s="58">
        <v>0.0</v>
      </c>
      <c r="AD53" s="58">
        <v>0.0</v>
      </c>
      <c r="AE53" s="58">
        <v>0.0</v>
      </c>
      <c r="AF53" s="58">
        <v>0.0</v>
      </c>
      <c r="AG53" s="58">
        <v>0.0</v>
      </c>
      <c r="AH53" s="58">
        <v>0.0</v>
      </c>
      <c r="AI53" s="58">
        <v>0.0</v>
      </c>
      <c r="AJ53" s="58">
        <v>0.0</v>
      </c>
      <c r="AK53" s="58">
        <v>0.0</v>
      </c>
      <c r="AL53" s="58">
        <v>0.0</v>
      </c>
      <c r="AM53" s="58">
        <v>0.0</v>
      </c>
      <c r="AN53" s="58">
        <v>0.0</v>
      </c>
      <c r="AO53" s="58">
        <v>6.23</v>
      </c>
      <c r="AP53" s="58">
        <v>0.0</v>
      </c>
      <c r="AQ53" s="58">
        <v>0.0</v>
      </c>
      <c r="AR53" s="58">
        <v>0.0</v>
      </c>
      <c r="AS53" s="58">
        <v>0.0</v>
      </c>
      <c r="AT53" s="58">
        <v>0.0</v>
      </c>
      <c r="AU53" s="58">
        <v>0.0</v>
      </c>
      <c r="AV53" s="58">
        <v>0.0</v>
      </c>
      <c r="AW53" s="58">
        <v>0.0</v>
      </c>
      <c r="AX53" s="58">
        <v>0.0</v>
      </c>
      <c r="AY53" s="58">
        <v>0.0</v>
      </c>
      <c r="AZ53" s="58">
        <v>0.0</v>
      </c>
      <c r="BA53" s="58">
        <v>0.0</v>
      </c>
      <c r="BB53" s="58">
        <v>6.23</v>
      </c>
      <c r="BC53" s="58" t="s">
        <v>106</v>
      </c>
      <c r="BG53" s="58">
        <v>-8.9</v>
      </c>
      <c r="BH53" s="58" t="s">
        <v>107</v>
      </c>
      <c r="BI53" s="58" t="s">
        <v>108</v>
      </c>
      <c r="BJ53" s="58" t="s">
        <v>256</v>
      </c>
      <c r="BK53" s="58" t="s">
        <v>255</v>
      </c>
      <c r="BN53" s="58" t="s">
        <v>111</v>
      </c>
      <c r="BO53" s="58" t="s">
        <v>112</v>
      </c>
      <c r="BP53" s="58" t="s">
        <v>113</v>
      </c>
      <c r="BQ53" s="58" t="s">
        <v>114</v>
      </c>
      <c r="BR53" s="58">
        <v>2.67</v>
      </c>
      <c r="BW53" s="64" t="str">
        <f>if(OR(F53="SALE",F53="REFUNDED"),IFERROR(Vlookup(I53,'Listing SKU - Fill SKU Mapping'!A:C,3,false),"Map"),"")</f>
        <v>Keystone</v>
      </c>
      <c r="BX53" s="65" t="str">
        <f>IF(OR(F53="SALE",F53="REFUNDED")=TRUE,iferror(Vlookup(I53,'Listing SKU - Fill SKU Mapping'!A:B,2,false),"Map"),"")</f>
        <v>IMP438X</v>
      </c>
      <c r="BY53" s="64">
        <f>IF(OR(F53="SALE",F53="REFUNDED")=TRUE,iferror(Vlookup(I53,'Listing SKU - Fill SKU Mapping'!A:D,4,false),"Map"),"")</f>
        <v>69.83</v>
      </c>
      <c r="BZ53" s="66">
        <f t="shared" si="1"/>
        <v>11.5</v>
      </c>
      <c r="CA53" s="66">
        <f t="shared" si="2"/>
        <v>81.33</v>
      </c>
      <c r="CB53" s="66">
        <f t="shared" si="3"/>
        <v>1.42</v>
      </c>
      <c r="CC53" s="65" t="str">
        <f>if(F53="REFUNDED",iferror(Vlookup(I53,'Listing SKU - Fill SKU Mapping'!A:B,2,false),"Map"),"")</f>
        <v/>
      </c>
      <c r="CD53" s="65" t="str">
        <f>if(F53="REFUNDED",iferror(Vlookup(I53,'Listing SKU - Fill SKU Mapping'!A:C,3,false),"Map"),"")</f>
        <v/>
      </c>
      <c r="CE53" s="64" t="str">
        <f t="shared" si="4"/>
        <v>2025</v>
      </c>
      <c r="CF53" s="64" t="str">
        <f t="shared" si="5"/>
        <v>April</v>
      </c>
      <c r="CG53" s="64" t="str">
        <f t="shared" si="6"/>
        <v/>
      </c>
    </row>
    <row r="54">
      <c r="A54" s="55">
        <v>2.00013083775008E14</v>
      </c>
      <c r="B54" s="56">
        <v>4.0</v>
      </c>
      <c r="C54" s="57">
        <v>1.0900912661842E14</v>
      </c>
      <c r="D54" s="58">
        <v>4.0</v>
      </c>
      <c r="F54" s="59" t="s">
        <v>128</v>
      </c>
      <c r="G54" s="60">
        <v>45764.0</v>
      </c>
      <c r="H54" s="58">
        <v>1.0</v>
      </c>
      <c r="I54" s="58" t="s">
        <v>201</v>
      </c>
      <c r="J54" s="61">
        <v>4.60776276861E11</v>
      </c>
      <c r="K54" s="62" t="s">
        <v>202</v>
      </c>
      <c r="L54" s="62">
        <v>2038710.0</v>
      </c>
      <c r="M54" s="63"/>
      <c r="N54" s="63"/>
      <c r="O54" s="63"/>
      <c r="P54" s="63"/>
      <c r="Q54" s="63"/>
      <c r="R54" s="62" t="s">
        <v>203</v>
      </c>
      <c r="S54" s="62">
        <v>46777.0</v>
      </c>
      <c r="U54" s="59">
        <v>-95.21</v>
      </c>
      <c r="V54" s="59">
        <v>-82.75</v>
      </c>
      <c r="W54" s="58">
        <v>-6.23</v>
      </c>
      <c r="X54" s="58">
        <v>0.0</v>
      </c>
      <c r="Y54" s="58">
        <v>0.0</v>
      </c>
      <c r="Z54" s="59">
        <v>-88.98</v>
      </c>
      <c r="AA54" s="58">
        <v>0.0</v>
      </c>
      <c r="AB54" s="58">
        <v>0.0</v>
      </c>
      <c r="AC54" s="58">
        <v>0.0</v>
      </c>
      <c r="AD54" s="58">
        <v>0.0</v>
      </c>
      <c r="AE54" s="58">
        <v>0.0</v>
      </c>
      <c r="AF54" s="58">
        <v>0.0</v>
      </c>
      <c r="AG54" s="58">
        <v>0.0</v>
      </c>
      <c r="AH54" s="58">
        <v>0.0</v>
      </c>
      <c r="AI54" s="58">
        <v>0.0</v>
      </c>
      <c r="AJ54" s="58">
        <v>0.0</v>
      </c>
      <c r="AK54" s="58">
        <v>0.0</v>
      </c>
      <c r="AL54" s="58">
        <v>0.0</v>
      </c>
      <c r="AM54" s="58">
        <v>0.0</v>
      </c>
      <c r="AN54" s="58">
        <v>0.0</v>
      </c>
      <c r="AO54" s="58">
        <v>0.0</v>
      </c>
      <c r="AP54" s="58">
        <v>0.0</v>
      </c>
      <c r="AQ54" s="58">
        <v>0.0</v>
      </c>
      <c r="AR54" s="58">
        <v>0.0</v>
      </c>
      <c r="AS54" s="58">
        <v>0.0</v>
      </c>
      <c r="AT54" s="58">
        <v>-6.23</v>
      </c>
      <c r="AU54" s="58">
        <v>0.0</v>
      </c>
      <c r="AV54" s="58">
        <v>0.0</v>
      </c>
      <c r="AW54" s="58">
        <v>0.0</v>
      </c>
      <c r="AX54" s="58">
        <v>0.0</v>
      </c>
      <c r="AY54" s="58">
        <v>0.0</v>
      </c>
      <c r="AZ54" s="58">
        <v>0.0</v>
      </c>
      <c r="BA54" s="58">
        <v>0.0</v>
      </c>
      <c r="BB54" s="58">
        <v>-6.23</v>
      </c>
      <c r="BC54" s="58" t="s">
        <v>106</v>
      </c>
      <c r="BD54" s="58" t="s">
        <v>156</v>
      </c>
      <c r="BE54" s="58">
        <v>5010.0</v>
      </c>
      <c r="BH54" s="58" t="s">
        <v>107</v>
      </c>
      <c r="BI54" s="58" t="s">
        <v>108</v>
      </c>
      <c r="BL54" s="58">
        <v>1000.0</v>
      </c>
      <c r="BM54" s="58" t="s">
        <v>130</v>
      </c>
      <c r="BN54" s="58" t="s">
        <v>111</v>
      </c>
      <c r="BO54" s="58" t="s">
        <v>112</v>
      </c>
      <c r="BW54" s="64" t="str">
        <f>if(OR(F54="SALE",F54="REFUNDED"),IFERROR(Vlookup(I54,'Listing SKU - Fill SKU Mapping'!A:C,3,false),"Map"),"")</f>
        <v>Keystone</v>
      </c>
      <c r="BX54" s="65" t="str">
        <f>IF(OR(F54="SALE",F54="REFUNDED")=TRUE,iferror(Vlookup(I54,'Listing SKU - Fill SKU Mapping'!A:B,2,false),"Map"),"")</f>
        <v>IMP438X</v>
      </c>
      <c r="BY54" s="64">
        <f>IF(OR(F54="SALE",F54="REFUNDED")=TRUE,iferror(Vlookup(I54,'Listing SKU - Fill SKU Mapping'!A:D,4,false),"Map"),"")</f>
        <v>69.83</v>
      </c>
      <c r="BZ54" s="66">
        <f t="shared" si="1"/>
        <v>11.5</v>
      </c>
      <c r="CA54" s="66">
        <f t="shared" si="2"/>
        <v>81.33</v>
      </c>
      <c r="CB54" s="64" t="str">
        <f t="shared" si="3"/>
        <v/>
      </c>
      <c r="CC54" s="65" t="str">
        <f>if(F54="REFUNDED",iferror(Vlookup(I54,'Listing SKU - Fill SKU Mapping'!A:B,2,false),"Map"),"")</f>
        <v>IMP438X</v>
      </c>
      <c r="CD54" s="65" t="str">
        <f>if(F54="REFUNDED",iferror(Vlookup(I54,'Listing SKU - Fill SKU Mapping'!A:C,3,false),"Map"),"")</f>
        <v>Keystone</v>
      </c>
      <c r="CE54" s="64" t="str">
        <f t="shared" si="4"/>
        <v>2025</v>
      </c>
      <c r="CF54" s="64" t="str">
        <f t="shared" si="5"/>
        <v>April</v>
      </c>
      <c r="CG54" s="64" t="str">
        <f t="shared" si="6"/>
        <v/>
      </c>
    </row>
    <row r="55">
      <c r="A55" s="55">
        <v>2.00013051814334E14</v>
      </c>
      <c r="B55" s="56">
        <v>1.0</v>
      </c>
      <c r="C55" s="57">
        <v>1.09008389627163E14</v>
      </c>
      <c r="D55" s="58">
        <v>1.0</v>
      </c>
      <c r="F55" s="59" t="s">
        <v>100</v>
      </c>
      <c r="G55" s="60">
        <v>45741.0</v>
      </c>
      <c r="H55" s="58">
        <v>1.0</v>
      </c>
      <c r="I55" s="58" t="s">
        <v>176</v>
      </c>
      <c r="J55" s="61">
        <v>4.60776230283E11</v>
      </c>
      <c r="K55" s="62" t="s">
        <v>177</v>
      </c>
      <c r="L55" s="62">
        <v>2038710.0</v>
      </c>
      <c r="M55" s="63"/>
      <c r="N55" s="63"/>
      <c r="O55" s="62" t="s">
        <v>166</v>
      </c>
      <c r="P55" s="63"/>
      <c r="Q55" s="63"/>
      <c r="R55" s="62" t="s">
        <v>257</v>
      </c>
      <c r="S55" s="62">
        <v>23005.0</v>
      </c>
      <c r="T55" s="58" t="s">
        <v>105</v>
      </c>
      <c r="U55" s="59">
        <v>92.2</v>
      </c>
      <c r="V55" s="59">
        <v>80.89</v>
      </c>
      <c r="W55" s="58">
        <v>6.09</v>
      </c>
      <c r="X55" s="58">
        <v>7.0</v>
      </c>
      <c r="Y55" s="58">
        <v>86.98</v>
      </c>
      <c r="Z55" s="59">
        <v>0.0</v>
      </c>
      <c r="AA55" s="58">
        <v>0.0</v>
      </c>
      <c r="AB55" s="58">
        <v>0.0</v>
      </c>
      <c r="AC55" s="58">
        <v>0.0</v>
      </c>
      <c r="AD55" s="58">
        <v>0.0</v>
      </c>
      <c r="AE55" s="58">
        <v>0.0</v>
      </c>
      <c r="AF55" s="58">
        <v>0.0</v>
      </c>
      <c r="AG55" s="58">
        <v>0.0</v>
      </c>
      <c r="AH55" s="58">
        <v>0.0</v>
      </c>
      <c r="AI55" s="58">
        <v>0.0</v>
      </c>
      <c r="AJ55" s="58">
        <v>0.0</v>
      </c>
      <c r="AK55" s="58">
        <v>0.0</v>
      </c>
      <c r="AL55" s="58">
        <v>0.0</v>
      </c>
      <c r="AM55" s="58">
        <v>0.0</v>
      </c>
      <c r="AN55" s="58">
        <v>0.0</v>
      </c>
      <c r="AO55" s="58">
        <v>5.22</v>
      </c>
      <c r="AP55" s="58">
        <v>0.0</v>
      </c>
      <c r="AQ55" s="58">
        <v>0.0</v>
      </c>
      <c r="AR55" s="58">
        <v>0.0</v>
      </c>
      <c r="AS55" s="58">
        <v>0.0</v>
      </c>
      <c r="AT55" s="58">
        <v>0.0</v>
      </c>
      <c r="AU55" s="58">
        <v>0.0</v>
      </c>
      <c r="AV55" s="58">
        <v>0.0</v>
      </c>
      <c r="AW55" s="58">
        <v>0.0</v>
      </c>
      <c r="AX55" s="58">
        <v>0.0</v>
      </c>
      <c r="AY55" s="58">
        <v>0.0</v>
      </c>
      <c r="AZ55" s="58">
        <v>0.0</v>
      </c>
      <c r="BA55" s="58">
        <v>0.0</v>
      </c>
      <c r="BB55" s="58">
        <v>5.22</v>
      </c>
      <c r="BC55" s="58" t="s">
        <v>106</v>
      </c>
      <c r="BG55" s="58">
        <v>-8.7</v>
      </c>
      <c r="BH55" s="58" t="s">
        <v>107</v>
      </c>
      <c r="BI55" s="58" t="s">
        <v>108</v>
      </c>
      <c r="BJ55" s="58" t="s">
        <v>109</v>
      </c>
      <c r="BK55" s="58" t="s">
        <v>247</v>
      </c>
      <c r="BN55" s="58" t="s">
        <v>111</v>
      </c>
      <c r="BO55" s="58" t="s">
        <v>112</v>
      </c>
      <c r="BP55" s="58" t="s">
        <v>113</v>
      </c>
      <c r="BQ55" s="58" t="s">
        <v>114</v>
      </c>
      <c r="BR55" s="58">
        <v>2.61</v>
      </c>
      <c r="BW55" s="64" t="str">
        <f>if(OR(F55="SALE",F55="REFUNDED"),IFERROR(Vlookup(I55,'Listing SKU - Fill SKU Mapping'!A:C,3,false),"Map"),"")</f>
        <v>Keystone</v>
      </c>
      <c r="BX55" s="65" t="str">
        <f>IF(OR(F55="SALE",F55="REFUNDED")=TRUE,iferror(Vlookup(I55,'Listing SKU - Fill SKU Mapping'!A:B,2,false),"Map"),"")</f>
        <v>IMP447CC</v>
      </c>
      <c r="BY55" s="64">
        <f>IF(OR(F55="SALE",F55="REFUNDED")=TRUE,iferror(Vlookup(I55,'Listing SKU - Fill SKU Mapping'!A:D,4,false),"Map"),"")</f>
        <v>67.46</v>
      </c>
      <c r="BZ55" s="66">
        <f t="shared" si="1"/>
        <v>11.5</v>
      </c>
      <c r="CA55" s="66">
        <f t="shared" si="2"/>
        <v>78.96</v>
      </c>
      <c r="CB55" s="66">
        <f t="shared" si="3"/>
        <v>1.93</v>
      </c>
      <c r="CC55" s="65" t="str">
        <f>if(F55="REFUNDED",iferror(Vlookup(I55,'Listing SKU - Fill SKU Mapping'!A:B,2,false),"Map"),"")</f>
        <v/>
      </c>
      <c r="CD55" s="65" t="str">
        <f>if(F55="REFUNDED",iferror(Vlookup(I55,'Listing SKU - Fill SKU Mapping'!A:C,3,false),"Map"),"")</f>
        <v/>
      </c>
      <c r="CE55" s="64" t="str">
        <f t="shared" si="4"/>
        <v>2025</v>
      </c>
      <c r="CF55" s="64" t="str">
        <f t="shared" si="5"/>
        <v>March</v>
      </c>
      <c r="CG55" s="64" t="str">
        <f t="shared" si="6"/>
        <v/>
      </c>
    </row>
    <row r="56">
      <c r="A56" s="55">
        <v>2.00013051814334E14</v>
      </c>
      <c r="B56" s="56">
        <v>1.0</v>
      </c>
      <c r="C56" s="57">
        <v>1.09008389627163E14</v>
      </c>
      <c r="D56" s="58">
        <v>1.0</v>
      </c>
      <c r="F56" s="59" t="s">
        <v>128</v>
      </c>
      <c r="G56" s="60">
        <v>45743.0</v>
      </c>
      <c r="H56" s="58">
        <v>1.0</v>
      </c>
      <c r="I56" s="58" t="s">
        <v>176</v>
      </c>
      <c r="J56" s="61">
        <v>4.60776230283E11</v>
      </c>
      <c r="K56" s="62" t="s">
        <v>177</v>
      </c>
      <c r="L56" s="62">
        <v>2038710.0</v>
      </c>
      <c r="M56" s="63"/>
      <c r="N56" s="63"/>
      <c r="O56" s="63"/>
      <c r="P56" s="63"/>
      <c r="Q56" s="63"/>
      <c r="R56" s="62" t="s">
        <v>257</v>
      </c>
      <c r="S56" s="62">
        <v>23005.0</v>
      </c>
      <c r="U56" s="59">
        <v>-92.2</v>
      </c>
      <c r="V56" s="59">
        <v>-80.89</v>
      </c>
      <c r="W56" s="58">
        <v>-6.09</v>
      </c>
      <c r="X56" s="58">
        <v>0.0</v>
      </c>
      <c r="Y56" s="58">
        <v>0.0</v>
      </c>
      <c r="Z56" s="59">
        <v>-86.98</v>
      </c>
      <c r="AA56" s="58">
        <v>0.0</v>
      </c>
      <c r="AB56" s="58">
        <v>0.0</v>
      </c>
      <c r="AC56" s="58">
        <v>0.0</v>
      </c>
      <c r="AD56" s="58">
        <v>0.0</v>
      </c>
      <c r="AE56" s="58">
        <v>0.0</v>
      </c>
      <c r="AF56" s="58">
        <v>0.0</v>
      </c>
      <c r="AG56" s="58">
        <v>0.0</v>
      </c>
      <c r="AH56" s="58">
        <v>0.0</v>
      </c>
      <c r="AI56" s="58">
        <v>0.0</v>
      </c>
      <c r="AJ56" s="58">
        <v>0.0</v>
      </c>
      <c r="AK56" s="58">
        <v>0.0</v>
      </c>
      <c r="AL56" s="58">
        <v>0.0</v>
      </c>
      <c r="AM56" s="58">
        <v>0.0</v>
      </c>
      <c r="AN56" s="58">
        <v>0.0</v>
      </c>
      <c r="AO56" s="58">
        <v>0.0</v>
      </c>
      <c r="AP56" s="58">
        <v>0.0</v>
      </c>
      <c r="AQ56" s="58">
        <v>0.0</v>
      </c>
      <c r="AR56" s="58">
        <v>0.0</v>
      </c>
      <c r="AS56" s="58">
        <v>0.0</v>
      </c>
      <c r="AT56" s="58">
        <v>-5.22</v>
      </c>
      <c r="AU56" s="58">
        <v>0.0</v>
      </c>
      <c r="AV56" s="58">
        <v>0.0</v>
      </c>
      <c r="AW56" s="58">
        <v>0.0</v>
      </c>
      <c r="AX56" s="58">
        <v>0.0</v>
      </c>
      <c r="AY56" s="58">
        <v>0.0</v>
      </c>
      <c r="AZ56" s="58">
        <v>0.0</v>
      </c>
      <c r="BA56" s="58">
        <v>0.0</v>
      </c>
      <c r="BB56" s="58">
        <v>-5.22</v>
      </c>
      <c r="BC56" s="58" t="s">
        <v>106</v>
      </c>
      <c r="BD56" s="58" t="s">
        <v>156</v>
      </c>
      <c r="BE56" s="58">
        <v>5010.0</v>
      </c>
      <c r="BH56" s="58" t="s">
        <v>107</v>
      </c>
      <c r="BI56" s="58" t="s">
        <v>108</v>
      </c>
      <c r="BL56" s="58">
        <v>1018.0</v>
      </c>
      <c r="BM56" s="58" t="s">
        <v>157</v>
      </c>
      <c r="BN56" s="58" t="s">
        <v>111</v>
      </c>
      <c r="BO56" s="58" t="s">
        <v>112</v>
      </c>
      <c r="BW56" s="64" t="str">
        <f>if(OR(F56="SALE",F56="REFUNDED"),IFERROR(Vlookup(I56,'Listing SKU - Fill SKU Mapping'!A:C,3,false),"Map"),"")</f>
        <v>Keystone</v>
      </c>
      <c r="BX56" s="65" t="str">
        <f>IF(OR(F56="SALE",F56="REFUNDED")=TRUE,iferror(Vlookup(I56,'Listing SKU - Fill SKU Mapping'!A:B,2,false),"Map"),"")</f>
        <v>IMP447CC</v>
      </c>
      <c r="BY56" s="64">
        <f>IF(OR(F56="SALE",F56="REFUNDED")=TRUE,iferror(Vlookup(I56,'Listing SKU - Fill SKU Mapping'!A:D,4,false),"Map"),"")</f>
        <v>67.46</v>
      </c>
      <c r="BZ56" s="66">
        <f t="shared" si="1"/>
        <v>11.5</v>
      </c>
      <c r="CA56" s="66">
        <f t="shared" si="2"/>
        <v>78.96</v>
      </c>
      <c r="CB56" s="64" t="str">
        <f t="shared" si="3"/>
        <v/>
      </c>
      <c r="CC56" s="65" t="str">
        <f>if(F56="REFUNDED",iferror(Vlookup(I56,'Listing SKU - Fill SKU Mapping'!A:B,2,false),"Map"),"")</f>
        <v>IMP447CC</v>
      </c>
      <c r="CD56" s="65" t="str">
        <f>if(F56="REFUNDED",iferror(Vlookup(I56,'Listing SKU - Fill SKU Mapping'!A:C,3,false),"Map"),"")</f>
        <v>Keystone</v>
      </c>
      <c r="CE56" s="64" t="str">
        <f t="shared" si="4"/>
        <v>2025</v>
      </c>
      <c r="CF56" s="64" t="str">
        <f t="shared" si="5"/>
        <v>March</v>
      </c>
      <c r="CG56" s="64" t="str">
        <f t="shared" si="6"/>
        <v/>
      </c>
    </row>
    <row r="57">
      <c r="A57" s="55">
        <v>2.00013051814334E14</v>
      </c>
      <c r="B57" s="56">
        <v>1.0</v>
      </c>
      <c r="C57" s="57">
        <v>1.09008389627163E14</v>
      </c>
      <c r="D57" s="58">
        <v>1.0</v>
      </c>
      <c r="F57" s="59" t="s">
        <v>158</v>
      </c>
      <c r="G57" s="60">
        <v>45760.0</v>
      </c>
      <c r="H57" s="58">
        <v>1.0</v>
      </c>
      <c r="I57" s="58" t="s">
        <v>176</v>
      </c>
      <c r="J57" s="61">
        <v>4.60776230283E11</v>
      </c>
      <c r="K57" s="62" t="s">
        <v>177</v>
      </c>
      <c r="L57" s="62">
        <v>2038710.0</v>
      </c>
      <c r="M57" s="63"/>
      <c r="N57" s="63"/>
      <c r="O57" s="62" t="s">
        <v>166</v>
      </c>
      <c r="P57" s="63"/>
      <c r="Q57" s="63"/>
      <c r="R57" s="62" t="s">
        <v>257</v>
      </c>
      <c r="S57" s="62">
        <v>23005.0</v>
      </c>
      <c r="T57" s="58" t="s">
        <v>105</v>
      </c>
      <c r="U57" s="59">
        <v>0.0</v>
      </c>
      <c r="V57" s="59">
        <v>-8.89</v>
      </c>
      <c r="W57" s="58">
        <v>0.0</v>
      </c>
      <c r="X57" s="58">
        <v>0.0</v>
      </c>
      <c r="Y57" s="58">
        <v>0.0</v>
      </c>
      <c r="Z57" s="59">
        <v>0.0</v>
      </c>
      <c r="AA57" s="58">
        <v>0.0</v>
      </c>
      <c r="AB57" s="58">
        <v>0.0</v>
      </c>
      <c r="AC57" s="58">
        <v>0.0</v>
      </c>
      <c r="AD57" s="58">
        <v>0.0</v>
      </c>
      <c r="AE57" s="58">
        <v>0.0</v>
      </c>
      <c r="AF57" s="58">
        <v>0.0</v>
      </c>
      <c r="AG57" s="58">
        <v>0.0</v>
      </c>
      <c r="AH57" s="58">
        <v>0.0</v>
      </c>
      <c r="AI57" s="58">
        <v>0.0</v>
      </c>
      <c r="AJ57" s="58">
        <v>0.0</v>
      </c>
      <c r="AK57" s="58">
        <v>0.0</v>
      </c>
      <c r="AL57" s="58">
        <v>0.0</v>
      </c>
      <c r="AM57" s="58">
        <v>0.0</v>
      </c>
      <c r="AN57" s="58">
        <v>0.0</v>
      </c>
      <c r="AO57" s="58">
        <v>0.0</v>
      </c>
      <c r="AP57" s="58">
        <v>0.0</v>
      </c>
      <c r="AQ57" s="58">
        <v>0.0</v>
      </c>
      <c r="AR57" s="58">
        <v>0.0</v>
      </c>
      <c r="AS57" s="58">
        <v>0.0</v>
      </c>
      <c r="AT57" s="58">
        <v>0.0</v>
      </c>
      <c r="AU57" s="58">
        <v>0.0</v>
      </c>
      <c r="AV57" s="58">
        <v>0.0</v>
      </c>
      <c r="AW57" s="58">
        <v>0.0</v>
      </c>
      <c r="AX57" s="58">
        <v>0.0</v>
      </c>
      <c r="AY57" s="58">
        <v>0.0</v>
      </c>
      <c r="AZ57" s="58">
        <v>0.0</v>
      </c>
      <c r="BA57" s="58">
        <v>0.0</v>
      </c>
      <c r="BB57" s="58">
        <v>0.0</v>
      </c>
      <c r="BC57" s="58" t="s">
        <v>106</v>
      </c>
      <c r="BD57" s="58" t="s">
        <v>163</v>
      </c>
      <c r="BE57" s="58">
        <v>5013.0</v>
      </c>
      <c r="BH57" s="58" t="s">
        <v>107</v>
      </c>
      <c r="BI57" s="58" t="s">
        <v>108</v>
      </c>
      <c r="BN57" s="58" t="s">
        <v>111</v>
      </c>
      <c r="BO57" s="58" t="s">
        <v>112</v>
      </c>
      <c r="BW57" s="64" t="str">
        <f>if(OR(F57="SALE",F57="REFUNDED"),IFERROR(Vlookup(I57,'Listing SKU - Fill SKU Mapping'!A:C,3,false),"Map"),"")</f>
        <v/>
      </c>
      <c r="BX57" s="65" t="str">
        <f>IF(OR(F57="SALE",F57="REFUNDED")=TRUE,iferror(Vlookup(I57,'Listing SKU - Fill SKU Mapping'!A:B,2,false),"Map"),"")</f>
        <v/>
      </c>
      <c r="BY57" s="64" t="str">
        <f>IF(OR(F57="SALE",F57="REFUNDED")=TRUE,iferror(Vlookup(I57,'Listing SKU - Fill SKU Mapping'!A:D,4,false),"Map"),"")</f>
        <v/>
      </c>
      <c r="BZ57" s="66" t="str">
        <f t="shared" si="1"/>
        <v/>
      </c>
      <c r="CA57" s="64" t="str">
        <f t="shared" si="2"/>
        <v/>
      </c>
      <c r="CB57" s="64" t="str">
        <f t="shared" si="3"/>
        <v/>
      </c>
      <c r="CC57" s="65" t="str">
        <f>if(F57="REFUNDED",iferror(Vlookup(I57,'Listing SKU - Fill SKU Mapping'!A:B,2,false),"Map"),"")</f>
        <v/>
      </c>
      <c r="CD57" s="65" t="str">
        <f>if(F57="REFUNDED",iferror(Vlookup(I57,'Listing SKU - Fill SKU Mapping'!A:C,3,false),"Map"),"")</f>
        <v/>
      </c>
      <c r="CE57" s="64" t="str">
        <f t="shared" si="4"/>
        <v>2025</v>
      </c>
      <c r="CF57" s="64" t="str">
        <f t="shared" si="5"/>
        <v>April</v>
      </c>
      <c r="CG57" s="64" t="str">
        <f t="shared" si="6"/>
        <v/>
      </c>
    </row>
    <row r="58">
      <c r="A58" s="55">
        <v>2.00013041673912E14</v>
      </c>
      <c r="B58" s="56">
        <v>1.0</v>
      </c>
      <c r="C58" s="57">
        <v>1.09008919231712E14</v>
      </c>
      <c r="D58" s="58">
        <v>1.0</v>
      </c>
      <c r="F58" s="59" t="s">
        <v>100</v>
      </c>
      <c r="G58" s="60">
        <v>45748.0</v>
      </c>
      <c r="H58" s="58">
        <v>1.0</v>
      </c>
      <c r="I58" s="58" t="s">
        <v>205</v>
      </c>
      <c r="J58" s="61">
        <v>4.60776231143E11</v>
      </c>
      <c r="K58" s="62" t="s">
        <v>206</v>
      </c>
      <c r="L58" s="62">
        <v>2038710.0</v>
      </c>
      <c r="M58" s="63"/>
      <c r="N58" s="63"/>
      <c r="O58" s="62" t="s">
        <v>207</v>
      </c>
      <c r="P58" s="63"/>
      <c r="Q58" s="63"/>
      <c r="R58" s="62" t="s">
        <v>208</v>
      </c>
      <c r="S58" s="62">
        <v>72204.0</v>
      </c>
      <c r="T58" s="58" t="s">
        <v>105</v>
      </c>
      <c r="U58" s="59">
        <v>106.43</v>
      </c>
      <c r="V58" s="59">
        <v>91.12</v>
      </c>
      <c r="W58" s="58">
        <v>6.86</v>
      </c>
      <c r="X58" s="58">
        <v>7.0</v>
      </c>
      <c r="Y58" s="58">
        <v>97.98</v>
      </c>
      <c r="Z58" s="59">
        <v>0.0</v>
      </c>
      <c r="AA58" s="58">
        <v>0.0</v>
      </c>
      <c r="AB58" s="58">
        <v>0.0</v>
      </c>
      <c r="AC58" s="58">
        <v>0.0</v>
      </c>
      <c r="AD58" s="58">
        <v>0.0</v>
      </c>
      <c r="AE58" s="58">
        <v>0.0</v>
      </c>
      <c r="AF58" s="58">
        <v>0.0</v>
      </c>
      <c r="AG58" s="58">
        <v>0.0</v>
      </c>
      <c r="AH58" s="58">
        <v>0.0</v>
      </c>
      <c r="AI58" s="58">
        <v>0.0</v>
      </c>
      <c r="AJ58" s="58">
        <v>0.0</v>
      </c>
      <c r="AK58" s="58">
        <v>0.0</v>
      </c>
      <c r="AL58" s="58">
        <v>0.0</v>
      </c>
      <c r="AM58" s="58">
        <v>0.0</v>
      </c>
      <c r="AN58" s="58">
        <v>0.0</v>
      </c>
      <c r="AO58" s="58">
        <v>8.45</v>
      </c>
      <c r="AP58" s="58">
        <v>0.0</v>
      </c>
      <c r="AQ58" s="58">
        <v>0.0</v>
      </c>
      <c r="AR58" s="58">
        <v>0.0</v>
      </c>
      <c r="AS58" s="58">
        <v>0.0</v>
      </c>
      <c r="AT58" s="58">
        <v>0.0</v>
      </c>
      <c r="AU58" s="58">
        <v>0.0</v>
      </c>
      <c r="AV58" s="58">
        <v>0.0</v>
      </c>
      <c r="AW58" s="58">
        <v>0.0</v>
      </c>
      <c r="AX58" s="58">
        <v>0.0</v>
      </c>
      <c r="AY58" s="58">
        <v>0.0</v>
      </c>
      <c r="AZ58" s="58">
        <v>0.0</v>
      </c>
      <c r="BA58" s="58">
        <v>0.0</v>
      </c>
      <c r="BB58" s="58">
        <v>8.45</v>
      </c>
      <c r="BC58" s="58" t="s">
        <v>106</v>
      </c>
      <c r="BG58" s="58">
        <v>-9.8</v>
      </c>
      <c r="BH58" s="58" t="s">
        <v>107</v>
      </c>
      <c r="BI58" s="58" t="s">
        <v>108</v>
      </c>
      <c r="BJ58" s="58" t="s">
        <v>109</v>
      </c>
      <c r="BK58" s="58" t="s">
        <v>255</v>
      </c>
      <c r="BN58" s="58" t="s">
        <v>111</v>
      </c>
      <c r="BO58" s="58" t="s">
        <v>112</v>
      </c>
      <c r="BP58" s="58" t="s">
        <v>113</v>
      </c>
      <c r="BQ58" s="58" t="s">
        <v>114</v>
      </c>
      <c r="BR58" s="58">
        <v>2.94</v>
      </c>
      <c r="BW58" s="64" t="str">
        <f>if(OR(F58="SALE",F58="REFUNDED"),IFERROR(Vlookup(I58,'Listing SKU - Fill SKU Mapping'!A:C,3,false),"Map"),"")</f>
        <v>Keystone</v>
      </c>
      <c r="BX58" s="65" t="str">
        <f>IF(OR(F58="SALE",F58="REFUNDED")=TRUE,iferror(Vlookup(I58,'Listing SKU - Fill SKU Mapping'!A:B,2,false),"Map"),"")</f>
        <v>IMP378X</v>
      </c>
      <c r="BY58" s="64">
        <f>IF(OR(F58="SALE",F58="REFUNDED")=TRUE,iferror(Vlookup(I58,'Listing SKU - Fill SKU Mapping'!A:D,4,false),"Map"),"")</f>
        <v>45.36</v>
      </c>
      <c r="BZ58" s="66">
        <f t="shared" si="1"/>
        <v>11.5</v>
      </c>
      <c r="CA58" s="66">
        <f t="shared" si="2"/>
        <v>56.86</v>
      </c>
      <c r="CB58" s="66">
        <f t="shared" si="3"/>
        <v>34.26</v>
      </c>
      <c r="CC58" s="65" t="str">
        <f>if(F58="REFUNDED",iferror(Vlookup(I58,'Listing SKU - Fill SKU Mapping'!A:B,2,false),"Map"),"")</f>
        <v/>
      </c>
      <c r="CD58" s="65" t="str">
        <f>if(F58="REFUNDED",iferror(Vlookup(I58,'Listing SKU - Fill SKU Mapping'!A:C,3,false),"Map"),"")</f>
        <v/>
      </c>
      <c r="CE58" s="64" t="str">
        <f t="shared" si="4"/>
        <v>2025</v>
      </c>
      <c r="CF58" s="64" t="str">
        <f t="shared" si="5"/>
        <v>April</v>
      </c>
      <c r="CG58" s="64" t="str">
        <f t="shared" si="6"/>
        <v/>
      </c>
    </row>
    <row r="59">
      <c r="A59" s="55">
        <v>2.00013041673912E14</v>
      </c>
      <c r="B59" s="56">
        <v>1.0</v>
      </c>
      <c r="C59" s="57">
        <v>1.09008919231712E14</v>
      </c>
      <c r="D59" s="58">
        <v>1.0</v>
      </c>
      <c r="F59" s="59" t="s">
        <v>128</v>
      </c>
      <c r="G59" s="60">
        <v>45762.0</v>
      </c>
      <c r="H59" s="58">
        <v>1.0</v>
      </c>
      <c r="I59" s="58" t="s">
        <v>205</v>
      </c>
      <c r="J59" s="61">
        <v>4.60776231143E11</v>
      </c>
      <c r="K59" s="62" t="s">
        <v>206</v>
      </c>
      <c r="L59" s="62">
        <v>2038710.0</v>
      </c>
      <c r="M59" s="63"/>
      <c r="N59" s="63"/>
      <c r="O59" s="63"/>
      <c r="P59" s="63"/>
      <c r="Q59" s="63"/>
      <c r="R59" s="62" t="s">
        <v>208</v>
      </c>
      <c r="S59" s="62">
        <v>72204.0</v>
      </c>
      <c r="U59" s="59">
        <v>-106.43</v>
      </c>
      <c r="V59" s="59">
        <v>-91.12</v>
      </c>
      <c r="W59" s="58">
        <v>-6.86</v>
      </c>
      <c r="X59" s="58">
        <v>0.0</v>
      </c>
      <c r="Y59" s="58">
        <v>0.0</v>
      </c>
      <c r="Z59" s="59">
        <v>-97.98</v>
      </c>
      <c r="AA59" s="58">
        <v>0.0</v>
      </c>
      <c r="AB59" s="58">
        <v>0.0</v>
      </c>
      <c r="AC59" s="58">
        <v>0.0</v>
      </c>
      <c r="AD59" s="58">
        <v>0.0</v>
      </c>
      <c r="AE59" s="58">
        <v>0.0</v>
      </c>
      <c r="AF59" s="58">
        <v>0.0</v>
      </c>
      <c r="AG59" s="58">
        <v>0.0</v>
      </c>
      <c r="AH59" s="58">
        <v>0.0</v>
      </c>
      <c r="AI59" s="58">
        <v>0.0</v>
      </c>
      <c r="AJ59" s="58">
        <v>0.0</v>
      </c>
      <c r="AK59" s="58">
        <v>0.0</v>
      </c>
      <c r="AL59" s="58">
        <v>0.0</v>
      </c>
      <c r="AM59" s="58">
        <v>0.0</v>
      </c>
      <c r="AN59" s="58">
        <v>0.0</v>
      </c>
      <c r="AO59" s="58">
        <v>0.0</v>
      </c>
      <c r="AP59" s="58">
        <v>0.0</v>
      </c>
      <c r="AQ59" s="58">
        <v>0.0</v>
      </c>
      <c r="AR59" s="58">
        <v>0.0</v>
      </c>
      <c r="AS59" s="58">
        <v>0.0</v>
      </c>
      <c r="AT59" s="58">
        <v>-8.45</v>
      </c>
      <c r="AU59" s="58">
        <v>0.0</v>
      </c>
      <c r="AV59" s="58">
        <v>0.0</v>
      </c>
      <c r="AW59" s="58">
        <v>0.0</v>
      </c>
      <c r="AX59" s="58">
        <v>0.0</v>
      </c>
      <c r="AY59" s="58">
        <v>0.0</v>
      </c>
      <c r="AZ59" s="58">
        <v>0.0</v>
      </c>
      <c r="BA59" s="58">
        <v>0.0</v>
      </c>
      <c r="BB59" s="58">
        <v>-8.45</v>
      </c>
      <c r="BC59" s="58" t="s">
        <v>106</v>
      </c>
      <c r="BD59" s="58" t="s">
        <v>156</v>
      </c>
      <c r="BE59" s="58">
        <v>5010.0</v>
      </c>
      <c r="BH59" s="58" t="s">
        <v>107</v>
      </c>
      <c r="BI59" s="58" t="s">
        <v>108</v>
      </c>
      <c r="BL59" s="58">
        <v>1016.0</v>
      </c>
      <c r="BM59" s="58" t="s">
        <v>258</v>
      </c>
      <c r="BN59" s="58" t="s">
        <v>111</v>
      </c>
      <c r="BO59" s="58" t="s">
        <v>112</v>
      </c>
      <c r="BW59" s="64" t="str">
        <f>if(OR(F59="SALE",F59="REFUNDED"),IFERROR(Vlookup(I59,'Listing SKU - Fill SKU Mapping'!A:C,3,false),"Map"),"")</f>
        <v>Keystone</v>
      </c>
      <c r="BX59" s="65" t="str">
        <f>IF(OR(F59="SALE",F59="REFUNDED")=TRUE,iferror(Vlookup(I59,'Listing SKU - Fill SKU Mapping'!A:B,2,false),"Map"),"")</f>
        <v>IMP378X</v>
      </c>
      <c r="BY59" s="64">
        <f>IF(OR(F59="SALE",F59="REFUNDED")=TRUE,iferror(Vlookup(I59,'Listing SKU - Fill SKU Mapping'!A:D,4,false),"Map"),"")</f>
        <v>45.36</v>
      </c>
      <c r="BZ59" s="66">
        <f t="shared" si="1"/>
        <v>11.5</v>
      </c>
      <c r="CA59" s="66">
        <f t="shared" si="2"/>
        <v>56.86</v>
      </c>
      <c r="CB59" s="64" t="str">
        <f t="shared" si="3"/>
        <v/>
      </c>
      <c r="CC59" s="65" t="str">
        <f>if(F59="REFUNDED",iferror(Vlookup(I59,'Listing SKU - Fill SKU Mapping'!A:B,2,false),"Map"),"")</f>
        <v>IMP378X</v>
      </c>
      <c r="CD59" s="65" t="str">
        <f>if(F59="REFUNDED",iferror(Vlookup(I59,'Listing SKU - Fill SKU Mapping'!A:C,3,false),"Map"),"")</f>
        <v>Keystone</v>
      </c>
      <c r="CE59" s="64" t="str">
        <f t="shared" si="4"/>
        <v>2025</v>
      </c>
      <c r="CF59" s="64" t="str">
        <f t="shared" si="5"/>
        <v>April</v>
      </c>
      <c r="CG59" s="64" t="str">
        <f t="shared" si="6"/>
        <v/>
      </c>
    </row>
    <row r="60">
      <c r="A60" s="55">
        <v>2.000130369791E14</v>
      </c>
      <c r="B60" s="56">
        <v>1.0</v>
      </c>
      <c r="C60" s="57">
        <v>1.0900996084505E14</v>
      </c>
      <c r="D60" s="58">
        <v>1.0</v>
      </c>
      <c r="F60" s="59" t="s">
        <v>100</v>
      </c>
      <c r="G60" s="60">
        <v>45756.0</v>
      </c>
      <c r="H60" s="58">
        <v>1.0</v>
      </c>
      <c r="I60" s="58" t="s">
        <v>259</v>
      </c>
      <c r="J60" s="61">
        <v>4.60776235257E11</v>
      </c>
      <c r="K60" s="62" t="s">
        <v>260</v>
      </c>
      <c r="L60" s="62">
        <v>2038710.0</v>
      </c>
      <c r="M60" s="63"/>
      <c r="N60" s="63"/>
      <c r="O60" s="62" t="s">
        <v>261</v>
      </c>
      <c r="P60" s="63"/>
      <c r="Q60" s="63"/>
      <c r="R60" s="62" t="s">
        <v>262</v>
      </c>
      <c r="S60" s="62">
        <v>56301.0</v>
      </c>
      <c r="T60" s="58" t="s">
        <v>105</v>
      </c>
      <c r="U60" s="59">
        <v>132.82</v>
      </c>
      <c r="V60" s="59">
        <v>114.37</v>
      </c>
      <c r="W60" s="58">
        <v>8.61</v>
      </c>
      <c r="X60" s="58">
        <v>7.0</v>
      </c>
      <c r="Y60" s="58">
        <v>122.98</v>
      </c>
      <c r="Z60" s="59">
        <v>0.0</v>
      </c>
      <c r="AA60" s="58">
        <v>0.0</v>
      </c>
      <c r="AB60" s="58">
        <v>0.0</v>
      </c>
      <c r="AC60" s="58">
        <v>0.0</v>
      </c>
      <c r="AD60" s="58">
        <v>0.0</v>
      </c>
      <c r="AE60" s="58">
        <v>0.0</v>
      </c>
      <c r="AF60" s="58">
        <v>0.0</v>
      </c>
      <c r="AG60" s="58">
        <v>0.0</v>
      </c>
      <c r="AH60" s="58">
        <v>0.0</v>
      </c>
      <c r="AI60" s="58">
        <v>0.0</v>
      </c>
      <c r="AJ60" s="58">
        <v>0.0</v>
      </c>
      <c r="AK60" s="58">
        <v>0.0</v>
      </c>
      <c r="AL60" s="58">
        <v>0.0</v>
      </c>
      <c r="AM60" s="58">
        <v>0.0</v>
      </c>
      <c r="AN60" s="58">
        <v>0.0</v>
      </c>
      <c r="AO60" s="58">
        <v>9.84</v>
      </c>
      <c r="AP60" s="58">
        <v>0.0</v>
      </c>
      <c r="AQ60" s="58">
        <v>0.0</v>
      </c>
      <c r="AR60" s="58">
        <v>0.0</v>
      </c>
      <c r="AS60" s="58">
        <v>0.0</v>
      </c>
      <c r="AT60" s="58">
        <v>0.0</v>
      </c>
      <c r="AU60" s="58">
        <v>0.0</v>
      </c>
      <c r="AV60" s="58">
        <v>0.0</v>
      </c>
      <c r="AW60" s="58">
        <v>0.0</v>
      </c>
      <c r="AX60" s="58">
        <v>0.0</v>
      </c>
      <c r="AY60" s="58">
        <v>0.0</v>
      </c>
      <c r="AZ60" s="58">
        <v>0.0</v>
      </c>
      <c r="BA60" s="58">
        <v>0.0</v>
      </c>
      <c r="BB60" s="58">
        <v>9.84</v>
      </c>
      <c r="BC60" s="58" t="s">
        <v>106</v>
      </c>
      <c r="BG60" s="58">
        <v>-12.3</v>
      </c>
      <c r="BH60" s="58" t="s">
        <v>107</v>
      </c>
      <c r="BI60" s="58" t="s">
        <v>108</v>
      </c>
      <c r="BJ60" s="58" t="s">
        <v>109</v>
      </c>
      <c r="BK60" s="58" t="s">
        <v>251</v>
      </c>
      <c r="BN60" s="58" t="s">
        <v>111</v>
      </c>
      <c r="BO60" s="58" t="s">
        <v>112</v>
      </c>
      <c r="BP60" s="58" t="s">
        <v>113</v>
      </c>
      <c r="BQ60" s="58" t="s">
        <v>114</v>
      </c>
      <c r="BR60" s="58">
        <v>3.69</v>
      </c>
      <c r="BW60" s="64" t="str">
        <f>if(OR(F60="SALE",F60="REFUNDED"),IFERROR(Vlookup(I60,'Listing SKU - Fill SKU Mapping'!A:C,3,false),"Map"),"")</f>
        <v>Keystone</v>
      </c>
      <c r="BX60" s="65" t="str">
        <f>IF(OR(F60="SALE",F60="REFUNDED")=TRUE,iferror(Vlookup(I60,'Listing SKU - Fill SKU Mapping'!A:B,2,false),"Map"),"")</f>
        <v>IMP100X</v>
      </c>
      <c r="BY60" s="64">
        <f>IF(OR(F60="SALE",F60="REFUNDED")=TRUE,iferror(Vlookup(I60,'Listing SKU - Fill SKU Mapping'!A:D,4,false),"Map"),"")</f>
        <v>62.72</v>
      </c>
      <c r="BZ60" s="66">
        <f t="shared" si="1"/>
        <v>11.5</v>
      </c>
      <c r="CA60" s="66">
        <f t="shared" si="2"/>
        <v>74.22</v>
      </c>
      <c r="CB60" s="66">
        <f t="shared" si="3"/>
        <v>40.15</v>
      </c>
      <c r="CC60" s="65" t="str">
        <f>if(F60="REFUNDED",iferror(Vlookup(I60,'Listing SKU - Fill SKU Mapping'!A:B,2,false),"Map"),"")</f>
        <v/>
      </c>
      <c r="CD60" s="65" t="str">
        <f>if(F60="REFUNDED",iferror(Vlookup(I60,'Listing SKU - Fill SKU Mapping'!A:C,3,false),"Map"),"")</f>
        <v/>
      </c>
      <c r="CE60" s="64" t="str">
        <f t="shared" si="4"/>
        <v>2025</v>
      </c>
      <c r="CF60" s="64" t="str">
        <f t="shared" si="5"/>
        <v>April</v>
      </c>
      <c r="CG60" s="64" t="str">
        <f t="shared" si="6"/>
        <v/>
      </c>
    </row>
    <row r="61">
      <c r="A61" s="55">
        <v>2.00013033131335E14</v>
      </c>
      <c r="B61" s="56">
        <v>1.0</v>
      </c>
      <c r="C61" s="57">
        <v>1.09010479870296E14</v>
      </c>
      <c r="D61" s="58">
        <v>1.0</v>
      </c>
      <c r="F61" s="59" t="s">
        <v>100</v>
      </c>
      <c r="G61" s="60">
        <v>45761.0</v>
      </c>
      <c r="H61" s="58">
        <v>1.0</v>
      </c>
      <c r="I61" s="58" t="s">
        <v>263</v>
      </c>
      <c r="J61" s="61">
        <v>4.60776235301E11</v>
      </c>
      <c r="K61" s="62" t="s">
        <v>264</v>
      </c>
      <c r="L61" s="62">
        <v>2038710.0</v>
      </c>
      <c r="M61" s="63"/>
      <c r="N61" s="63"/>
      <c r="O61" s="62" t="s">
        <v>161</v>
      </c>
      <c r="P61" s="63"/>
      <c r="Q61" s="63"/>
      <c r="R61" s="62" t="s">
        <v>265</v>
      </c>
      <c r="S61" s="62">
        <v>93312.0</v>
      </c>
      <c r="T61" s="58" t="s">
        <v>105</v>
      </c>
      <c r="U61" s="59">
        <v>112.56</v>
      </c>
      <c r="V61" s="59">
        <v>96.7</v>
      </c>
      <c r="W61" s="58">
        <v>7.28</v>
      </c>
      <c r="X61" s="58">
        <v>7.0</v>
      </c>
      <c r="Y61" s="58">
        <v>103.98</v>
      </c>
      <c r="Z61" s="59">
        <v>0.0</v>
      </c>
      <c r="AA61" s="58">
        <v>0.0</v>
      </c>
      <c r="AB61" s="58">
        <v>0.0</v>
      </c>
      <c r="AC61" s="58">
        <v>0.0</v>
      </c>
      <c r="AD61" s="58">
        <v>0.0</v>
      </c>
      <c r="AE61" s="58">
        <v>0.0</v>
      </c>
      <c r="AF61" s="58">
        <v>0.0</v>
      </c>
      <c r="AG61" s="58">
        <v>0.0</v>
      </c>
      <c r="AH61" s="58">
        <v>0.0</v>
      </c>
      <c r="AI61" s="58">
        <v>0.0</v>
      </c>
      <c r="AJ61" s="58">
        <v>0.0</v>
      </c>
      <c r="AK61" s="58">
        <v>0.0</v>
      </c>
      <c r="AL61" s="58">
        <v>0.0</v>
      </c>
      <c r="AM61" s="58">
        <v>0.0</v>
      </c>
      <c r="AN61" s="58">
        <v>0.0</v>
      </c>
      <c r="AO61" s="58">
        <v>8.58</v>
      </c>
      <c r="AP61" s="58">
        <v>0.0</v>
      </c>
      <c r="AQ61" s="58">
        <v>0.0</v>
      </c>
      <c r="AR61" s="58">
        <v>0.0</v>
      </c>
      <c r="AS61" s="58">
        <v>0.0</v>
      </c>
      <c r="AT61" s="58">
        <v>0.0</v>
      </c>
      <c r="AU61" s="58">
        <v>0.0</v>
      </c>
      <c r="AV61" s="58">
        <v>0.0</v>
      </c>
      <c r="AW61" s="58">
        <v>0.0</v>
      </c>
      <c r="AX61" s="58">
        <v>0.0</v>
      </c>
      <c r="AY61" s="58">
        <v>0.0</v>
      </c>
      <c r="AZ61" s="58">
        <v>0.0</v>
      </c>
      <c r="BA61" s="58">
        <v>0.0</v>
      </c>
      <c r="BB61" s="58">
        <v>8.58</v>
      </c>
      <c r="BC61" s="58" t="s">
        <v>106</v>
      </c>
      <c r="BG61" s="58">
        <v>-10.4</v>
      </c>
      <c r="BH61" s="58" t="s">
        <v>107</v>
      </c>
      <c r="BI61" s="58" t="s">
        <v>108</v>
      </c>
      <c r="BJ61" s="58" t="s">
        <v>109</v>
      </c>
      <c r="BK61" s="58" t="s">
        <v>243</v>
      </c>
      <c r="BN61" s="58" t="s">
        <v>111</v>
      </c>
      <c r="BO61" s="58" t="s">
        <v>112</v>
      </c>
      <c r="BP61" s="58" t="s">
        <v>113</v>
      </c>
      <c r="BQ61" s="58" t="s">
        <v>114</v>
      </c>
      <c r="BR61" s="58">
        <v>3.12</v>
      </c>
      <c r="BW61" s="64" t="str">
        <f>if(OR(F61="SALE",F61="REFUNDED"),IFERROR(Vlookup(I61,'Listing SKU - Fill SKU Mapping'!A:C,3,false),"Map"),"")</f>
        <v>Keystone</v>
      </c>
      <c r="BX61" s="65" t="str">
        <f>IF(OR(F61="SALE",F61="REFUNDED")=TRUE,iferror(Vlookup(I61,'Listing SKU - Fill SKU Mapping'!A:B,2,false),"Map"),"")</f>
        <v>IMP80BLK</v>
      </c>
      <c r="BY61" s="64">
        <f>IF(OR(F61="SALE",F61="REFUNDED")=TRUE,iferror(Vlookup(I61,'Listing SKU - Fill SKU Mapping'!A:D,4,false),"Map"),"")</f>
        <v>49.71</v>
      </c>
      <c r="BZ61" s="66">
        <f t="shared" si="1"/>
        <v>11.5</v>
      </c>
      <c r="CA61" s="66">
        <f t="shared" si="2"/>
        <v>61.21</v>
      </c>
      <c r="CB61" s="66">
        <f t="shared" si="3"/>
        <v>35.49</v>
      </c>
      <c r="CC61" s="65" t="str">
        <f>if(F61="REFUNDED",iferror(Vlookup(I61,'Listing SKU - Fill SKU Mapping'!A:B,2,false),"Map"),"")</f>
        <v/>
      </c>
      <c r="CD61" s="65" t="str">
        <f>if(F61="REFUNDED",iferror(Vlookup(I61,'Listing SKU - Fill SKU Mapping'!A:C,3,false),"Map"),"")</f>
        <v/>
      </c>
      <c r="CE61" s="64" t="str">
        <f t="shared" si="4"/>
        <v>2025</v>
      </c>
      <c r="CF61" s="64" t="str">
        <f t="shared" si="5"/>
        <v>April</v>
      </c>
      <c r="CG61" s="64" t="str">
        <f t="shared" si="6"/>
        <v/>
      </c>
    </row>
    <row r="62">
      <c r="A62" s="55">
        <v>2.00012953187165E14</v>
      </c>
      <c r="B62" s="56">
        <v>1.0</v>
      </c>
      <c r="C62" s="57">
        <v>1.090097513449E14</v>
      </c>
      <c r="D62" s="58">
        <v>1.0</v>
      </c>
      <c r="F62" s="59" t="s">
        <v>100</v>
      </c>
      <c r="G62" s="60">
        <v>45754.0</v>
      </c>
      <c r="H62" s="58">
        <v>1.0</v>
      </c>
      <c r="I62" s="58" t="s">
        <v>248</v>
      </c>
      <c r="J62" s="61">
        <v>4.60776231082E11</v>
      </c>
      <c r="K62" s="62" t="s">
        <v>249</v>
      </c>
      <c r="L62" s="62">
        <v>2038710.0</v>
      </c>
      <c r="M62" s="63"/>
      <c r="N62" s="63"/>
      <c r="O62" s="62" t="s">
        <v>232</v>
      </c>
      <c r="P62" s="63"/>
      <c r="Q62" s="63"/>
      <c r="R62" s="62" t="s">
        <v>266</v>
      </c>
      <c r="S62" s="62">
        <v>15106.0</v>
      </c>
      <c r="T62" s="58" t="s">
        <v>105</v>
      </c>
      <c r="U62" s="59">
        <v>129.3</v>
      </c>
      <c r="V62" s="59">
        <v>109.78</v>
      </c>
      <c r="W62" s="58">
        <v>12.2</v>
      </c>
      <c r="X62" s="58">
        <v>10.0</v>
      </c>
      <c r="Y62" s="58">
        <v>121.98</v>
      </c>
      <c r="Z62" s="59">
        <v>0.0</v>
      </c>
      <c r="AA62" s="58">
        <v>0.0</v>
      </c>
      <c r="AB62" s="58">
        <v>0.0</v>
      </c>
      <c r="AC62" s="58">
        <v>0.0</v>
      </c>
      <c r="AD62" s="58">
        <v>0.0</v>
      </c>
      <c r="AE62" s="58">
        <v>0.0</v>
      </c>
      <c r="AF62" s="58">
        <v>0.0</v>
      </c>
      <c r="AG62" s="58">
        <v>0.0</v>
      </c>
      <c r="AH62" s="58">
        <v>0.0</v>
      </c>
      <c r="AI62" s="58">
        <v>0.0</v>
      </c>
      <c r="AJ62" s="58">
        <v>0.0</v>
      </c>
      <c r="AK62" s="58">
        <v>0.0</v>
      </c>
      <c r="AL62" s="58">
        <v>0.0</v>
      </c>
      <c r="AM62" s="58">
        <v>0.0</v>
      </c>
      <c r="AN62" s="58">
        <v>0.0</v>
      </c>
      <c r="AO62" s="58">
        <v>7.32</v>
      </c>
      <c r="AP62" s="58">
        <v>0.0</v>
      </c>
      <c r="AQ62" s="58">
        <v>0.0</v>
      </c>
      <c r="AR62" s="58">
        <v>0.0</v>
      </c>
      <c r="AS62" s="58">
        <v>0.0</v>
      </c>
      <c r="AT62" s="58">
        <v>0.0</v>
      </c>
      <c r="AU62" s="58">
        <v>0.0</v>
      </c>
      <c r="AV62" s="58">
        <v>0.0</v>
      </c>
      <c r="AW62" s="58">
        <v>0.0</v>
      </c>
      <c r="AX62" s="58">
        <v>0.0</v>
      </c>
      <c r="AY62" s="58">
        <v>0.0</v>
      </c>
      <c r="AZ62" s="58">
        <v>0.0</v>
      </c>
      <c r="BA62" s="58">
        <v>0.0</v>
      </c>
      <c r="BB62" s="58">
        <v>7.32</v>
      </c>
      <c r="BC62" s="58" t="s">
        <v>106</v>
      </c>
      <c r="BG62" s="58">
        <v>-12.2</v>
      </c>
      <c r="BH62" s="58" t="s">
        <v>107</v>
      </c>
      <c r="BI62" s="58" t="s">
        <v>108</v>
      </c>
      <c r="BJ62" s="58" t="s">
        <v>109</v>
      </c>
      <c r="BK62" s="58" t="s">
        <v>267</v>
      </c>
      <c r="BN62" s="58" t="s">
        <v>111</v>
      </c>
      <c r="BO62" s="58" t="s">
        <v>112</v>
      </c>
      <c r="BP62" s="58" t="s">
        <v>113</v>
      </c>
      <c r="BR62" s="58">
        <v>0.0</v>
      </c>
      <c r="BW62" s="64" t="str">
        <f>if(OR(F62="SALE",F62="REFUNDED"),IFERROR(Vlookup(I62,'Listing SKU - Fill SKU Mapping'!A:C,3,false),"Map"),"")</f>
        <v>Keystone</v>
      </c>
      <c r="BX62" s="65" t="str">
        <f>IF(OR(F62="SALE",F62="REFUNDED")=TRUE,iferror(Vlookup(I62,'Listing SKU - Fill SKU Mapping'!A:B,2,false),"Map"),"")</f>
        <v>IMP401BLK</v>
      </c>
      <c r="BY62" s="64">
        <f>IF(OR(F62="SALE",F62="REFUNDED")=TRUE,iferror(Vlookup(I62,'Listing SKU - Fill SKU Mapping'!A:D,4,false),"Map"),"")</f>
        <v>62.33</v>
      </c>
      <c r="BZ62" s="66">
        <f t="shared" si="1"/>
        <v>11.5</v>
      </c>
      <c r="CA62" s="66">
        <f t="shared" si="2"/>
        <v>73.83</v>
      </c>
      <c r="CB62" s="66">
        <f t="shared" si="3"/>
        <v>35.95</v>
      </c>
      <c r="CC62" s="65" t="str">
        <f>if(F62="REFUNDED",iferror(Vlookup(I62,'Listing SKU - Fill SKU Mapping'!A:B,2,false),"Map"),"")</f>
        <v/>
      </c>
      <c r="CD62" s="65" t="str">
        <f>if(F62="REFUNDED",iferror(Vlookup(I62,'Listing SKU - Fill SKU Mapping'!A:C,3,false),"Map"),"")</f>
        <v/>
      </c>
      <c r="CE62" s="64" t="str">
        <f t="shared" si="4"/>
        <v>2025</v>
      </c>
      <c r="CF62" s="64" t="str">
        <f t="shared" si="5"/>
        <v>April</v>
      </c>
      <c r="CG62" s="64" t="str">
        <f t="shared" si="6"/>
        <v/>
      </c>
    </row>
    <row r="63">
      <c r="A63" s="55">
        <v>2.00012952028357E14</v>
      </c>
      <c r="B63" s="56">
        <v>1.0</v>
      </c>
      <c r="C63" s="57">
        <v>1.09009544362781E14</v>
      </c>
      <c r="D63" s="58">
        <v>1.0</v>
      </c>
      <c r="F63" s="59" t="s">
        <v>100</v>
      </c>
      <c r="G63" s="60">
        <v>45754.0</v>
      </c>
      <c r="H63" s="58">
        <v>1.0</v>
      </c>
      <c r="I63" s="58" t="s">
        <v>268</v>
      </c>
      <c r="J63" s="61">
        <v>4.60776236087E11</v>
      </c>
      <c r="K63" s="62" t="s">
        <v>269</v>
      </c>
      <c r="L63" s="62">
        <v>2038710.0</v>
      </c>
      <c r="M63" s="63"/>
      <c r="N63" s="63"/>
      <c r="O63" s="62" t="s">
        <v>270</v>
      </c>
      <c r="P63" s="63"/>
      <c r="Q63" s="63"/>
      <c r="R63" s="62" t="s">
        <v>271</v>
      </c>
      <c r="S63" s="62">
        <v>52807.0</v>
      </c>
      <c r="T63" s="58" t="s">
        <v>105</v>
      </c>
      <c r="U63" s="59">
        <v>117.68</v>
      </c>
      <c r="V63" s="59">
        <v>98.98</v>
      </c>
      <c r="W63" s="58">
        <v>11.0</v>
      </c>
      <c r="X63" s="58">
        <v>10.0</v>
      </c>
      <c r="Y63" s="58">
        <v>109.98</v>
      </c>
      <c r="Z63" s="59">
        <v>0.0</v>
      </c>
      <c r="AA63" s="58">
        <v>0.0</v>
      </c>
      <c r="AB63" s="58">
        <v>0.0</v>
      </c>
      <c r="AC63" s="58">
        <v>0.0</v>
      </c>
      <c r="AD63" s="58">
        <v>0.0</v>
      </c>
      <c r="AE63" s="58">
        <v>0.0</v>
      </c>
      <c r="AF63" s="58">
        <v>0.0</v>
      </c>
      <c r="AG63" s="58">
        <v>0.0</v>
      </c>
      <c r="AH63" s="58">
        <v>0.0</v>
      </c>
      <c r="AI63" s="58">
        <v>0.0</v>
      </c>
      <c r="AJ63" s="58">
        <v>0.0</v>
      </c>
      <c r="AK63" s="58">
        <v>0.0</v>
      </c>
      <c r="AL63" s="58">
        <v>0.0</v>
      </c>
      <c r="AM63" s="58">
        <v>0.0</v>
      </c>
      <c r="AN63" s="58">
        <v>0.0</v>
      </c>
      <c r="AO63" s="58">
        <v>7.7</v>
      </c>
      <c r="AP63" s="58">
        <v>0.0</v>
      </c>
      <c r="AQ63" s="58">
        <v>0.0</v>
      </c>
      <c r="AR63" s="58">
        <v>0.0</v>
      </c>
      <c r="AS63" s="58">
        <v>0.0</v>
      </c>
      <c r="AT63" s="58">
        <v>0.0</v>
      </c>
      <c r="AU63" s="58">
        <v>0.0</v>
      </c>
      <c r="AV63" s="58">
        <v>0.0</v>
      </c>
      <c r="AW63" s="58">
        <v>0.0</v>
      </c>
      <c r="AX63" s="58">
        <v>0.0</v>
      </c>
      <c r="AY63" s="58">
        <v>0.0</v>
      </c>
      <c r="AZ63" s="58">
        <v>0.0</v>
      </c>
      <c r="BA63" s="58">
        <v>0.0</v>
      </c>
      <c r="BB63" s="58">
        <v>7.7</v>
      </c>
      <c r="BC63" s="58" t="s">
        <v>106</v>
      </c>
      <c r="BG63" s="58">
        <v>-11.0</v>
      </c>
      <c r="BH63" s="58" t="s">
        <v>107</v>
      </c>
      <c r="BI63" s="58" t="s">
        <v>108</v>
      </c>
      <c r="BJ63" s="58" t="s">
        <v>109</v>
      </c>
      <c r="BK63" s="58" t="s">
        <v>267</v>
      </c>
      <c r="BN63" s="58" t="s">
        <v>111</v>
      </c>
      <c r="BO63" s="58" t="s">
        <v>112</v>
      </c>
      <c r="BP63" s="58" t="s">
        <v>113</v>
      </c>
      <c r="BR63" s="58">
        <v>0.0</v>
      </c>
      <c r="BW63" s="64" t="str">
        <f>if(OR(F63="SALE",F63="REFUNDED"),IFERROR(Vlookup(I63,'Listing SKU - Fill SKU Mapping'!A:C,3,false),"Map"),"")</f>
        <v>Keystone</v>
      </c>
      <c r="BX63" s="65" t="str">
        <f>IF(OR(F63="SALE",F63="REFUNDED")=TRUE,iferror(Vlookup(I63,'Listing SKU - Fill SKU Mapping'!A:B,2,false),"Map"),"")</f>
        <v>IMP412XN</v>
      </c>
      <c r="BY63" s="64">
        <f>IF(OR(F63="SALE",F63="REFUNDED")=TRUE,iferror(Vlookup(I63,'Listing SKU - Fill SKU Mapping'!A:D,4,false),"Map"),"")</f>
        <v>53.65</v>
      </c>
      <c r="BZ63" s="66">
        <f t="shared" si="1"/>
        <v>11.5</v>
      </c>
      <c r="CA63" s="66">
        <f t="shared" si="2"/>
        <v>65.15</v>
      </c>
      <c r="CB63" s="66">
        <f t="shared" si="3"/>
        <v>33.83</v>
      </c>
      <c r="CC63" s="65" t="str">
        <f>if(F63="REFUNDED",iferror(Vlookup(I63,'Listing SKU - Fill SKU Mapping'!A:B,2,false),"Map"),"")</f>
        <v/>
      </c>
      <c r="CD63" s="65" t="str">
        <f>if(F63="REFUNDED",iferror(Vlookup(I63,'Listing SKU - Fill SKU Mapping'!A:C,3,false),"Map"),"")</f>
        <v/>
      </c>
      <c r="CE63" s="64" t="str">
        <f t="shared" si="4"/>
        <v>2025</v>
      </c>
      <c r="CF63" s="64" t="str">
        <f t="shared" si="5"/>
        <v>April</v>
      </c>
      <c r="CG63" s="64" t="str">
        <f t="shared" si="6"/>
        <v/>
      </c>
    </row>
    <row r="64">
      <c r="A64" s="55">
        <v>2.00012934607014E14</v>
      </c>
      <c r="B64" s="56">
        <v>1.0</v>
      </c>
      <c r="C64" s="57">
        <v>1.09010168324919E14</v>
      </c>
      <c r="D64" s="58">
        <v>1.0</v>
      </c>
      <c r="F64" s="59" t="s">
        <v>100</v>
      </c>
      <c r="G64" s="60">
        <v>45757.0</v>
      </c>
      <c r="H64" s="58">
        <v>1.0</v>
      </c>
      <c r="I64" s="58" t="s">
        <v>176</v>
      </c>
      <c r="J64" s="61">
        <v>4.60776230283E11</v>
      </c>
      <c r="K64" s="62" t="s">
        <v>177</v>
      </c>
      <c r="L64" s="62">
        <v>2038710.0</v>
      </c>
      <c r="M64" s="63"/>
      <c r="N64" s="63"/>
      <c r="O64" s="62" t="s">
        <v>166</v>
      </c>
      <c r="P64" s="63"/>
      <c r="Q64" s="63"/>
      <c r="R64" s="62" t="s">
        <v>178</v>
      </c>
      <c r="S64" s="62">
        <v>24013.0</v>
      </c>
      <c r="T64" s="58" t="s">
        <v>105</v>
      </c>
      <c r="U64" s="59">
        <v>91.59</v>
      </c>
      <c r="V64" s="59">
        <v>80.89</v>
      </c>
      <c r="W64" s="58">
        <v>6.09</v>
      </c>
      <c r="X64" s="58">
        <v>7.0</v>
      </c>
      <c r="Y64" s="58">
        <v>86.98</v>
      </c>
      <c r="Z64" s="59">
        <v>0.0</v>
      </c>
      <c r="AA64" s="58">
        <v>0.0</v>
      </c>
      <c r="AB64" s="58">
        <v>0.0</v>
      </c>
      <c r="AC64" s="58">
        <v>0.0</v>
      </c>
      <c r="AD64" s="58">
        <v>0.0</v>
      </c>
      <c r="AE64" s="58">
        <v>0.0</v>
      </c>
      <c r="AF64" s="58">
        <v>0.0</v>
      </c>
      <c r="AG64" s="58">
        <v>0.0</v>
      </c>
      <c r="AH64" s="58">
        <v>0.0</v>
      </c>
      <c r="AI64" s="58">
        <v>0.0</v>
      </c>
      <c r="AJ64" s="58">
        <v>0.0</v>
      </c>
      <c r="AK64" s="58">
        <v>0.0</v>
      </c>
      <c r="AL64" s="58">
        <v>0.0</v>
      </c>
      <c r="AM64" s="58">
        <v>0.0</v>
      </c>
      <c r="AN64" s="58">
        <v>0.0</v>
      </c>
      <c r="AO64" s="58">
        <v>4.61</v>
      </c>
      <c r="AP64" s="58">
        <v>0.0</v>
      </c>
      <c r="AQ64" s="58">
        <v>0.0</v>
      </c>
      <c r="AR64" s="58">
        <v>0.0</v>
      </c>
      <c r="AS64" s="58">
        <v>0.0</v>
      </c>
      <c r="AT64" s="58">
        <v>0.0</v>
      </c>
      <c r="AU64" s="58">
        <v>0.0</v>
      </c>
      <c r="AV64" s="58">
        <v>0.0</v>
      </c>
      <c r="AW64" s="58">
        <v>0.0</v>
      </c>
      <c r="AX64" s="58">
        <v>0.0</v>
      </c>
      <c r="AY64" s="58">
        <v>0.0</v>
      </c>
      <c r="AZ64" s="58">
        <v>0.0</v>
      </c>
      <c r="BA64" s="58">
        <v>0.0</v>
      </c>
      <c r="BB64" s="58">
        <v>4.61</v>
      </c>
      <c r="BC64" s="58" t="s">
        <v>106</v>
      </c>
      <c r="BG64" s="58">
        <v>-8.7</v>
      </c>
      <c r="BH64" s="58" t="s">
        <v>107</v>
      </c>
      <c r="BI64" s="58" t="s">
        <v>108</v>
      </c>
      <c r="BJ64" s="58" t="s">
        <v>109</v>
      </c>
      <c r="BK64" s="58" t="s">
        <v>251</v>
      </c>
      <c r="BN64" s="58" t="s">
        <v>111</v>
      </c>
      <c r="BO64" s="58" t="s">
        <v>112</v>
      </c>
      <c r="BP64" s="58" t="s">
        <v>113</v>
      </c>
      <c r="BQ64" s="58" t="s">
        <v>114</v>
      </c>
      <c r="BR64" s="58">
        <v>2.61</v>
      </c>
      <c r="BW64" s="64" t="str">
        <f>if(OR(F64="SALE",F64="REFUNDED"),IFERROR(Vlookup(I64,'Listing SKU - Fill SKU Mapping'!A:C,3,false),"Map"),"")</f>
        <v>Keystone</v>
      </c>
      <c r="BX64" s="65" t="str">
        <f>IF(OR(F64="SALE",F64="REFUNDED")=TRUE,iferror(Vlookup(I64,'Listing SKU - Fill SKU Mapping'!A:B,2,false),"Map"),"")</f>
        <v>IMP447CC</v>
      </c>
      <c r="BY64" s="64">
        <f>IF(OR(F64="SALE",F64="REFUNDED")=TRUE,iferror(Vlookup(I64,'Listing SKU - Fill SKU Mapping'!A:D,4,false),"Map"),"")</f>
        <v>67.46</v>
      </c>
      <c r="BZ64" s="66">
        <f t="shared" si="1"/>
        <v>11.5</v>
      </c>
      <c r="CA64" s="66">
        <f t="shared" si="2"/>
        <v>78.96</v>
      </c>
      <c r="CB64" s="66">
        <f t="shared" si="3"/>
        <v>1.93</v>
      </c>
      <c r="CC64" s="65" t="str">
        <f>if(F64="REFUNDED",iferror(Vlookup(I64,'Listing SKU - Fill SKU Mapping'!A:B,2,false),"Map"),"")</f>
        <v/>
      </c>
      <c r="CD64" s="65" t="str">
        <f>if(F64="REFUNDED",iferror(Vlookup(I64,'Listing SKU - Fill SKU Mapping'!A:C,3,false),"Map"),"")</f>
        <v/>
      </c>
      <c r="CE64" s="64" t="str">
        <f t="shared" si="4"/>
        <v>2025</v>
      </c>
      <c r="CF64" s="64" t="str">
        <f t="shared" si="5"/>
        <v>April</v>
      </c>
      <c r="CG64" s="64" t="str">
        <f t="shared" si="6"/>
        <v/>
      </c>
    </row>
    <row r="65">
      <c r="A65" s="55">
        <v>2.00012922778232E14</v>
      </c>
      <c r="B65" s="56">
        <v>1.0</v>
      </c>
      <c r="C65" s="57">
        <v>1.0901016623411E14</v>
      </c>
      <c r="D65" s="58">
        <v>1.0</v>
      </c>
      <c r="F65" s="59" t="s">
        <v>100</v>
      </c>
      <c r="G65" s="60">
        <v>45757.0</v>
      </c>
      <c r="H65" s="58">
        <v>1.0</v>
      </c>
      <c r="I65" s="58" t="s">
        <v>272</v>
      </c>
      <c r="J65" s="61">
        <v>4.60776236261E11</v>
      </c>
      <c r="K65" s="62" t="s">
        <v>273</v>
      </c>
      <c r="L65" s="62">
        <v>2038710.0</v>
      </c>
      <c r="M65" s="63"/>
      <c r="N65" s="63"/>
      <c r="O65" s="62" t="s">
        <v>274</v>
      </c>
      <c r="P65" s="63"/>
      <c r="Q65" s="63"/>
      <c r="R65" s="62" t="s">
        <v>275</v>
      </c>
      <c r="S65" s="62">
        <v>63123.0</v>
      </c>
      <c r="T65" s="58" t="s">
        <v>105</v>
      </c>
      <c r="U65" s="59">
        <v>101.08</v>
      </c>
      <c r="V65" s="59">
        <v>90.19</v>
      </c>
      <c r="W65" s="58">
        <v>6.79</v>
      </c>
      <c r="X65" s="58">
        <v>7.0</v>
      </c>
      <c r="Y65" s="58">
        <v>96.98</v>
      </c>
      <c r="Z65" s="59">
        <v>0.0</v>
      </c>
      <c r="AA65" s="58">
        <v>0.0</v>
      </c>
      <c r="AB65" s="58">
        <v>0.0</v>
      </c>
      <c r="AC65" s="58">
        <v>0.0</v>
      </c>
      <c r="AD65" s="58">
        <v>0.0</v>
      </c>
      <c r="AE65" s="58">
        <v>0.0</v>
      </c>
      <c r="AF65" s="58">
        <v>0.0</v>
      </c>
      <c r="AG65" s="58">
        <v>0.0</v>
      </c>
      <c r="AH65" s="58">
        <v>0.0</v>
      </c>
      <c r="AI65" s="58">
        <v>0.0</v>
      </c>
      <c r="AJ65" s="58">
        <v>0.0</v>
      </c>
      <c r="AK65" s="58">
        <v>0.0</v>
      </c>
      <c r="AL65" s="58">
        <v>0.0</v>
      </c>
      <c r="AM65" s="58">
        <v>0.0</v>
      </c>
      <c r="AN65" s="58">
        <v>0.0</v>
      </c>
      <c r="AO65" s="58">
        <v>4.1</v>
      </c>
      <c r="AP65" s="58">
        <v>0.0</v>
      </c>
      <c r="AQ65" s="58">
        <v>0.0</v>
      </c>
      <c r="AR65" s="58">
        <v>0.0</v>
      </c>
      <c r="AS65" s="58">
        <v>0.0</v>
      </c>
      <c r="AT65" s="58">
        <v>0.0</v>
      </c>
      <c r="AU65" s="58">
        <v>0.0</v>
      </c>
      <c r="AV65" s="58">
        <v>0.0</v>
      </c>
      <c r="AW65" s="58">
        <v>0.0</v>
      </c>
      <c r="AX65" s="58">
        <v>0.0</v>
      </c>
      <c r="AY65" s="58">
        <v>0.0</v>
      </c>
      <c r="AZ65" s="58">
        <v>0.0</v>
      </c>
      <c r="BA65" s="58">
        <v>0.0</v>
      </c>
      <c r="BB65" s="58">
        <v>4.1</v>
      </c>
      <c r="BC65" s="58" t="s">
        <v>106</v>
      </c>
      <c r="BG65" s="58">
        <v>-9.7</v>
      </c>
      <c r="BH65" s="58" t="s">
        <v>107</v>
      </c>
      <c r="BI65" s="58" t="s">
        <v>108</v>
      </c>
      <c r="BJ65" s="58" t="s">
        <v>109</v>
      </c>
      <c r="BK65" s="58" t="s">
        <v>251</v>
      </c>
      <c r="BN65" s="58" t="s">
        <v>111</v>
      </c>
      <c r="BO65" s="58" t="s">
        <v>112</v>
      </c>
      <c r="BP65" s="58" t="s">
        <v>113</v>
      </c>
      <c r="BQ65" s="58" t="s">
        <v>114</v>
      </c>
      <c r="BR65" s="58">
        <v>2.91</v>
      </c>
      <c r="BW65" s="64" t="str">
        <f>if(OR(F65="SALE",F65="REFUNDED"),IFERROR(Vlookup(I65,'Listing SKU - Fill SKU Mapping'!A:C,3,false),"Map"),"")</f>
        <v>Keystone</v>
      </c>
      <c r="BX65" s="65" t="str">
        <f>IF(OR(F65="SALE",F65="REFUNDED")=TRUE,iferror(Vlookup(I65,'Listing SKU - Fill SKU Mapping'!A:B,2,false),"Map"),"")</f>
        <v>IMP456BLK</v>
      </c>
      <c r="BY65" s="64">
        <f>IF(OR(F65="SALE",F65="REFUNDED")=TRUE,iferror(Vlookup(I65,'Listing SKU - Fill SKU Mapping'!A:D,4,false),"Map"),"")</f>
        <v>44.97</v>
      </c>
      <c r="BZ65" s="66">
        <f t="shared" si="1"/>
        <v>11.5</v>
      </c>
      <c r="CA65" s="66">
        <f t="shared" si="2"/>
        <v>56.47</v>
      </c>
      <c r="CB65" s="66">
        <f t="shared" si="3"/>
        <v>33.72</v>
      </c>
      <c r="CC65" s="65" t="str">
        <f>if(F65="REFUNDED",iferror(Vlookup(I65,'Listing SKU - Fill SKU Mapping'!A:B,2,false),"Map"),"")</f>
        <v/>
      </c>
      <c r="CD65" s="65" t="str">
        <f>if(F65="REFUNDED",iferror(Vlookup(I65,'Listing SKU - Fill SKU Mapping'!A:C,3,false),"Map"),"")</f>
        <v/>
      </c>
      <c r="CE65" s="64" t="str">
        <f t="shared" si="4"/>
        <v>2025</v>
      </c>
      <c r="CF65" s="64" t="str">
        <f t="shared" si="5"/>
        <v>April</v>
      </c>
      <c r="CG65" s="64" t="str">
        <f t="shared" si="6"/>
        <v/>
      </c>
    </row>
    <row r="66">
      <c r="A66" s="55">
        <v>2.00012893572614E14</v>
      </c>
      <c r="B66" s="56">
        <v>1.0</v>
      </c>
      <c r="C66" s="57">
        <v>1.09008493702855E14</v>
      </c>
      <c r="D66" s="58">
        <v>1.0</v>
      </c>
      <c r="F66" s="59" t="s">
        <v>100</v>
      </c>
      <c r="G66" s="60">
        <v>45741.0</v>
      </c>
      <c r="H66" s="58">
        <v>1.0</v>
      </c>
      <c r="I66" s="58" t="s">
        <v>213</v>
      </c>
      <c r="J66" s="61">
        <v>4.60776230832E11</v>
      </c>
      <c r="K66" s="62" t="s">
        <v>214</v>
      </c>
      <c r="L66" s="62">
        <v>2038710.0</v>
      </c>
      <c r="M66" s="63"/>
      <c r="N66" s="63"/>
      <c r="O66" s="62" t="s">
        <v>237</v>
      </c>
      <c r="P66" s="63"/>
      <c r="Q66" s="63"/>
      <c r="R66" s="62" t="s">
        <v>238</v>
      </c>
      <c r="S66" s="62">
        <v>29527.0</v>
      </c>
      <c r="T66" s="58" t="s">
        <v>105</v>
      </c>
      <c r="U66" s="59">
        <v>112.3</v>
      </c>
      <c r="V66" s="59">
        <v>96.7</v>
      </c>
      <c r="W66" s="58">
        <v>7.28</v>
      </c>
      <c r="X66" s="58">
        <v>7.0</v>
      </c>
      <c r="Y66" s="58">
        <v>103.98</v>
      </c>
      <c r="Z66" s="59">
        <v>0.0</v>
      </c>
      <c r="AA66" s="58">
        <v>0.0</v>
      </c>
      <c r="AB66" s="58">
        <v>0.0</v>
      </c>
      <c r="AC66" s="58">
        <v>0.0</v>
      </c>
      <c r="AD66" s="58">
        <v>0.0</v>
      </c>
      <c r="AE66" s="58">
        <v>0.0</v>
      </c>
      <c r="AF66" s="58">
        <v>0.0</v>
      </c>
      <c r="AG66" s="58">
        <v>0.0</v>
      </c>
      <c r="AH66" s="58">
        <v>0.0</v>
      </c>
      <c r="AI66" s="58">
        <v>0.0</v>
      </c>
      <c r="AJ66" s="58">
        <v>0.0</v>
      </c>
      <c r="AK66" s="58">
        <v>0.0</v>
      </c>
      <c r="AL66" s="58">
        <v>0.0</v>
      </c>
      <c r="AM66" s="58">
        <v>0.0</v>
      </c>
      <c r="AN66" s="58">
        <v>0.0</v>
      </c>
      <c r="AO66" s="58">
        <v>8.32</v>
      </c>
      <c r="AP66" s="58">
        <v>0.0</v>
      </c>
      <c r="AQ66" s="58">
        <v>0.0</v>
      </c>
      <c r="AR66" s="58">
        <v>0.0</v>
      </c>
      <c r="AS66" s="58">
        <v>0.0</v>
      </c>
      <c r="AT66" s="58">
        <v>0.0</v>
      </c>
      <c r="AU66" s="58">
        <v>0.0</v>
      </c>
      <c r="AV66" s="58">
        <v>0.0</v>
      </c>
      <c r="AW66" s="58">
        <v>0.0</v>
      </c>
      <c r="AX66" s="58">
        <v>0.0</v>
      </c>
      <c r="AY66" s="58">
        <v>0.0</v>
      </c>
      <c r="AZ66" s="58">
        <v>0.0</v>
      </c>
      <c r="BA66" s="58">
        <v>0.0</v>
      </c>
      <c r="BB66" s="58">
        <v>8.32</v>
      </c>
      <c r="BC66" s="58" t="s">
        <v>106</v>
      </c>
      <c r="BG66" s="58">
        <v>-10.4</v>
      </c>
      <c r="BH66" s="58" t="s">
        <v>107</v>
      </c>
      <c r="BI66" s="58" t="s">
        <v>108</v>
      </c>
      <c r="BJ66" s="58" t="s">
        <v>109</v>
      </c>
      <c r="BK66" s="58" t="s">
        <v>247</v>
      </c>
      <c r="BN66" s="58" t="s">
        <v>111</v>
      </c>
      <c r="BO66" s="58" t="s">
        <v>112</v>
      </c>
      <c r="BP66" s="58" t="s">
        <v>113</v>
      </c>
      <c r="BQ66" s="58" t="s">
        <v>114</v>
      </c>
      <c r="BR66" s="58">
        <v>3.12</v>
      </c>
      <c r="BW66" s="64" t="str">
        <f>if(OR(F66="SALE",F66="REFUNDED"),IFERROR(Vlookup(I66,'Listing SKU - Fill SKU Mapping'!A:C,3,false),"Map"),"")</f>
        <v>Keystone</v>
      </c>
      <c r="BX66" s="65" t="str">
        <f>IF(OR(F66="SALE",F66="REFUNDED")=TRUE,iferror(Vlookup(I66,'Listing SKU - Fill SKU Mapping'!A:B,2,false),"Map"),"")</f>
        <v>IMP407BLK</v>
      </c>
      <c r="BY66" s="64">
        <f>IF(OR(F66="SALE",F66="REFUNDED")=TRUE,iferror(Vlookup(I66,'Listing SKU - Fill SKU Mapping'!A:D,4,false),"Map"),"")</f>
        <v>49.71</v>
      </c>
      <c r="BZ66" s="66">
        <f t="shared" si="1"/>
        <v>11.5</v>
      </c>
      <c r="CA66" s="66">
        <f t="shared" si="2"/>
        <v>61.21</v>
      </c>
      <c r="CB66" s="66">
        <f t="shared" si="3"/>
        <v>35.49</v>
      </c>
      <c r="CC66" s="65" t="str">
        <f>if(F66="REFUNDED",iferror(Vlookup(I66,'Listing SKU - Fill SKU Mapping'!A:B,2,false),"Map"),"")</f>
        <v/>
      </c>
      <c r="CD66" s="65" t="str">
        <f>if(F66="REFUNDED",iferror(Vlookup(I66,'Listing SKU - Fill SKU Mapping'!A:C,3,false),"Map"),"")</f>
        <v/>
      </c>
      <c r="CE66" s="64" t="str">
        <f t="shared" si="4"/>
        <v>2025</v>
      </c>
      <c r="CF66" s="64" t="str">
        <f t="shared" si="5"/>
        <v>March</v>
      </c>
      <c r="CG66" s="64" t="str">
        <f t="shared" si="6"/>
        <v/>
      </c>
    </row>
    <row r="67">
      <c r="A67" s="55">
        <v>2.00012893572614E14</v>
      </c>
      <c r="B67" s="56">
        <v>1.0</v>
      </c>
      <c r="C67" s="57">
        <v>1.09008493702855E14</v>
      </c>
      <c r="D67" s="58">
        <v>1.0</v>
      </c>
      <c r="F67" s="59" t="s">
        <v>128</v>
      </c>
      <c r="G67" s="60">
        <v>45743.0</v>
      </c>
      <c r="H67" s="58">
        <v>1.0</v>
      </c>
      <c r="I67" s="58" t="s">
        <v>213</v>
      </c>
      <c r="J67" s="61">
        <v>4.60776230832E11</v>
      </c>
      <c r="K67" s="62" t="s">
        <v>214</v>
      </c>
      <c r="L67" s="62">
        <v>2038710.0</v>
      </c>
      <c r="M67" s="63"/>
      <c r="N67" s="63"/>
      <c r="O67" s="63"/>
      <c r="P67" s="63"/>
      <c r="Q67" s="63"/>
      <c r="R67" s="62" t="s">
        <v>238</v>
      </c>
      <c r="S67" s="62">
        <v>29527.0</v>
      </c>
      <c r="U67" s="59">
        <v>-112.3</v>
      </c>
      <c r="V67" s="59">
        <v>-96.7</v>
      </c>
      <c r="W67" s="58">
        <v>-7.28</v>
      </c>
      <c r="X67" s="58">
        <v>0.0</v>
      </c>
      <c r="Y67" s="58">
        <v>0.0</v>
      </c>
      <c r="Z67" s="59">
        <v>-103.98</v>
      </c>
      <c r="AA67" s="58">
        <v>0.0</v>
      </c>
      <c r="AB67" s="58">
        <v>0.0</v>
      </c>
      <c r="AC67" s="58">
        <v>0.0</v>
      </c>
      <c r="AD67" s="58">
        <v>0.0</v>
      </c>
      <c r="AE67" s="58">
        <v>0.0</v>
      </c>
      <c r="AF67" s="58">
        <v>0.0</v>
      </c>
      <c r="AG67" s="58">
        <v>0.0</v>
      </c>
      <c r="AH67" s="58">
        <v>0.0</v>
      </c>
      <c r="AI67" s="58">
        <v>0.0</v>
      </c>
      <c r="AJ67" s="58">
        <v>0.0</v>
      </c>
      <c r="AK67" s="58">
        <v>0.0</v>
      </c>
      <c r="AL67" s="58">
        <v>0.0</v>
      </c>
      <c r="AM67" s="58">
        <v>0.0</v>
      </c>
      <c r="AN67" s="58">
        <v>0.0</v>
      </c>
      <c r="AO67" s="58">
        <v>0.0</v>
      </c>
      <c r="AP67" s="58">
        <v>0.0</v>
      </c>
      <c r="AQ67" s="58">
        <v>0.0</v>
      </c>
      <c r="AR67" s="58">
        <v>0.0</v>
      </c>
      <c r="AS67" s="58">
        <v>0.0</v>
      </c>
      <c r="AT67" s="58">
        <v>-8.32</v>
      </c>
      <c r="AU67" s="58">
        <v>0.0</v>
      </c>
      <c r="AV67" s="58">
        <v>0.0</v>
      </c>
      <c r="AW67" s="58">
        <v>0.0</v>
      </c>
      <c r="AX67" s="58">
        <v>0.0</v>
      </c>
      <c r="AY67" s="58">
        <v>0.0</v>
      </c>
      <c r="AZ67" s="58">
        <v>0.0</v>
      </c>
      <c r="BA67" s="58">
        <v>0.0</v>
      </c>
      <c r="BB67" s="58">
        <v>-8.32</v>
      </c>
      <c r="BC67" s="58" t="s">
        <v>106</v>
      </c>
      <c r="BD67" s="58" t="s">
        <v>156</v>
      </c>
      <c r="BE67" s="58">
        <v>5010.0</v>
      </c>
      <c r="BH67" s="58" t="s">
        <v>107</v>
      </c>
      <c r="BI67" s="58" t="s">
        <v>108</v>
      </c>
      <c r="BL67" s="58">
        <v>1000.0</v>
      </c>
      <c r="BM67" s="58" t="s">
        <v>130</v>
      </c>
      <c r="BN67" s="58" t="s">
        <v>111</v>
      </c>
      <c r="BO67" s="58" t="s">
        <v>112</v>
      </c>
      <c r="BW67" s="64" t="str">
        <f>if(OR(F67="SALE",F67="REFUNDED"),IFERROR(Vlookup(I67,'Listing SKU - Fill SKU Mapping'!A:C,3,false),"Map"),"")</f>
        <v>Keystone</v>
      </c>
      <c r="BX67" s="65" t="str">
        <f>IF(OR(F67="SALE",F67="REFUNDED")=TRUE,iferror(Vlookup(I67,'Listing SKU - Fill SKU Mapping'!A:B,2,false),"Map"),"")</f>
        <v>IMP407BLK</v>
      </c>
      <c r="BY67" s="64">
        <f>IF(OR(F67="SALE",F67="REFUNDED")=TRUE,iferror(Vlookup(I67,'Listing SKU - Fill SKU Mapping'!A:D,4,false),"Map"),"")</f>
        <v>49.71</v>
      </c>
      <c r="BZ67" s="66">
        <f t="shared" si="1"/>
        <v>11.5</v>
      </c>
      <c r="CA67" s="66">
        <f t="shared" si="2"/>
        <v>61.21</v>
      </c>
      <c r="CB67" s="64" t="str">
        <f t="shared" si="3"/>
        <v/>
      </c>
      <c r="CC67" s="65" t="str">
        <f>if(F67="REFUNDED",iferror(Vlookup(I67,'Listing SKU - Fill SKU Mapping'!A:B,2,false),"Map"),"")</f>
        <v>IMP407BLK</v>
      </c>
      <c r="CD67" s="65" t="str">
        <f>if(F67="REFUNDED",iferror(Vlookup(I67,'Listing SKU - Fill SKU Mapping'!A:C,3,false),"Map"),"")</f>
        <v>Keystone</v>
      </c>
      <c r="CE67" s="64" t="str">
        <f t="shared" si="4"/>
        <v>2025</v>
      </c>
      <c r="CF67" s="64" t="str">
        <f t="shared" si="5"/>
        <v>March</v>
      </c>
      <c r="CG67" s="64" t="str">
        <f t="shared" si="6"/>
        <v/>
      </c>
    </row>
    <row r="68">
      <c r="A68" s="55">
        <v>2.00012838119978E14</v>
      </c>
      <c r="B68" s="56">
        <v>2.0</v>
      </c>
      <c r="C68" s="57">
        <v>1.09009333614035E14</v>
      </c>
      <c r="D68" s="58">
        <v>2.0</v>
      </c>
      <c r="F68" s="59" t="s">
        <v>100</v>
      </c>
      <c r="G68" s="60">
        <v>45749.0</v>
      </c>
      <c r="H68" s="58">
        <v>1.0</v>
      </c>
      <c r="I68" s="58" t="s">
        <v>220</v>
      </c>
      <c r="J68" s="61">
        <v>4.60776238135E11</v>
      </c>
      <c r="K68" s="62" t="s">
        <v>221</v>
      </c>
      <c r="L68" s="62">
        <v>2038710.0</v>
      </c>
      <c r="M68" s="63"/>
      <c r="N68" s="63"/>
      <c r="O68" s="62" t="s">
        <v>276</v>
      </c>
      <c r="P68" s="63"/>
      <c r="Q68" s="63"/>
      <c r="R68" s="62" t="s">
        <v>277</v>
      </c>
      <c r="S68" s="62">
        <v>61241.0</v>
      </c>
      <c r="T68" s="58" t="s">
        <v>105</v>
      </c>
      <c r="U68" s="59">
        <v>113.11</v>
      </c>
      <c r="V68" s="59">
        <v>97.63</v>
      </c>
      <c r="W68" s="58">
        <v>7.35</v>
      </c>
      <c r="X68" s="58">
        <v>7.0</v>
      </c>
      <c r="Y68" s="58">
        <v>104.98</v>
      </c>
      <c r="Z68" s="59">
        <v>0.0</v>
      </c>
      <c r="AA68" s="58">
        <v>0.0</v>
      </c>
      <c r="AB68" s="58">
        <v>0.0</v>
      </c>
      <c r="AC68" s="58">
        <v>0.0</v>
      </c>
      <c r="AD68" s="58">
        <v>0.0</v>
      </c>
      <c r="AE68" s="58">
        <v>0.0</v>
      </c>
      <c r="AF68" s="58">
        <v>0.0</v>
      </c>
      <c r="AG68" s="58">
        <v>0.0</v>
      </c>
      <c r="AH68" s="58">
        <v>0.0</v>
      </c>
      <c r="AI68" s="58">
        <v>0.0</v>
      </c>
      <c r="AJ68" s="58">
        <v>0.0</v>
      </c>
      <c r="AK68" s="58">
        <v>0.0</v>
      </c>
      <c r="AL68" s="58">
        <v>0.0</v>
      </c>
      <c r="AM68" s="58">
        <v>0.0</v>
      </c>
      <c r="AN68" s="58">
        <v>0.0</v>
      </c>
      <c r="AO68" s="58">
        <v>8.13</v>
      </c>
      <c r="AP68" s="58">
        <v>0.0</v>
      </c>
      <c r="AQ68" s="58">
        <v>0.0</v>
      </c>
      <c r="AR68" s="58">
        <v>0.0</v>
      </c>
      <c r="AS68" s="58">
        <v>0.0</v>
      </c>
      <c r="AT68" s="58">
        <v>0.0</v>
      </c>
      <c r="AU68" s="58">
        <v>0.0</v>
      </c>
      <c r="AV68" s="58">
        <v>0.0</v>
      </c>
      <c r="AW68" s="58">
        <v>0.0</v>
      </c>
      <c r="AX68" s="58">
        <v>0.0</v>
      </c>
      <c r="AY68" s="58">
        <v>0.0</v>
      </c>
      <c r="AZ68" s="58">
        <v>0.0</v>
      </c>
      <c r="BA68" s="58">
        <v>0.0</v>
      </c>
      <c r="BB68" s="58">
        <v>8.13</v>
      </c>
      <c r="BC68" s="58" t="s">
        <v>106</v>
      </c>
      <c r="BG68" s="58">
        <v>-10.5</v>
      </c>
      <c r="BH68" s="58" t="s">
        <v>107</v>
      </c>
      <c r="BI68" s="58" t="s">
        <v>108</v>
      </c>
      <c r="BJ68" s="58" t="s">
        <v>109</v>
      </c>
      <c r="BK68" s="58" t="s">
        <v>255</v>
      </c>
      <c r="BN68" s="58" t="s">
        <v>111</v>
      </c>
      <c r="BO68" s="58" t="s">
        <v>112</v>
      </c>
      <c r="BP68" s="58" t="s">
        <v>113</v>
      </c>
      <c r="BQ68" s="58" t="s">
        <v>114</v>
      </c>
      <c r="BR68" s="58">
        <v>3.15</v>
      </c>
      <c r="BW68" s="64" t="str">
        <f>if(OR(F68="SALE",F68="REFUNDED"),IFERROR(Vlookup(I68,'Listing SKU - Fill SKU Mapping'!A:C,3,false),"Map"),"")</f>
        <v>Keystone</v>
      </c>
      <c r="BX68" s="65" t="str">
        <f>IF(OR(F68="SALE",F68="REFUNDED")=TRUE,iferror(Vlookup(I68,'Listing SKU - Fill SKU Mapping'!A:B,2,false),"Map"),"")</f>
        <v>IMP409BLK</v>
      </c>
      <c r="BY68" s="64">
        <f>IF(OR(F68="SALE",F68="REFUNDED")=TRUE,iferror(Vlookup(I68,'Listing SKU - Fill SKU Mapping'!A:D,4,false),"Map"),"")</f>
        <v>50.49</v>
      </c>
      <c r="BZ68" s="66">
        <f t="shared" si="1"/>
        <v>11.5</v>
      </c>
      <c r="CA68" s="66">
        <f t="shared" si="2"/>
        <v>61.99</v>
      </c>
      <c r="CB68" s="66">
        <f t="shared" si="3"/>
        <v>35.64</v>
      </c>
      <c r="CC68" s="65" t="str">
        <f>if(F68="REFUNDED",iferror(Vlookup(I68,'Listing SKU - Fill SKU Mapping'!A:B,2,false),"Map"),"")</f>
        <v/>
      </c>
      <c r="CD68" s="65" t="str">
        <f>if(F68="REFUNDED",iferror(Vlookup(I68,'Listing SKU - Fill SKU Mapping'!A:C,3,false),"Map"),"")</f>
        <v/>
      </c>
      <c r="CE68" s="64" t="str">
        <f t="shared" si="4"/>
        <v>2025</v>
      </c>
      <c r="CF68" s="64" t="str">
        <f t="shared" si="5"/>
        <v>April</v>
      </c>
      <c r="CG68" s="64" t="str">
        <f t="shared" si="6"/>
        <v/>
      </c>
    </row>
    <row r="69">
      <c r="A69" s="55">
        <v>2.00012841383047E14</v>
      </c>
      <c r="B69" s="56">
        <v>1.0</v>
      </c>
      <c r="C69" s="57">
        <v>1.09007662415839E14</v>
      </c>
      <c r="D69" s="58">
        <v>1.0</v>
      </c>
      <c r="F69" s="59" t="s">
        <v>100</v>
      </c>
      <c r="G69" s="60">
        <v>45733.0</v>
      </c>
      <c r="H69" s="58">
        <v>1.0</v>
      </c>
      <c r="I69" s="58" t="s">
        <v>213</v>
      </c>
      <c r="J69" s="61">
        <v>4.60776230832E11</v>
      </c>
      <c r="K69" s="62" t="s">
        <v>214</v>
      </c>
      <c r="L69" s="62">
        <v>2038710.0</v>
      </c>
      <c r="M69" s="63"/>
      <c r="N69" s="63"/>
      <c r="O69" s="62" t="s">
        <v>276</v>
      </c>
      <c r="P69" s="63"/>
      <c r="Q69" s="63"/>
      <c r="R69" s="62" t="s">
        <v>215</v>
      </c>
      <c r="S69" s="62">
        <v>61401.0</v>
      </c>
      <c r="T69" s="58" t="s">
        <v>105</v>
      </c>
      <c r="U69" s="59">
        <v>113.34</v>
      </c>
      <c r="V69" s="59">
        <v>96.7</v>
      </c>
      <c r="W69" s="58">
        <v>7.28</v>
      </c>
      <c r="X69" s="58">
        <v>7.0</v>
      </c>
      <c r="Y69" s="58">
        <v>103.98</v>
      </c>
      <c r="Z69" s="59">
        <v>0.0</v>
      </c>
      <c r="AA69" s="58">
        <v>0.0</v>
      </c>
      <c r="AB69" s="58">
        <v>0.0</v>
      </c>
      <c r="AC69" s="58">
        <v>0.0</v>
      </c>
      <c r="AD69" s="58">
        <v>0.0</v>
      </c>
      <c r="AE69" s="58">
        <v>0.0</v>
      </c>
      <c r="AF69" s="58">
        <v>0.0</v>
      </c>
      <c r="AG69" s="58">
        <v>0.0</v>
      </c>
      <c r="AH69" s="58">
        <v>0.0</v>
      </c>
      <c r="AI69" s="58">
        <v>0.0</v>
      </c>
      <c r="AJ69" s="58">
        <v>0.0</v>
      </c>
      <c r="AK69" s="58">
        <v>0.0</v>
      </c>
      <c r="AL69" s="58">
        <v>0.0</v>
      </c>
      <c r="AM69" s="58">
        <v>0.0</v>
      </c>
      <c r="AN69" s="58">
        <v>0.0</v>
      </c>
      <c r="AO69" s="58">
        <v>9.36</v>
      </c>
      <c r="AP69" s="58">
        <v>0.0</v>
      </c>
      <c r="AQ69" s="58">
        <v>0.0</v>
      </c>
      <c r="AR69" s="58">
        <v>0.0</v>
      </c>
      <c r="AS69" s="58">
        <v>0.0</v>
      </c>
      <c r="AT69" s="58">
        <v>0.0</v>
      </c>
      <c r="AU69" s="58">
        <v>0.0</v>
      </c>
      <c r="AV69" s="58">
        <v>0.0</v>
      </c>
      <c r="AW69" s="58">
        <v>0.0</v>
      </c>
      <c r="AX69" s="58">
        <v>0.0</v>
      </c>
      <c r="AY69" s="58">
        <v>0.0</v>
      </c>
      <c r="AZ69" s="58">
        <v>0.0</v>
      </c>
      <c r="BA69" s="58">
        <v>0.0</v>
      </c>
      <c r="BB69" s="58">
        <v>9.36</v>
      </c>
      <c r="BC69" s="58" t="s">
        <v>106</v>
      </c>
      <c r="BG69" s="58">
        <v>-10.4</v>
      </c>
      <c r="BH69" s="58" t="s">
        <v>107</v>
      </c>
      <c r="BI69" s="58" t="s">
        <v>108</v>
      </c>
      <c r="BJ69" s="58" t="s">
        <v>109</v>
      </c>
      <c r="BK69" s="58" t="s">
        <v>278</v>
      </c>
      <c r="BN69" s="58" t="s">
        <v>111</v>
      </c>
      <c r="BO69" s="58" t="s">
        <v>112</v>
      </c>
      <c r="BP69" s="58" t="s">
        <v>113</v>
      </c>
      <c r="BQ69" s="58" t="s">
        <v>114</v>
      </c>
      <c r="BR69" s="58">
        <v>3.12</v>
      </c>
      <c r="BW69" s="64" t="str">
        <f>if(OR(F69="SALE",F69="REFUNDED"),IFERROR(Vlookup(I69,'Listing SKU - Fill SKU Mapping'!A:C,3,false),"Map"),"")</f>
        <v>Keystone</v>
      </c>
      <c r="BX69" s="65" t="str">
        <f>IF(OR(F69="SALE",F69="REFUNDED")=TRUE,iferror(Vlookup(I69,'Listing SKU - Fill SKU Mapping'!A:B,2,false),"Map"),"")</f>
        <v>IMP407BLK</v>
      </c>
      <c r="BY69" s="64">
        <f>IF(OR(F69="SALE",F69="REFUNDED")=TRUE,iferror(Vlookup(I69,'Listing SKU - Fill SKU Mapping'!A:D,4,false),"Map"),"")</f>
        <v>49.71</v>
      </c>
      <c r="BZ69" s="66">
        <f t="shared" si="1"/>
        <v>11.5</v>
      </c>
      <c r="CA69" s="66">
        <f t="shared" si="2"/>
        <v>61.21</v>
      </c>
      <c r="CB69" s="66">
        <f t="shared" si="3"/>
        <v>35.49</v>
      </c>
      <c r="CC69" s="65" t="str">
        <f>if(F69="REFUNDED",iferror(Vlookup(I69,'Listing SKU - Fill SKU Mapping'!A:B,2,false),"Map"),"")</f>
        <v/>
      </c>
      <c r="CD69" s="65" t="str">
        <f>if(F69="REFUNDED",iferror(Vlookup(I69,'Listing SKU - Fill SKU Mapping'!A:C,3,false),"Map"),"")</f>
        <v/>
      </c>
      <c r="CE69" s="64" t="str">
        <f t="shared" si="4"/>
        <v>2025</v>
      </c>
      <c r="CF69" s="64" t="str">
        <f t="shared" si="5"/>
        <v>March</v>
      </c>
      <c r="CG69" s="64" t="str">
        <f t="shared" si="6"/>
        <v/>
      </c>
    </row>
    <row r="70">
      <c r="A70" s="55">
        <v>2.00013477790101E14</v>
      </c>
      <c r="B70" s="56">
        <v>11.0</v>
      </c>
      <c r="C70" s="57">
        <v>1.09015712842855E14</v>
      </c>
      <c r="D70" s="58">
        <v>11.0</v>
      </c>
      <c r="F70" s="59" t="s">
        <v>100</v>
      </c>
      <c r="G70" s="60">
        <v>45813.0</v>
      </c>
      <c r="H70" s="58">
        <v>1.0</v>
      </c>
      <c r="I70" s="58" t="s">
        <v>279</v>
      </c>
      <c r="J70" s="61">
        <v>4.67129950768E11</v>
      </c>
      <c r="K70" s="62" t="s">
        <v>280</v>
      </c>
      <c r="L70" s="62">
        <v>2038710.0</v>
      </c>
      <c r="M70" s="63"/>
      <c r="N70" s="63"/>
      <c r="O70" s="62" t="s">
        <v>237</v>
      </c>
      <c r="P70" s="63"/>
      <c r="Q70" s="63"/>
      <c r="R70" s="62" t="s">
        <v>281</v>
      </c>
      <c r="S70" s="62">
        <v>29550.0</v>
      </c>
      <c r="T70" s="58" t="s">
        <v>105</v>
      </c>
      <c r="U70" s="59">
        <v>92.86</v>
      </c>
      <c r="V70" s="59">
        <v>79.96</v>
      </c>
      <c r="W70" s="58">
        <v>6.02</v>
      </c>
      <c r="X70" s="58">
        <v>7.0</v>
      </c>
      <c r="Y70" s="58">
        <v>85.98</v>
      </c>
      <c r="Z70" s="59">
        <v>0.0</v>
      </c>
      <c r="AA70" s="58">
        <v>0.0</v>
      </c>
      <c r="AB70" s="58">
        <v>0.0</v>
      </c>
      <c r="AC70" s="58">
        <v>0.0</v>
      </c>
      <c r="AD70" s="58">
        <v>0.0</v>
      </c>
      <c r="AE70" s="58">
        <v>0.0</v>
      </c>
      <c r="AF70" s="58">
        <v>0.0</v>
      </c>
      <c r="AG70" s="58">
        <v>0.0</v>
      </c>
      <c r="AH70" s="58">
        <v>0.0</v>
      </c>
      <c r="AI70" s="58">
        <v>0.0</v>
      </c>
      <c r="AJ70" s="58">
        <v>0.0</v>
      </c>
      <c r="AK70" s="58">
        <v>0.0</v>
      </c>
      <c r="AL70" s="58">
        <v>0.0</v>
      </c>
      <c r="AM70" s="58">
        <v>0.0</v>
      </c>
      <c r="AN70" s="58">
        <v>0.0</v>
      </c>
      <c r="AO70" s="58">
        <v>6.88</v>
      </c>
      <c r="AP70" s="58">
        <v>0.0</v>
      </c>
      <c r="AQ70" s="58">
        <v>0.0</v>
      </c>
      <c r="AR70" s="58">
        <v>0.0</v>
      </c>
      <c r="AS70" s="58">
        <v>0.0</v>
      </c>
      <c r="AT70" s="58">
        <v>0.0</v>
      </c>
      <c r="AU70" s="58">
        <v>0.0</v>
      </c>
      <c r="AV70" s="58">
        <v>0.0</v>
      </c>
      <c r="AW70" s="58">
        <v>0.0</v>
      </c>
      <c r="AX70" s="58">
        <v>0.0</v>
      </c>
      <c r="AY70" s="58">
        <v>0.0</v>
      </c>
      <c r="AZ70" s="58">
        <v>0.0</v>
      </c>
      <c r="BA70" s="58">
        <v>0.0</v>
      </c>
      <c r="BB70" s="58">
        <v>6.88</v>
      </c>
      <c r="BC70" s="58" t="s">
        <v>106</v>
      </c>
      <c r="BG70" s="58">
        <v>-8.6</v>
      </c>
      <c r="BH70" s="58" t="s">
        <v>107</v>
      </c>
      <c r="BI70" s="58" t="s">
        <v>108</v>
      </c>
      <c r="BJ70" s="58" t="s">
        <v>109</v>
      </c>
      <c r="BK70" s="58" t="s">
        <v>282</v>
      </c>
      <c r="BN70" s="58" t="s">
        <v>111</v>
      </c>
      <c r="BO70" s="58" t="s">
        <v>112</v>
      </c>
      <c r="BP70" s="58" t="s">
        <v>113</v>
      </c>
      <c r="BQ70" s="58" t="s">
        <v>114</v>
      </c>
      <c r="BR70" s="58">
        <v>2.58</v>
      </c>
      <c r="BW70" s="64" t="str">
        <f>if(OR(F70="SALE",F70="REFUNDED"),IFERROR(Vlookup(I70,'Listing SKU - Fill SKU Mapping'!A:C,3,false),"Map"),"")</f>
        <v>Keystone</v>
      </c>
      <c r="BX70" s="64" t="str">
        <f>IF(OR(F70="SALE",F70="REFUNDED")=TRUE,iferror(Vlookup(I70,'Listing SKU - Fill SKU Mapping'!A:B,2,false),"Map"),"")</f>
        <v>43517S</v>
      </c>
      <c r="BY70" s="64">
        <f>IF(OR(F70="SALE",F70="REFUNDED")=TRUE,iferror(Vlookup(I70,'Listing SKU - Fill SKU Mapping'!A:D,4,false),"Map"),"")</f>
        <v>33.53</v>
      </c>
      <c r="BZ70" s="66">
        <f t="shared" si="1"/>
        <v>11.5</v>
      </c>
      <c r="CA70" s="66">
        <f t="shared" si="2"/>
        <v>45.03</v>
      </c>
      <c r="CB70" s="66">
        <f t="shared" si="3"/>
        <v>34.93</v>
      </c>
      <c r="CC70" s="64" t="str">
        <f>if(F70="REFUNDED",iferror(Vlookup(I70,'Listing SKU - Fill SKU Mapping'!A:B,2,false),"Map"),"")</f>
        <v/>
      </c>
      <c r="CD70" s="64" t="str">
        <f>if(F70="REFUNDED",iferror(Vlookup(I70,'Listing SKU - Fill SKU Mapping'!A:C,3,false),"Map"),"")</f>
        <v/>
      </c>
      <c r="CE70" s="64" t="str">
        <f t="shared" si="4"/>
        <v>2025</v>
      </c>
      <c r="CF70" s="64" t="str">
        <f t="shared" si="5"/>
        <v>June</v>
      </c>
      <c r="CG70" s="64" t="str">
        <f t="shared" si="6"/>
        <v/>
      </c>
    </row>
    <row r="71">
      <c r="A71" s="55">
        <v>2.00013370453567E14</v>
      </c>
      <c r="B71" s="56">
        <v>1.0</v>
      </c>
      <c r="C71" s="57">
        <v>1.09016447760929E14</v>
      </c>
      <c r="D71" s="58">
        <v>1.0</v>
      </c>
      <c r="F71" s="59" t="s">
        <v>100</v>
      </c>
      <c r="G71" s="60">
        <v>45820.0</v>
      </c>
      <c r="H71" s="58">
        <v>1.0</v>
      </c>
      <c r="I71" s="58" t="s">
        <v>283</v>
      </c>
      <c r="J71" s="61">
        <v>4.60776230757E11</v>
      </c>
      <c r="K71" s="62" t="s">
        <v>284</v>
      </c>
      <c r="L71" s="62">
        <v>2038710.0</v>
      </c>
      <c r="M71" s="63"/>
      <c r="N71" s="63"/>
      <c r="O71" s="62" t="s">
        <v>207</v>
      </c>
      <c r="P71" s="63"/>
      <c r="Q71" s="63"/>
      <c r="R71" s="62" t="s">
        <v>285</v>
      </c>
      <c r="S71" s="62">
        <v>72335.0</v>
      </c>
      <c r="T71" s="58" t="s">
        <v>105</v>
      </c>
      <c r="U71" s="59">
        <v>108.01</v>
      </c>
      <c r="V71" s="59">
        <v>90.19</v>
      </c>
      <c r="W71" s="58">
        <v>6.79</v>
      </c>
      <c r="X71" s="58">
        <v>7.0</v>
      </c>
      <c r="Y71" s="58">
        <v>96.98</v>
      </c>
      <c r="Z71" s="59">
        <v>0.0</v>
      </c>
      <c r="AA71" s="58">
        <v>0.0</v>
      </c>
      <c r="AB71" s="58">
        <v>0.0</v>
      </c>
      <c r="AC71" s="58">
        <v>0.0</v>
      </c>
      <c r="AD71" s="58">
        <v>0.0</v>
      </c>
      <c r="AE71" s="58">
        <v>0.0</v>
      </c>
      <c r="AF71" s="58">
        <v>0.0</v>
      </c>
      <c r="AG71" s="58">
        <v>0.0</v>
      </c>
      <c r="AH71" s="58">
        <v>0.0</v>
      </c>
      <c r="AI71" s="58">
        <v>0.0</v>
      </c>
      <c r="AJ71" s="58">
        <v>0.0</v>
      </c>
      <c r="AK71" s="58">
        <v>0.0</v>
      </c>
      <c r="AL71" s="58">
        <v>0.0</v>
      </c>
      <c r="AM71" s="58">
        <v>0.0</v>
      </c>
      <c r="AN71" s="58">
        <v>0.0</v>
      </c>
      <c r="AO71" s="58">
        <v>11.03</v>
      </c>
      <c r="AP71" s="58">
        <v>0.0</v>
      </c>
      <c r="AQ71" s="58">
        <v>0.0</v>
      </c>
      <c r="AR71" s="58">
        <v>0.0</v>
      </c>
      <c r="AS71" s="58">
        <v>0.0</v>
      </c>
      <c r="AT71" s="58">
        <v>0.0</v>
      </c>
      <c r="AU71" s="58">
        <v>0.0</v>
      </c>
      <c r="AV71" s="58">
        <v>0.0</v>
      </c>
      <c r="AW71" s="58">
        <v>0.0</v>
      </c>
      <c r="AX71" s="58">
        <v>0.0</v>
      </c>
      <c r="AY71" s="58">
        <v>0.0</v>
      </c>
      <c r="AZ71" s="58">
        <v>0.0</v>
      </c>
      <c r="BA71" s="58">
        <v>0.0</v>
      </c>
      <c r="BB71" s="58">
        <v>11.03</v>
      </c>
      <c r="BC71" s="58" t="s">
        <v>106</v>
      </c>
      <c r="BG71" s="58">
        <v>-9.7</v>
      </c>
      <c r="BH71" s="58" t="s">
        <v>107</v>
      </c>
      <c r="BI71" s="58" t="s">
        <v>108</v>
      </c>
      <c r="BJ71" s="58" t="s">
        <v>109</v>
      </c>
      <c r="BK71" s="58" t="s">
        <v>286</v>
      </c>
      <c r="BN71" s="58" t="s">
        <v>111</v>
      </c>
      <c r="BO71" s="58" t="s">
        <v>112</v>
      </c>
      <c r="BP71" s="58" t="s">
        <v>113</v>
      </c>
      <c r="BQ71" s="58" t="s">
        <v>114</v>
      </c>
      <c r="BR71" s="58">
        <v>2.91</v>
      </c>
      <c r="BW71" s="64" t="str">
        <f>if(OR(F71="SALE",F71="REFUNDED"),IFERROR(Vlookup(I71,'Listing SKU - Fill SKU Mapping'!A:C,3,false),"Map"),"")</f>
        <v>Keystone</v>
      </c>
      <c r="BX71" s="64" t="str">
        <f>IF(OR(F71="SALE",F71="REFUNDED")=TRUE,iferror(Vlookup(I71,'Listing SKU - Fill SKU Mapping'!A:B,2,false),"Map"),"")</f>
        <v>IMP326X</v>
      </c>
      <c r="BY71" s="64">
        <f>IF(OR(F71="SALE",F71="REFUNDED")=TRUE,iferror(Vlookup(I71,'Listing SKU - Fill SKU Mapping'!A:D,4,false),"Map"),"")</f>
        <v>42.21</v>
      </c>
      <c r="BZ71" s="66">
        <f t="shared" si="1"/>
        <v>11.5</v>
      </c>
      <c r="CA71" s="66">
        <f t="shared" si="2"/>
        <v>53.71</v>
      </c>
      <c r="CB71" s="66">
        <f t="shared" si="3"/>
        <v>36.48</v>
      </c>
      <c r="CC71" s="64" t="str">
        <f>if(F71="REFUNDED",iferror(Vlookup(I71,'Listing SKU - Fill SKU Mapping'!A:B,2,false),"Map"),"")</f>
        <v/>
      </c>
      <c r="CD71" s="64" t="str">
        <f>if(F71="REFUNDED",iferror(Vlookup(I71,'Listing SKU - Fill SKU Mapping'!A:C,3,false),"Map"),"")</f>
        <v/>
      </c>
      <c r="CE71" s="64" t="str">
        <f t="shared" si="4"/>
        <v>2025</v>
      </c>
      <c r="CF71" s="64" t="str">
        <f t="shared" si="5"/>
        <v>June</v>
      </c>
      <c r="CG71" s="64" t="str">
        <f t="shared" si="6"/>
        <v/>
      </c>
    </row>
    <row r="72">
      <c r="A72" s="55">
        <v>2.0001336905711E14</v>
      </c>
      <c r="B72" s="56">
        <v>1.0</v>
      </c>
      <c r="C72" s="57">
        <v>1.09016342808965E14</v>
      </c>
      <c r="D72" s="58">
        <v>1.0</v>
      </c>
      <c r="F72" s="59" t="s">
        <v>100</v>
      </c>
      <c r="G72" s="60">
        <v>45820.0</v>
      </c>
      <c r="H72" s="58">
        <v>1.0</v>
      </c>
      <c r="I72" s="58" t="s">
        <v>287</v>
      </c>
      <c r="J72" s="61">
        <v>4.67129928224E11</v>
      </c>
      <c r="K72" s="62" t="s">
        <v>288</v>
      </c>
      <c r="L72" s="62">
        <v>2038710.0</v>
      </c>
      <c r="M72" s="63"/>
      <c r="N72" s="63"/>
      <c r="O72" s="62" t="s">
        <v>103</v>
      </c>
      <c r="P72" s="63"/>
      <c r="Q72" s="63"/>
      <c r="R72" s="62" t="s">
        <v>289</v>
      </c>
      <c r="S72" s="62">
        <v>33023.0</v>
      </c>
      <c r="T72" s="58" t="s">
        <v>105</v>
      </c>
      <c r="U72" s="59">
        <v>72.74</v>
      </c>
      <c r="V72" s="59">
        <v>63.22</v>
      </c>
      <c r="W72" s="58">
        <v>4.76</v>
      </c>
      <c r="X72" s="58">
        <v>7.0</v>
      </c>
      <c r="Y72" s="58">
        <v>67.98</v>
      </c>
      <c r="Z72" s="59">
        <v>0.0</v>
      </c>
      <c r="AA72" s="58">
        <v>0.0</v>
      </c>
      <c r="AB72" s="58">
        <v>0.0</v>
      </c>
      <c r="AC72" s="58">
        <v>0.0</v>
      </c>
      <c r="AD72" s="58">
        <v>0.0</v>
      </c>
      <c r="AE72" s="58">
        <v>0.0</v>
      </c>
      <c r="AF72" s="58">
        <v>0.0</v>
      </c>
      <c r="AG72" s="58">
        <v>0.0</v>
      </c>
      <c r="AH72" s="58">
        <v>0.0</v>
      </c>
      <c r="AI72" s="58">
        <v>0.0</v>
      </c>
      <c r="AJ72" s="58">
        <v>0.0</v>
      </c>
      <c r="AK72" s="58">
        <v>0.0</v>
      </c>
      <c r="AL72" s="58">
        <v>0.0</v>
      </c>
      <c r="AM72" s="58">
        <v>0.0</v>
      </c>
      <c r="AN72" s="58">
        <v>0.0</v>
      </c>
      <c r="AO72" s="58">
        <v>4.76</v>
      </c>
      <c r="AP72" s="58">
        <v>0.0</v>
      </c>
      <c r="AQ72" s="58">
        <v>0.0</v>
      </c>
      <c r="AR72" s="58">
        <v>0.0</v>
      </c>
      <c r="AS72" s="58">
        <v>0.0</v>
      </c>
      <c r="AT72" s="58">
        <v>0.0</v>
      </c>
      <c r="AU72" s="58">
        <v>0.0</v>
      </c>
      <c r="AV72" s="58">
        <v>0.0</v>
      </c>
      <c r="AW72" s="58">
        <v>0.0</v>
      </c>
      <c r="AX72" s="58">
        <v>0.0</v>
      </c>
      <c r="AY72" s="58">
        <v>0.0</v>
      </c>
      <c r="AZ72" s="58">
        <v>0.0</v>
      </c>
      <c r="BA72" s="58">
        <v>0.0</v>
      </c>
      <c r="BB72" s="58">
        <v>4.76</v>
      </c>
      <c r="BC72" s="58" t="s">
        <v>106</v>
      </c>
      <c r="BG72" s="58">
        <v>-6.8</v>
      </c>
      <c r="BH72" s="58" t="s">
        <v>107</v>
      </c>
      <c r="BI72" s="58" t="s">
        <v>108</v>
      </c>
      <c r="BJ72" s="58" t="s">
        <v>109</v>
      </c>
      <c r="BK72" s="58" t="s">
        <v>290</v>
      </c>
      <c r="BN72" s="58" t="s">
        <v>111</v>
      </c>
      <c r="BO72" s="58" t="s">
        <v>112</v>
      </c>
      <c r="BP72" s="58" t="s">
        <v>113</v>
      </c>
      <c r="BQ72" s="58" t="s">
        <v>114</v>
      </c>
      <c r="BR72" s="58">
        <v>2.04</v>
      </c>
      <c r="BW72" s="64" t="str">
        <f>if(OR(F72="SALE",F72="REFUNDED"),IFERROR(Vlookup(I72,'Listing SKU - Fill SKU Mapping'!A:C,3,false),"Map"),"")</f>
        <v>Keystone</v>
      </c>
      <c r="BX72" s="64" t="str">
        <f>IF(OR(F72="SALE",F72="REFUNDED")=TRUE,iferror(Vlookup(I72,'Listing SKU - Fill SKU Mapping'!A:B,2,false),"Map"),"")</f>
        <v>50516S</v>
      </c>
      <c r="BY72" s="64">
        <f>IF(OR(F72="SALE",F72="REFUNDED")=TRUE,iferror(Vlookup(I72,'Listing SKU - Fill SKU Mapping'!A:D,4,false),"Map"),"")</f>
        <v>22.1</v>
      </c>
      <c r="BZ72" s="66">
        <f t="shared" si="1"/>
        <v>11.5</v>
      </c>
      <c r="CA72" s="66">
        <f t="shared" si="2"/>
        <v>33.6</v>
      </c>
      <c r="CB72" s="66">
        <f t="shared" si="3"/>
        <v>29.62</v>
      </c>
      <c r="CC72" s="64" t="str">
        <f>if(F72="REFUNDED",iferror(Vlookup(I72,'Listing SKU - Fill SKU Mapping'!A:B,2,false),"Map"),"")</f>
        <v/>
      </c>
      <c r="CD72" s="64" t="str">
        <f>if(F72="REFUNDED",iferror(Vlookup(I72,'Listing SKU - Fill SKU Mapping'!A:C,3,false),"Map"),"")</f>
        <v/>
      </c>
      <c r="CE72" s="64" t="str">
        <f t="shared" si="4"/>
        <v>2025</v>
      </c>
      <c r="CF72" s="64" t="str">
        <f t="shared" si="5"/>
        <v>June</v>
      </c>
      <c r="CG72" s="64" t="str">
        <f t="shared" si="6"/>
        <v/>
      </c>
    </row>
    <row r="73">
      <c r="A73" s="55">
        <v>2.00013356458819E14</v>
      </c>
      <c r="B73" s="56">
        <v>1.0</v>
      </c>
      <c r="C73" s="57">
        <v>1.09015712112216E14</v>
      </c>
      <c r="D73" s="58">
        <v>1.0</v>
      </c>
      <c r="F73" s="59" t="s">
        <v>100</v>
      </c>
      <c r="G73" s="60">
        <v>45813.0</v>
      </c>
      <c r="H73" s="58">
        <v>1.0</v>
      </c>
      <c r="I73" s="58" t="s">
        <v>291</v>
      </c>
      <c r="J73" s="61">
        <v>4.67129915064E11</v>
      </c>
      <c r="K73" s="62" t="s">
        <v>292</v>
      </c>
      <c r="L73" s="62">
        <v>2038710.0</v>
      </c>
      <c r="M73" s="63"/>
      <c r="N73" s="63"/>
      <c r="O73" s="62" t="s">
        <v>237</v>
      </c>
      <c r="P73" s="63"/>
      <c r="Q73" s="63"/>
      <c r="R73" s="62" t="s">
        <v>293</v>
      </c>
      <c r="S73" s="62">
        <v>29649.0</v>
      </c>
      <c r="T73" s="58" t="s">
        <v>105</v>
      </c>
      <c r="U73" s="59">
        <v>94.14</v>
      </c>
      <c r="V73" s="59">
        <v>81.82</v>
      </c>
      <c r="W73" s="58">
        <v>6.16</v>
      </c>
      <c r="X73" s="58">
        <v>7.0</v>
      </c>
      <c r="Y73" s="58">
        <v>87.98</v>
      </c>
      <c r="Z73" s="59">
        <v>0.0</v>
      </c>
      <c r="AA73" s="58">
        <v>0.0</v>
      </c>
      <c r="AB73" s="58">
        <v>0.0</v>
      </c>
      <c r="AC73" s="58">
        <v>0.0</v>
      </c>
      <c r="AD73" s="58">
        <v>0.0</v>
      </c>
      <c r="AE73" s="58">
        <v>0.0</v>
      </c>
      <c r="AF73" s="58">
        <v>0.0</v>
      </c>
      <c r="AG73" s="58">
        <v>0.0</v>
      </c>
      <c r="AH73" s="58">
        <v>0.0</v>
      </c>
      <c r="AI73" s="58">
        <v>0.0</v>
      </c>
      <c r="AJ73" s="58">
        <v>0.0</v>
      </c>
      <c r="AK73" s="58">
        <v>0.0</v>
      </c>
      <c r="AL73" s="58">
        <v>0.0</v>
      </c>
      <c r="AM73" s="58">
        <v>0.0</v>
      </c>
      <c r="AN73" s="58">
        <v>0.0</v>
      </c>
      <c r="AO73" s="58">
        <v>6.16</v>
      </c>
      <c r="AP73" s="58">
        <v>0.0</v>
      </c>
      <c r="AQ73" s="58">
        <v>0.0</v>
      </c>
      <c r="AR73" s="58">
        <v>0.0</v>
      </c>
      <c r="AS73" s="58">
        <v>0.0</v>
      </c>
      <c r="AT73" s="58">
        <v>0.0</v>
      </c>
      <c r="AU73" s="58">
        <v>0.0</v>
      </c>
      <c r="AV73" s="58">
        <v>0.0</v>
      </c>
      <c r="AW73" s="58">
        <v>0.0</v>
      </c>
      <c r="AX73" s="58">
        <v>0.0</v>
      </c>
      <c r="AY73" s="58">
        <v>0.0</v>
      </c>
      <c r="AZ73" s="58">
        <v>0.0</v>
      </c>
      <c r="BA73" s="58">
        <v>0.0</v>
      </c>
      <c r="BB73" s="58">
        <v>6.16</v>
      </c>
      <c r="BC73" s="58" t="s">
        <v>106</v>
      </c>
      <c r="BG73" s="58">
        <v>-8.8</v>
      </c>
      <c r="BH73" s="58" t="s">
        <v>107</v>
      </c>
      <c r="BI73" s="58" t="s">
        <v>108</v>
      </c>
      <c r="BJ73" s="58" t="s">
        <v>109</v>
      </c>
      <c r="BK73" s="58" t="s">
        <v>282</v>
      </c>
      <c r="BN73" s="58" t="s">
        <v>111</v>
      </c>
      <c r="BO73" s="58" t="s">
        <v>112</v>
      </c>
      <c r="BP73" s="58" t="s">
        <v>113</v>
      </c>
      <c r="BQ73" s="58" t="s">
        <v>114</v>
      </c>
      <c r="BR73" s="58">
        <v>2.64</v>
      </c>
      <c r="BW73" s="64" t="str">
        <f>if(OR(F73="SALE",F73="REFUNDED"),IFERROR(Vlookup(I73,'Listing SKU - Fill SKU Mapping'!A:C,3,false),"Map"),"")</f>
        <v>Keystone</v>
      </c>
      <c r="BX73" s="64" t="str">
        <f>IF(OR(F73="SALE",F73="REFUNDED")=TRUE,iferror(Vlookup(I73,'Listing SKU - Fill SKU Mapping'!A:B,2,false),"Map"),"")</f>
        <v>47218S</v>
      </c>
      <c r="BY73" s="64">
        <f>IF(OR(F73="SALE",F73="REFUNDED")=TRUE,iferror(Vlookup(I73,'Listing SKU - Fill SKU Mapping'!A:D,4,false),"Map"),"")</f>
        <v>34.71</v>
      </c>
      <c r="BZ73" s="66">
        <f t="shared" si="1"/>
        <v>11.5</v>
      </c>
      <c r="CA73" s="66">
        <f t="shared" si="2"/>
        <v>46.21</v>
      </c>
      <c r="CB73" s="66">
        <f t="shared" si="3"/>
        <v>35.61</v>
      </c>
      <c r="CC73" s="64" t="str">
        <f>if(F73="REFUNDED",iferror(Vlookup(I73,'Listing SKU - Fill SKU Mapping'!A:B,2,false),"Map"),"")</f>
        <v/>
      </c>
      <c r="CD73" s="64" t="str">
        <f>if(F73="REFUNDED",iferror(Vlookup(I73,'Listing SKU - Fill SKU Mapping'!A:C,3,false),"Map"),"")</f>
        <v/>
      </c>
      <c r="CE73" s="64" t="str">
        <f t="shared" si="4"/>
        <v>2025</v>
      </c>
      <c r="CF73" s="64" t="str">
        <f t="shared" si="5"/>
        <v>June</v>
      </c>
      <c r="CG73" s="64" t="str">
        <f t="shared" si="6"/>
        <v/>
      </c>
    </row>
    <row r="74">
      <c r="A74" s="55">
        <v>2.00013273890861E14</v>
      </c>
      <c r="B74" s="56">
        <v>1.0</v>
      </c>
      <c r="C74" s="57">
        <v>1.09015181470052E14</v>
      </c>
      <c r="D74" s="58">
        <v>1.0</v>
      </c>
      <c r="F74" s="59" t="s">
        <v>100</v>
      </c>
      <c r="G74" s="60">
        <v>45810.0</v>
      </c>
      <c r="H74" s="58">
        <v>1.0</v>
      </c>
      <c r="I74" s="58" t="s">
        <v>294</v>
      </c>
      <c r="J74" s="61">
        <v>4.60776241562E11</v>
      </c>
      <c r="K74" s="62" t="s">
        <v>295</v>
      </c>
      <c r="L74" s="62">
        <v>2038710.0</v>
      </c>
      <c r="M74" s="63"/>
      <c r="N74" s="63"/>
      <c r="O74" s="62" t="s">
        <v>170</v>
      </c>
      <c r="P74" s="63"/>
      <c r="Q74" s="63"/>
      <c r="R74" s="62" t="s">
        <v>296</v>
      </c>
      <c r="S74" s="62">
        <v>46614.0</v>
      </c>
      <c r="T74" s="58" t="s">
        <v>105</v>
      </c>
      <c r="U74" s="59">
        <v>118.75</v>
      </c>
      <c r="V74" s="59">
        <v>103.21</v>
      </c>
      <c r="W74" s="58">
        <v>7.77</v>
      </c>
      <c r="X74" s="58">
        <v>7.0</v>
      </c>
      <c r="Y74" s="58">
        <v>110.98</v>
      </c>
      <c r="Z74" s="59">
        <v>0.0</v>
      </c>
      <c r="AA74" s="58">
        <v>0.0</v>
      </c>
      <c r="AB74" s="58">
        <v>0.0</v>
      </c>
      <c r="AC74" s="58">
        <v>0.0</v>
      </c>
      <c r="AD74" s="58">
        <v>0.0</v>
      </c>
      <c r="AE74" s="58">
        <v>0.0</v>
      </c>
      <c r="AF74" s="58">
        <v>0.0</v>
      </c>
      <c r="AG74" s="58">
        <v>0.0</v>
      </c>
      <c r="AH74" s="58">
        <v>0.0</v>
      </c>
      <c r="AI74" s="58">
        <v>0.0</v>
      </c>
      <c r="AJ74" s="58">
        <v>0.0</v>
      </c>
      <c r="AK74" s="58">
        <v>0.0</v>
      </c>
      <c r="AL74" s="58">
        <v>0.0</v>
      </c>
      <c r="AM74" s="58">
        <v>0.0</v>
      </c>
      <c r="AN74" s="58">
        <v>0.0</v>
      </c>
      <c r="AO74" s="58">
        <v>7.77</v>
      </c>
      <c r="AP74" s="58">
        <v>0.0</v>
      </c>
      <c r="AQ74" s="58">
        <v>0.0</v>
      </c>
      <c r="AR74" s="58">
        <v>0.0</v>
      </c>
      <c r="AS74" s="58">
        <v>0.0</v>
      </c>
      <c r="AT74" s="58">
        <v>0.0</v>
      </c>
      <c r="AU74" s="58">
        <v>0.0</v>
      </c>
      <c r="AV74" s="58">
        <v>0.0</v>
      </c>
      <c r="AW74" s="58">
        <v>0.0</v>
      </c>
      <c r="AX74" s="58">
        <v>0.0</v>
      </c>
      <c r="AY74" s="58">
        <v>0.0</v>
      </c>
      <c r="AZ74" s="58">
        <v>0.0</v>
      </c>
      <c r="BA74" s="58">
        <v>0.0</v>
      </c>
      <c r="BB74" s="58">
        <v>7.77</v>
      </c>
      <c r="BC74" s="58" t="s">
        <v>106</v>
      </c>
      <c r="BG74" s="58">
        <v>-11.1</v>
      </c>
      <c r="BH74" s="58" t="s">
        <v>107</v>
      </c>
      <c r="BI74" s="58" t="s">
        <v>108</v>
      </c>
      <c r="BJ74" s="58" t="s">
        <v>109</v>
      </c>
      <c r="BK74" s="58" t="s">
        <v>110</v>
      </c>
      <c r="BN74" s="58" t="s">
        <v>111</v>
      </c>
      <c r="BO74" s="58" t="s">
        <v>112</v>
      </c>
      <c r="BP74" s="58" t="s">
        <v>113</v>
      </c>
      <c r="BQ74" s="58" t="s">
        <v>114</v>
      </c>
      <c r="BR74" s="58">
        <v>3.33</v>
      </c>
      <c r="BW74" s="64" t="str">
        <f>if(OR(F74="SALE",F74="REFUNDED"),IFERROR(Vlookup(I74,'Listing SKU - Fill SKU Mapping'!A:C,3,false),"Map"),"")</f>
        <v>Keystone</v>
      </c>
      <c r="BX74" s="64" t="str">
        <f>IF(OR(F74="SALE",F74="REFUNDED")=TRUE,iferror(Vlookup(I74,'Listing SKU - Fill SKU Mapping'!A:B,2,false),"Map"),"")</f>
        <v>IMP410BLK</v>
      </c>
      <c r="BY74" s="64">
        <f>IF(OR(F74="SALE",F74="REFUNDED")=TRUE,iferror(Vlookup(I74,'Listing SKU - Fill SKU Mapping'!A:D,4,false),"Map"),"")</f>
        <v>51.28</v>
      </c>
      <c r="BZ74" s="66">
        <f t="shared" si="1"/>
        <v>11.5</v>
      </c>
      <c r="CA74" s="66">
        <f t="shared" si="2"/>
        <v>62.78</v>
      </c>
      <c r="CB74" s="66">
        <f t="shared" si="3"/>
        <v>40.43</v>
      </c>
      <c r="CC74" s="64" t="str">
        <f>if(F74="REFUNDED",iferror(Vlookup(I74,'Listing SKU - Fill SKU Mapping'!A:B,2,false),"Map"),"")</f>
        <v/>
      </c>
      <c r="CD74" s="64" t="str">
        <f>if(F74="REFUNDED",iferror(Vlookup(I74,'Listing SKU - Fill SKU Mapping'!A:C,3,false),"Map"),"")</f>
        <v/>
      </c>
      <c r="CE74" s="64" t="str">
        <f t="shared" si="4"/>
        <v>2025</v>
      </c>
      <c r="CF74" s="64" t="str">
        <f t="shared" si="5"/>
        <v>June</v>
      </c>
      <c r="CG74" s="64" t="str">
        <f t="shared" si="6"/>
        <v/>
      </c>
    </row>
    <row r="75">
      <c r="A75" s="55">
        <v>2.00013258011806E14</v>
      </c>
      <c r="B75" s="56">
        <v>1.0</v>
      </c>
      <c r="C75" s="57">
        <v>1.09016342909469E14</v>
      </c>
      <c r="D75" s="58">
        <v>1.0</v>
      </c>
      <c r="F75" s="59" t="s">
        <v>100</v>
      </c>
      <c r="G75" s="60">
        <v>45820.0</v>
      </c>
      <c r="H75" s="58">
        <v>1.0</v>
      </c>
      <c r="I75" s="58" t="s">
        <v>291</v>
      </c>
      <c r="J75" s="61">
        <v>4.67129915064E11</v>
      </c>
      <c r="K75" s="62" t="s">
        <v>292</v>
      </c>
      <c r="L75" s="62">
        <v>2038710.0</v>
      </c>
      <c r="M75" s="63"/>
      <c r="N75" s="63"/>
      <c r="O75" s="62" t="s">
        <v>297</v>
      </c>
      <c r="P75" s="63"/>
      <c r="Q75" s="63"/>
      <c r="R75" s="62" t="s">
        <v>298</v>
      </c>
      <c r="S75" s="62">
        <v>80014.0</v>
      </c>
      <c r="T75" s="58" t="s">
        <v>105</v>
      </c>
      <c r="U75" s="59">
        <v>95.02</v>
      </c>
      <c r="V75" s="59">
        <v>81.82</v>
      </c>
      <c r="W75" s="58">
        <v>6.16</v>
      </c>
      <c r="X75" s="58">
        <v>7.0</v>
      </c>
      <c r="Y75" s="58">
        <v>87.98</v>
      </c>
      <c r="Z75" s="59">
        <v>0.0</v>
      </c>
      <c r="AA75" s="58">
        <v>0.0</v>
      </c>
      <c r="AB75" s="58">
        <v>0.0</v>
      </c>
      <c r="AC75" s="58">
        <v>0.0</v>
      </c>
      <c r="AD75" s="58">
        <v>0.0</v>
      </c>
      <c r="AE75" s="58">
        <v>0.0</v>
      </c>
      <c r="AF75" s="58">
        <v>0.0</v>
      </c>
      <c r="AG75" s="58">
        <v>0.0</v>
      </c>
      <c r="AH75" s="58">
        <v>0.0</v>
      </c>
      <c r="AI75" s="58">
        <v>0.0</v>
      </c>
      <c r="AJ75" s="58">
        <v>0.0</v>
      </c>
      <c r="AK75" s="58">
        <v>0.0</v>
      </c>
      <c r="AL75" s="58">
        <v>0.0</v>
      </c>
      <c r="AM75" s="58">
        <v>0.0</v>
      </c>
      <c r="AN75" s="58">
        <v>0.0</v>
      </c>
      <c r="AO75" s="58">
        <v>7.04</v>
      </c>
      <c r="AP75" s="58">
        <v>0.0</v>
      </c>
      <c r="AQ75" s="58">
        <v>0.0</v>
      </c>
      <c r="AR75" s="58">
        <v>0.0</v>
      </c>
      <c r="AS75" s="58">
        <v>0.0</v>
      </c>
      <c r="AT75" s="58">
        <v>0.0</v>
      </c>
      <c r="AU75" s="58">
        <v>0.0</v>
      </c>
      <c r="AV75" s="58">
        <v>0.0</v>
      </c>
      <c r="AW75" s="58">
        <v>0.0</v>
      </c>
      <c r="AX75" s="58">
        <v>0.0</v>
      </c>
      <c r="AY75" s="58">
        <v>0.0</v>
      </c>
      <c r="AZ75" s="58">
        <v>0.0</v>
      </c>
      <c r="BA75" s="58">
        <v>0.0</v>
      </c>
      <c r="BB75" s="58">
        <v>7.04</v>
      </c>
      <c r="BC75" s="58" t="s">
        <v>106</v>
      </c>
      <c r="BG75" s="58">
        <v>-8.8</v>
      </c>
      <c r="BH75" s="58" t="s">
        <v>107</v>
      </c>
      <c r="BI75" s="58" t="s">
        <v>108</v>
      </c>
      <c r="BJ75" s="58" t="s">
        <v>109</v>
      </c>
      <c r="BK75" s="58" t="s">
        <v>290</v>
      </c>
      <c r="BN75" s="58" t="s">
        <v>111</v>
      </c>
      <c r="BO75" s="58" t="s">
        <v>112</v>
      </c>
      <c r="BP75" s="58" t="s">
        <v>113</v>
      </c>
      <c r="BQ75" s="58" t="s">
        <v>114</v>
      </c>
      <c r="BR75" s="58">
        <v>2.64</v>
      </c>
      <c r="BW75" s="64" t="str">
        <f>if(OR(F75="SALE",F75="REFUNDED"),IFERROR(Vlookup(I75,'Listing SKU - Fill SKU Mapping'!A:C,3,false),"Map"),"")</f>
        <v>Keystone</v>
      </c>
      <c r="BX75" s="64" t="str">
        <f>IF(OR(F75="SALE",F75="REFUNDED")=TRUE,iferror(Vlookup(I75,'Listing SKU - Fill SKU Mapping'!A:B,2,false),"Map"),"")</f>
        <v>47218S</v>
      </c>
      <c r="BY75" s="64">
        <f>IF(OR(F75="SALE",F75="REFUNDED")=TRUE,iferror(Vlookup(I75,'Listing SKU - Fill SKU Mapping'!A:D,4,false),"Map"),"")</f>
        <v>34.71</v>
      </c>
      <c r="BZ75" s="66">
        <f t="shared" si="1"/>
        <v>11.5</v>
      </c>
      <c r="CA75" s="66">
        <f t="shared" si="2"/>
        <v>46.21</v>
      </c>
      <c r="CB75" s="66">
        <f t="shared" si="3"/>
        <v>35.61</v>
      </c>
      <c r="CC75" s="64" t="str">
        <f>if(F75="REFUNDED",iferror(Vlookup(I75,'Listing SKU - Fill SKU Mapping'!A:B,2,false),"Map"),"")</f>
        <v/>
      </c>
      <c r="CD75" s="64" t="str">
        <f>if(F75="REFUNDED",iferror(Vlookup(I75,'Listing SKU - Fill SKU Mapping'!A:C,3,false),"Map"),"")</f>
        <v/>
      </c>
      <c r="CE75" s="64" t="str">
        <f t="shared" si="4"/>
        <v>2025</v>
      </c>
      <c r="CF75" s="64" t="str">
        <f t="shared" si="5"/>
        <v>June</v>
      </c>
      <c r="CG75" s="64" t="str">
        <f t="shared" si="6"/>
        <v/>
      </c>
    </row>
    <row r="76">
      <c r="A76" s="55">
        <v>2.0001323321305E14</v>
      </c>
      <c r="B76" s="56">
        <v>1.0</v>
      </c>
      <c r="C76" s="57">
        <v>1.09015281633679E14</v>
      </c>
      <c r="D76" s="58">
        <v>1.0</v>
      </c>
      <c r="F76" s="59" t="s">
        <v>100</v>
      </c>
      <c r="G76" s="60">
        <v>45810.0</v>
      </c>
      <c r="H76" s="58">
        <v>1.0</v>
      </c>
      <c r="I76" s="58" t="s">
        <v>299</v>
      </c>
      <c r="J76" s="61">
        <v>4.60776237466E11</v>
      </c>
      <c r="K76" s="62" t="s">
        <v>300</v>
      </c>
      <c r="L76" s="62">
        <v>2038710.0</v>
      </c>
      <c r="M76" s="63"/>
      <c r="N76" s="63"/>
      <c r="O76" s="62" t="s">
        <v>232</v>
      </c>
      <c r="P76" s="63"/>
      <c r="Q76" s="63"/>
      <c r="R76" s="62" t="s">
        <v>301</v>
      </c>
      <c r="S76" s="62">
        <v>15666.0</v>
      </c>
      <c r="T76" s="58" t="s">
        <v>105</v>
      </c>
      <c r="U76" s="59">
        <v>104.92</v>
      </c>
      <c r="V76" s="59">
        <v>92.05</v>
      </c>
      <c r="W76" s="58">
        <v>6.93</v>
      </c>
      <c r="X76" s="58">
        <v>7.0</v>
      </c>
      <c r="Y76" s="58">
        <v>98.98</v>
      </c>
      <c r="Z76" s="59">
        <v>0.0</v>
      </c>
      <c r="AA76" s="58">
        <v>0.0</v>
      </c>
      <c r="AB76" s="58">
        <v>0.0</v>
      </c>
      <c r="AC76" s="58">
        <v>0.0</v>
      </c>
      <c r="AD76" s="58">
        <v>0.0</v>
      </c>
      <c r="AE76" s="58">
        <v>0.0</v>
      </c>
      <c r="AF76" s="58">
        <v>0.0</v>
      </c>
      <c r="AG76" s="58">
        <v>0.0</v>
      </c>
      <c r="AH76" s="58">
        <v>0.0</v>
      </c>
      <c r="AI76" s="58">
        <v>0.0</v>
      </c>
      <c r="AJ76" s="58">
        <v>0.0</v>
      </c>
      <c r="AK76" s="58">
        <v>0.0</v>
      </c>
      <c r="AL76" s="58">
        <v>0.0</v>
      </c>
      <c r="AM76" s="58">
        <v>0.0</v>
      </c>
      <c r="AN76" s="58">
        <v>0.0</v>
      </c>
      <c r="AO76" s="58">
        <v>5.94</v>
      </c>
      <c r="AP76" s="58">
        <v>0.0</v>
      </c>
      <c r="AQ76" s="58">
        <v>0.0</v>
      </c>
      <c r="AR76" s="58">
        <v>0.0</v>
      </c>
      <c r="AS76" s="58">
        <v>0.0</v>
      </c>
      <c r="AT76" s="58">
        <v>0.0</v>
      </c>
      <c r="AU76" s="58">
        <v>0.0</v>
      </c>
      <c r="AV76" s="58">
        <v>0.0</v>
      </c>
      <c r="AW76" s="58">
        <v>0.0</v>
      </c>
      <c r="AX76" s="58">
        <v>0.0</v>
      </c>
      <c r="AY76" s="58">
        <v>0.0</v>
      </c>
      <c r="AZ76" s="58">
        <v>0.0</v>
      </c>
      <c r="BA76" s="58">
        <v>0.0</v>
      </c>
      <c r="BB76" s="58">
        <v>5.94</v>
      </c>
      <c r="BC76" s="58" t="s">
        <v>106</v>
      </c>
      <c r="BG76" s="58">
        <v>-9.9</v>
      </c>
      <c r="BH76" s="58" t="s">
        <v>107</v>
      </c>
      <c r="BI76" s="58" t="s">
        <v>108</v>
      </c>
      <c r="BJ76" s="58" t="s">
        <v>109</v>
      </c>
      <c r="BK76" s="58" t="s">
        <v>110</v>
      </c>
      <c r="BN76" s="58" t="s">
        <v>111</v>
      </c>
      <c r="BO76" s="58" t="s">
        <v>112</v>
      </c>
      <c r="BP76" s="58" t="s">
        <v>113</v>
      </c>
      <c r="BQ76" s="58" t="s">
        <v>114</v>
      </c>
      <c r="BR76" s="58">
        <v>2.97</v>
      </c>
      <c r="BW76" s="64" t="str">
        <f>if(OR(F76="SALE",F76="REFUNDED"),IFERROR(Vlookup(I76,'Listing SKU - Fill SKU Mapping'!A:C,3,false),"Map"),"")</f>
        <v>Keystone</v>
      </c>
      <c r="BX76" s="64" t="str">
        <f>IF(OR(F76="SALE",F76="REFUNDED")=TRUE,iferror(Vlookup(I76,'Listing SKU - Fill SKU Mapping'!A:B,2,false),"Map"),"")</f>
        <v>IMP95X</v>
      </c>
      <c r="BY76" s="64">
        <f>IF(OR(F76="SALE",F76="REFUNDED")=TRUE,iferror(Vlookup(I76,'Listing SKU - Fill SKU Mapping'!A:D,4,false),"Map"),"")</f>
        <v>43.39</v>
      </c>
      <c r="BZ76" s="66">
        <f t="shared" si="1"/>
        <v>11.5</v>
      </c>
      <c r="CA76" s="66">
        <f t="shared" si="2"/>
        <v>54.89</v>
      </c>
      <c r="CB76" s="66">
        <f t="shared" si="3"/>
        <v>37.16</v>
      </c>
      <c r="CC76" s="64" t="str">
        <f>if(F76="REFUNDED",iferror(Vlookup(I76,'Listing SKU - Fill SKU Mapping'!A:B,2,false),"Map"),"")</f>
        <v/>
      </c>
      <c r="CD76" s="64" t="str">
        <f>if(F76="REFUNDED",iferror(Vlookup(I76,'Listing SKU - Fill SKU Mapping'!A:C,3,false),"Map"),"")</f>
        <v/>
      </c>
      <c r="CE76" s="64" t="str">
        <f t="shared" si="4"/>
        <v>2025</v>
      </c>
      <c r="CF76" s="64" t="str">
        <f t="shared" si="5"/>
        <v>June</v>
      </c>
      <c r="CG76" s="64" t="str">
        <f t="shared" si="6"/>
        <v/>
      </c>
    </row>
    <row r="77">
      <c r="A77" s="55">
        <v>2.00013204381052E14</v>
      </c>
      <c r="B77" s="56">
        <v>1.0</v>
      </c>
      <c r="C77" s="57">
        <v>1.09016128368712E14</v>
      </c>
      <c r="D77" s="58">
        <v>1.0</v>
      </c>
      <c r="F77" s="59" t="s">
        <v>100</v>
      </c>
      <c r="G77" s="60">
        <v>45818.0</v>
      </c>
      <c r="H77" s="58">
        <v>1.0</v>
      </c>
      <c r="I77" s="58" t="s">
        <v>302</v>
      </c>
      <c r="J77" s="61">
        <v>4.60776237855E11</v>
      </c>
      <c r="K77" s="62" t="s">
        <v>303</v>
      </c>
      <c r="L77" s="62">
        <v>2038710.0</v>
      </c>
      <c r="M77" s="63"/>
      <c r="N77" s="63"/>
      <c r="O77" s="62" t="s">
        <v>174</v>
      </c>
      <c r="P77" s="63"/>
      <c r="Q77" s="63"/>
      <c r="R77" s="62" t="s">
        <v>304</v>
      </c>
      <c r="S77" s="62">
        <v>75703.0</v>
      </c>
      <c r="T77" s="58" t="s">
        <v>105</v>
      </c>
      <c r="U77" s="59">
        <v>119.05</v>
      </c>
      <c r="V77" s="59">
        <v>102.28</v>
      </c>
      <c r="W77" s="58">
        <v>7.7</v>
      </c>
      <c r="X77" s="58">
        <v>7.0</v>
      </c>
      <c r="Y77" s="58">
        <v>109.98</v>
      </c>
      <c r="Z77" s="59">
        <v>0.0</v>
      </c>
      <c r="AA77" s="58">
        <v>0.0</v>
      </c>
      <c r="AB77" s="58">
        <v>0.0</v>
      </c>
      <c r="AC77" s="58">
        <v>0.0</v>
      </c>
      <c r="AD77" s="58">
        <v>0.0</v>
      </c>
      <c r="AE77" s="58">
        <v>0.0</v>
      </c>
      <c r="AF77" s="58">
        <v>0.0</v>
      </c>
      <c r="AG77" s="58">
        <v>0.0</v>
      </c>
      <c r="AH77" s="58">
        <v>0.0</v>
      </c>
      <c r="AI77" s="58">
        <v>0.0</v>
      </c>
      <c r="AJ77" s="58">
        <v>0.0</v>
      </c>
      <c r="AK77" s="58">
        <v>0.0</v>
      </c>
      <c r="AL77" s="58">
        <v>0.0</v>
      </c>
      <c r="AM77" s="58">
        <v>0.0</v>
      </c>
      <c r="AN77" s="58">
        <v>0.0</v>
      </c>
      <c r="AO77" s="58">
        <v>9.07</v>
      </c>
      <c r="AP77" s="58">
        <v>0.0</v>
      </c>
      <c r="AQ77" s="58">
        <v>0.0</v>
      </c>
      <c r="AR77" s="58">
        <v>0.0</v>
      </c>
      <c r="AS77" s="58">
        <v>0.0</v>
      </c>
      <c r="AT77" s="58">
        <v>0.0</v>
      </c>
      <c r="AU77" s="58">
        <v>0.0</v>
      </c>
      <c r="AV77" s="58">
        <v>0.0</v>
      </c>
      <c r="AW77" s="58">
        <v>0.0</v>
      </c>
      <c r="AX77" s="58">
        <v>0.0</v>
      </c>
      <c r="AY77" s="58">
        <v>0.0</v>
      </c>
      <c r="AZ77" s="58">
        <v>0.0</v>
      </c>
      <c r="BA77" s="58">
        <v>0.0</v>
      </c>
      <c r="BB77" s="58">
        <v>9.07</v>
      </c>
      <c r="BC77" s="58" t="s">
        <v>106</v>
      </c>
      <c r="BG77" s="58">
        <v>-11.0</v>
      </c>
      <c r="BH77" s="58" t="s">
        <v>107</v>
      </c>
      <c r="BI77" s="58" t="s">
        <v>108</v>
      </c>
      <c r="BJ77" s="58" t="s">
        <v>109</v>
      </c>
      <c r="BK77" s="58" t="s">
        <v>290</v>
      </c>
      <c r="BN77" s="58" t="s">
        <v>111</v>
      </c>
      <c r="BO77" s="58" t="s">
        <v>112</v>
      </c>
      <c r="BP77" s="58" t="s">
        <v>113</v>
      </c>
      <c r="BQ77" s="58" t="s">
        <v>114</v>
      </c>
      <c r="BR77" s="58">
        <v>3.3</v>
      </c>
      <c r="BW77" s="64" t="str">
        <f>if(OR(F77="SALE",F77="REFUNDED"),IFERROR(Vlookup(I77,'Listing SKU - Fill SKU Mapping'!A:C,3,false),"Map"),"")</f>
        <v>Keystone</v>
      </c>
      <c r="BX77" s="64" t="str">
        <f>IF(OR(F77="SALE",F77="REFUNDED")=TRUE,iferror(Vlookup(I77,'Listing SKU - Fill SKU Mapping'!A:B,2,false),"Map"),"")</f>
        <v>IMP464BLK</v>
      </c>
      <c r="BY77" s="64">
        <f>IF(OR(F77="SALE",F77="REFUNDED")=TRUE,iferror(Vlookup(I77,'Listing SKU - Fill SKU Mapping'!A:D,4,false),"Map"),"")</f>
        <v>50.89</v>
      </c>
      <c r="BZ77" s="66">
        <f t="shared" si="1"/>
        <v>11.5</v>
      </c>
      <c r="CA77" s="66">
        <f t="shared" si="2"/>
        <v>62.39</v>
      </c>
      <c r="CB77" s="66">
        <f t="shared" si="3"/>
        <v>39.89</v>
      </c>
      <c r="CC77" s="64" t="str">
        <f>if(F77="REFUNDED",iferror(Vlookup(I77,'Listing SKU - Fill SKU Mapping'!A:B,2,false),"Map"),"")</f>
        <v/>
      </c>
      <c r="CD77" s="64" t="str">
        <f>if(F77="REFUNDED",iferror(Vlookup(I77,'Listing SKU - Fill SKU Mapping'!A:C,3,false),"Map"),"")</f>
        <v/>
      </c>
      <c r="CE77" s="64" t="str">
        <f t="shared" si="4"/>
        <v>2025</v>
      </c>
      <c r="CF77" s="64" t="str">
        <f t="shared" si="5"/>
        <v>June</v>
      </c>
      <c r="CG77" s="64" t="str">
        <f t="shared" si="6"/>
        <v/>
      </c>
    </row>
    <row r="78">
      <c r="A78" s="55">
        <v>2.00013155973046E14</v>
      </c>
      <c r="B78" s="56">
        <v>1.0</v>
      </c>
      <c r="C78" s="57">
        <v>1.0901592122838E14</v>
      </c>
      <c r="D78" s="58">
        <v>1.0</v>
      </c>
      <c r="F78" s="59" t="s">
        <v>100</v>
      </c>
      <c r="G78" s="60">
        <v>45817.0</v>
      </c>
      <c r="H78" s="58">
        <v>1.0</v>
      </c>
      <c r="I78" s="58" t="s">
        <v>305</v>
      </c>
      <c r="J78" s="61">
        <v>4.67129944255E11</v>
      </c>
      <c r="K78" s="62" t="s">
        <v>306</v>
      </c>
      <c r="L78" s="62">
        <v>2038710.0</v>
      </c>
      <c r="M78" s="63"/>
      <c r="N78" s="63"/>
      <c r="O78" s="62" t="s">
        <v>145</v>
      </c>
      <c r="P78" s="63"/>
      <c r="Q78" s="63"/>
      <c r="R78" s="62" t="s">
        <v>307</v>
      </c>
      <c r="S78" s="62">
        <v>31513.0</v>
      </c>
      <c r="T78" s="58" t="s">
        <v>105</v>
      </c>
      <c r="U78" s="59">
        <v>88.54</v>
      </c>
      <c r="V78" s="59">
        <v>76.24</v>
      </c>
      <c r="W78" s="58">
        <v>5.74</v>
      </c>
      <c r="X78" s="58">
        <v>7.0</v>
      </c>
      <c r="Y78" s="58">
        <v>81.98</v>
      </c>
      <c r="Z78" s="59">
        <v>0.0</v>
      </c>
      <c r="AA78" s="58">
        <v>0.0</v>
      </c>
      <c r="AB78" s="58">
        <v>0.0</v>
      </c>
      <c r="AC78" s="58">
        <v>0.0</v>
      </c>
      <c r="AD78" s="58">
        <v>0.0</v>
      </c>
      <c r="AE78" s="58">
        <v>0.0</v>
      </c>
      <c r="AF78" s="58">
        <v>0.0</v>
      </c>
      <c r="AG78" s="58">
        <v>0.0</v>
      </c>
      <c r="AH78" s="58">
        <v>0.0</v>
      </c>
      <c r="AI78" s="58">
        <v>0.0</v>
      </c>
      <c r="AJ78" s="58">
        <v>0.0</v>
      </c>
      <c r="AK78" s="58">
        <v>0.0</v>
      </c>
      <c r="AL78" s="58">
        <v>0.0</v>
      </c>
      <c r="AM78" s="58">
        <v>0.0</v>
      </c>
      <c r="AN78" s="58">
        <v>0.0</v>
      </c>
      <c r="AO78" s="58">
        <v>6.56</v>
      </c>
      <c r="AP78" s="58">
        <v>0.0</v>
      </c>
      <c r="AQ78" s="58">
        <v>0.0</v>
      </c>
      <c r="AR78" s="58">
        <v>0.0</v>
      </c>
      <c r="AS78" s="58">
        <v>0.0</v>
      </c>
      <c r="AT78" s="58">
        <v>0.0</v>
      </c>
      <c r="AU78" s="58">
        <v>0.0</v>
      </c>
      <c r="AV78" s="58">
        <v>0.0</v>
      </c>
      <c r="AW78" s="58">
        <v>0.0</v>
      </c>
      <c r="AX78" s="58">
        <v>0.0</v>
      </c>
      <c r="AY78" s="58">
        <v>0.0</v>
      </c>
      <c r="AZ78" s="58">
        <v>0.0</v>
      </c>
      <c r="BA78" s="58">
        <v>0.0</v>
      </c>
      <c r="BB78" s="58">
        <v>6.56</v>
      </c>
      <c r="BC78" s="58" t="s">
        <v>106</v>
      </c>
      <c r="BG78" s="58">
        <v>-8.2</v>
      </c>
      <c r="BH78" s="58" t="s">
        <v>107</v>
      </c>
      <c r="BI78" s="58" t="s">
        <v>108</v>
      </c>
      <c r="BJ78" s="58" t="s">
        <v>109</v>
      </c>
      <c r="BK78" s="58" t="s">
        <v>290</v>
      </c>
      <c r="BN78" s="58" t="s">
        <v>111</v>
      </c>
      <c r="BO78" s="58" t="s">
        <v>112</v>
      </c>
      <c r="BP78" s="58" t="s">
        <v>113</v>
      </c>
      <c r="BQ78" s="58" t="s">
        <v>114</v>
      </c>
      <c r="BR78" s="58">
        <v>2.46</v>
      </c>
      <c r="BW78" s="64" t="str">
        <f>if(OR(F78="SALE",F78="REFUNDED"),IFERROR(Vlookup(I78,'Listing SKU - Fill SKU Mapping'!A:C,3,false),"Map"),"")</f>
        <v>Keystone</v>
      </c>
      <c r="BX78" s="64" t="str">
        <f>IF(OR(F78="SALE",F78="REFUNDED")=TRUE,iferror(Vlookup(I78,'Listing SKU - Fill SKU Mapping'!A:B,2,false),"Map"),"")</f>
        <v>45116S</v>
      </c>
      <c r="BY78" s="64">
        <f>IF(OR(F78="SALE",F78="REFUNDED")=TRUE,iferror(Vlookup(I78,'Listing SKU - Fill SKU Mapping'!A:D,4,false),"Map"),"")</f>
        <v>30.77</v>
      </c>
      <c r="BZ78" s="66">
        <f t="shared" si="1"/>
        <v>11.5</v>
      </c>
      <c r="CA78" s="66">
        <f t="shared" si="2"/>
        <v>42.27</v>
      </c>
      <c r="CB78" s="66">
        <f t="shared" si="3"/>
        <v>33.97</v>
      </c>
      <c r="CC78" s="64" t="str">
        <f>if(F78="REFUNDED",iferror(Vlookup(I78,'Listing SKU - Fill SKU Mapping'!A:B,2,false),"Map"),"")</f>
        <v/>
      </c>
      <c r="CD78" s="64" t="str">
        <f>if(F78="REFUNDED",iferror(Vlookup(I78,'Listing SKU - Fill SKU Mapping'!A:C,3,false),"Map"),"")</f>
        <v/>
      </c>
      <c r="CE78" s="64" t="str">
        <f t="shared" si="4"/>
        <v>2025</v>
      </c>
      <c r="CF78" s="64" t="str">
        <f t="shared" si="5"/>
        <v>June</v>
      </c>
      <c r="CG78" s="64" t="str">
        <f t="shared" si="6"/>
        <v/>
      </c>
    </row>
    <row r="79">
      <c r="A79" s="55">
        <v>2.00013143554738E14</v>
      </c>
      <c r="B79" s="56">
        <v>1.0</v>
      </c>
      <c r="C79" s="57">
        <v>1.09014348663493E14</v>
      </c>
      <c r="D79" s="58">
        <v>1.0</v>
      </c>
      <c r="F79" s="59" t="s">
        <v>128</v>
      </c>
      <c r="G79" s="60">
        <v>45806.0</v>
      </c>
      <c r="H79" s="58">
        <v>1.0</v>
      </c>
      <c r="I79" s="58" t="s">
        <v>143</v>
      </c>
      <c r="J79" s="61">
        <v>4.60776238265E11</v>
      </c>
      <c r="K79" s="62" t="s">
        <v>144</v>
      </c>
      <c r="L79" s="62">
        <v>2038710.0</v>
      </c>
      <c r="M79" s="63"/>
      <c r="N79" s="63"/>
      <c r="O79" s="63"/>
      <c r="P79" s="63"/>
      <c r="Q79" s="63"/>
      <c r="R79" s="62" t="s">
        <v>146</v>
      </c>
      <c r="S79" s="62">
        <v>31322.0</v>
      </c>
      <c r="U79" s="59">
        <v>-104.84</v>
      </c>
      <c r="V79" s="59">
        <v>-91.12</v>
      </c>
      <c r="W79" s="58">
        <v>-6.86</v>
      </c>
      <c r="X79" s="58">
        <v>0.0</v>
      </c>
      <c r="Y79" s="58">
        <v>0.0</v>
      </c>
      <c r="Z79" s="59">
        <v>-97.98</v>
      </c>
      <c r="AA79" s="58">
        <v>0.0</v>
      </c>
      <c r="AB79" s="58">
        <v>0.0</v>
      </c>
      <c r="AC79" s="58">
        <v>0.0</v>
      </c>
      <c r="AD79" s="58">
        <v>0.0</v>
      </c>
      <c r="AE79" s="58">
        <v>0.0</v>
      </c>
      <c r="AF79" s="58">
        <v>0.0</v>
      </c>
      <c r="AG79" s="58">
        <v>0.0</v>
      </c>
      <c r="AH79" s="58">
        <v>0.0</v>
      </c>
      <c r="AI79" s="58">
        <v>0.0</v>
      </c>
      <c r="AJ79" s="58">
        <v>0.0</v>
      </c>
      <c r="AK79" s="58">
        <v>0.0</v>
      </c>
      <c r="AL79" s="58">
        <v>0.0</v>
      </c>
      <c r="AM79" s="58">
        <v>0.0</v>
      </c>
      <c r="AN79" s="58">
        <v>0.0</v>
      </c>
      <c r="AO79" s="58">
        <v>0.0</v>
      </c>
      <c r="AP79" s="58">
        <v>0.0</v>
      </c>
      <c r="AQ79" s="58">
        <v>0.0</v>
      </c>
      <c r="AR79" s="58">
        <v>0.0</v>
      </c>
      <c r="AS79" s="58">
        <v>0.0</v>
      </c>
      <c r="AT79" s="58">
        <v>-6.86</v>
      </c>
      <c r="AU79" s="58">
        <v>0.0</v>
      </c>
      <c r="AV79" s="58">
        <v>0.0</v>
      </c>
      <c r="AW79" s="58">
        <v>0.0</v>
      </c>
      <c r="AX79" s="58">
        <v>0.0</v>
      </c>
      <c r="AY79" s="58">
        <v>0.0</v>
      </c>
      <c r="AZ79" s="58">
        <v>0.0</v>
      </c>
      <c r="BA79" s="58">
        <v>0.0</v>
      </c>
      <c r="BB79" s="58">
        <v>-6.86</v>
      </c>
      <c r="BC79" s="58" t="s">
        <v>106</v>
      </c>
      <c r="BD79" s="58" t="s">
        <v>156</v>
      </c>
      <c r="BE79" s="58">
        <v>5010.0</v>
      </c>
      <c r="BH79" s="58" t="s">
        <v>107</v>
      </c>
      <c r="BI79" s="58" t="s">
        <v>108</v>
      </c>
      <c r="BL79" s="58">
        <v>1000.0</v>
      </c>
      <c r="BM79" s="58" t="s">
        <v>130</v>
      </c>
      <c r="BN79" s="58" t="s">
        <v>111</v>
      </c>
      <c r="BO79" s="58" t="s">
        <v>112</v>
      </c>
      <c r="BW79" s="64" t="str">
        <f>if(OR(F79="SALE",F79="REFUNDED"),IFERROR(Vlookup(I79,'Listing SKU - Fill SKU Mapping'!A:C,3,false),"Map"),"")</f>
        <v>Keystone</v>
      </c>
      <c r="BX79" s="64" t="str">
        <f>IF(OR(F79="SALE",F79="REFUNDED")=TRUE,iferror(Vlookup(I79,'Listing SKU - Fill SKU Mapping'!A:B,2,false),"Map"),"")</f>
        <v>IMP372BLKN</v>
      </c>
      <c r="BY79" s="64">
        <f>IF(OR(F79="SALE",F79="REFUNDED")=TRUE,iferror(Vlookup(I79,'Listing SKU - Fill SKU Mapping'!A:D,4,false),"Map"),"")</f>
        <v>45.36</v>
      </c>
      <c r="BZ79" s="66">
        <f t="shared" si="1"/>
        <v>11.5</v>
      </c>
      <c r="CA79" s="66">
        <f t="shared" si="2"/>
        <v>56.86</v>
      </c>
      <c r="CB79" s="64" t="str">
        <f t="shared" si="3"/>
        <v/>
      </c>
      <c r="CC79" s="64" t="str">
        <f>if(F79="REFUNDED",iferror(Vlookup(I79,'Listing SKU - Fill SKU Mapping'!A:B,2,false),"Map"),"")</f>
        <v>IMP372BLKN</v>
      </c>
      <c r="CD79" s="64" t="str">
        <f>if(F79="REFUNDED",iferror(Vlookup(I79,'Listing SKU - Fill SKU Mapping'!A:C,3,false),"Map"),"")</f>
        <v>Keystone</v>
      </c>
      <c r="CE79" s="64" t="str">
        <f t="shared" si="4"/>
        <v>2025</v>
      </c>
      <c r="CF79" s="64" t="str">
        <f t="shared" si="5"/>
        <v>May</v>
      </c>
      <c r="CG79" s="64" t="str">
        <f t="shared" si="6"/>
        <v/>
      </c>
    </row>
    <row r="80">
      <c r="A80" s="55">
        <v>2.00013139259493E14</v>
      </c>
      <c r="B80" s="56">
        <v>1.0</v>
      </c>
      <c r="C80" s="57">
        <v>1.09012880994491E14</v>
      </c>
      <c r="D80" s="58">
        <v>1.0</v>
      </c>
      <c r="F80" s="59" t="s">
        <v>128</v>
      </c>
      <c r="G80" s="60">
        <v>45813.0</v>
      </c>
      <c r="H80" s="58">
        <v>1.0</v>
      </c>
      <c r="I80" s="58" t="s">
        <v>159</v>
      </c>
      <c r="J80" s="61">
        <v>4.60776234854E11</v>
      </c>
      <c r="K80" s="62" t="s">
        <v>160</v>
      </c>
      <c r="L80" s="62">
        <v>2038710.0</v>
      </c>
      <c r="M80" s="63"/>
      <c r="N80" s="63"/>
      <c r="O80" s="63"/>
      <c r="P80" s="63"/>
      <c r="Q80" s="63"/>
      <c r="R80" s="62" t="s">
        <v>197</v>
      </c>
      <c r="S80" s="62">
        <v>32082.0</v>
      </c>
      <c r="U80" s="59">
        <v>-101.15</v>
      </c>
      <c r="V80" s="59">
        <v>-88.33</v>
      </c>
      <c r="W80" s="58">
        <v>-6.65</v>
      </c>
      <c r="X80" s="58">
        <v>0.0</v>
      </c>
      <c r="Y80" s="58">
        <v>0.0</v>
      </c>
      <c r="Z80" s="59">
        <v>-94.98</v>
      </c>
      <c r="AA80" s="58">
        <v>0.0</v>
      </c>
      <c r="AB80" s="58">
        <v>0.0</v>
      </c>
      <c r="AC80" s="58">
        <v>0.0</v>
      </c>
      <c r="AD80" s="58">
        <v>0.0</v>
      </c>
      <c r="AE80" s="58">
        <v>0.0</v>
      </c>
      <c r="AF80" s="58">
        <v>0.0</v>
      </c>
      <c r="AG80" s="58">
        <v>0.0</v>
      </c>
      <c r="AH80" s="58">
        <v>0.0</v>
      </c>
      <c r="AI80" s="58">
        <v>0.0</v>
      </c>
      <c r="AJ80" s="58">
        <v>0.0</v>
      </c>
      <c r="AK80" s="58">
        <v>0.0</v>
      </c>
      <c r="AL80" s="58">
        <v>0.0</v>
      </c>
      <c r="AM80" s="58">
        <v>0.0</v>
      </c>
      <c r="AN80" s="58">
        <v>0.0</v>
      </c>
      <c r="AO80" s="58">
        <v>0.0</v>
      </c>
      <c r="AP80" s="58">
        <v>0.0</v>
      </c>
      <c r="AQ80" s="58">
        <v>0.0</v>
      </c>
      <c r="AR80" s="58">
        <v>0.0</v>
      </c>
      <c r="AS80" s="58">
        <v>0.0</v>
      </c>
      <c r="AT80" s="58">
        <v>-6.17</v>
      </c>
      <c r="AU80" s="58">
        <v>0.0</v>
      </c>
      <c r="AV80" s="58">
        <v>0.0</v>
      </c>
      <c r="AW80" s="58">
        <v>0.0</v>
      </c>
      <c r="AX80" s="58">
        <v>0.0</v>
      </c>
      <c r="AY80" s="58">
        <v>0.0</v>
      </c>
      <c r="AZ80" s="58">
        <v>0.0</v>
      </c>
      <c r="BA80" s="58">
        <v>0.0</v>
      </c>
      <c r="BB80" s="58">
        <v>-6.17</v>
      </c>
      <c r="BC80" s="58" t="s">
        <v>106</v>
      </c>
      <c r="BD80" s="58" t="s">
        <v>156</v>
      </c>
      <c r="BE80" s="58">
        <v>5010.0</v>
      </c>
      <c r="BH80" s="58" t="s">
        <v>107</v>
      </c>
      <c r="BI80" s="58" t="s">
        <v>108</v>
      </c>
      <c r="BL80" s="58">
        <v>1018.0</v>
      </c>
      <c r="BM80" s="58" t="s">
        <v>157</v>
      </c>
      <c r="BN80" s="58" t="s">
        <v>111</v>
      </c>
      <c r="BO80" s="58" t="s">
        <v>112</v>
      </c>
      <c r="BW80" s="64" t="str">
        <f>if(OR(F80="SALE",F80="REFUNDED"),IFERROR(Vlookup(I80,'Listing SKU - Fill SKU Mapping'!A:C,3,false),"Map"),"")</f>
        <v>Keystone</v>
      </c>
      <c r="BX80" s="64" t="str">
        <f>IF(OR(F80="SALE",F80="REFUNDED")=TRUE,iferror(Vlookup(I80,'Listing SKU - Fill SKU Mapping'!A:B,2,false),"Map"),"")</f>
        <v>IMP371BLK</v>
      </c>
      <c r="BY80" s="64">
        <f>IF(OR(F80="SALE",F80="REFUNDED")=TRUE,iferror(Vlookup(I80,'Listing SKU - Fill SKU Mapping'!A:D,4,false),"Map"),"")</f>
        <v>43.79</v>
      </c>
      <c r="BZ80" s="66">
        <f t="shared" si="1"/>
        <v>11.5</v>
      </c>
      <c r="CA80" s="66">
        <f t="shared" si="2"/>
        <v>55.29</v>
      </c>
      <c r="CB80" s="64" t="str">
        <f t="shared" si="3"/>
        <v/>
      </c>
      <c r="CC80" s="64" t="str">
        <f>if(F80="REFUNDED",iferror(Vlookup(I80,'Listing SKU - Fill SKU Mapping'!A:B,2,false),"Map"),"")</f>
        <v>IMP371BLK</v>
      </c>
      <c r="CD80" s="64" t="str">
        <f>if(F80="REFUNDED",iferror(Vlookup(I80,'Listing SKU - Fill SKU Mapping'!A:C,3,false),"Map"),"")</f>
        <v>Keystone</v>
      </c>
      <c r="CE80" s="64" t="str">
        <f t="shared" si="4"/>
        <v>2025</v>
      </c>
      <c r="CF80" s="64" t="str">
        <f t="shared" si="5"/>
        <v>June</v>
      </c>
      <c r="CG80" s="64" t="str">
        <f t="shared" si="6"/>
        <v/>
      </c>
    </row>
    <row r="81">
      <c r="A81" s="55">
        <v>2.00013118195642E14</v>
      </c>
      <c r="B81" s="56">
        <v>1.0</v>
      </c>
      <c r="C81" s="57">
        <v>1.09016342342396E14</v>
      </c>
      <c r="D81" s="58">
        <v>1.0</v>
      </c>
      <c r="F81" s="59" t="s">
        <v>100</v>
      </c>
      <c r="G81" s="60">
        <v>45820.0</v>
      </c>
      <c r="H81" s="58">
        <v>1.0</v>
      </c>
      <c r="I81" s="58" t="s">
        <v>308</v>
      </c>
      <c r="J81" s="61">
        <v>4.66885050606E11</v>
      </c>
      <c r="K81" s="62" t="s">
        <v>309</v>
      </c>
      <c r="L81" s="62">
        <v>2038710.0</v>
      </c>
      <c r="M81" s="63"/>
      <c r="N81" s="63"/>
      <c r="O81" s="62" t="s">
        <v>117</v>
      </c>
      <c r="P81" s="63"/>
      <c r="Q81" s="63"/>
      <c r="R81" s="62" t="s">
        <v>310</v>
      </c>
      <c r="S81" s="62">
        <v>21613.0</v>
      </c>
      <c r="T81" s="58" t="s">
        <v>105</v>
      </c>
      <c r="U81" s="59">
        <v>93.26</v>
      </c>
      <c r="V81" s="59">
        <v>81.82</v>
      </c>
      <c r="W81" s="58">
        <v>6.16</v>
      </c>
      <c r="X81" s="58">
        <v>7.0</v>
      </c>
      <c r="Y81" s="58">
        <v>87.98</v>
      </c>
      <c r="Z81" s="59">
        <v>0.0</v>
      </c>
      <c r="AA81" s="58">
        <v>0.0</v>
      </c>
      <c r="AB81" s="58">
        <v>0.0</v>
      </c>
      <c r="AC81" s="58">
        <v>0.0</v>
      </c>
      <c r="AD81" s="58">
        <v>0.0</v>
      </c>
      <c r="AE81" s="58">
        <v>0.0</v>
      </c>
      <c r="AF81" s="58">
        <v>0.0</v>
      </c>
      <c r="AG81" s="58">
        <v>0.0</v>
      </c>
      <c r="AH81" s="58">
        <v>0.0</v>
      </c>
      <c r="AI81" s="58">
        <v>0.0</v>
      </c>
      <c r="AJ81" s="58">
        <v>0.0</v>
      </c>
      <c r="AK81" s="58">
        <v>0.0</v>
      </c>
      <c r="AL81" s="58">
        <v>0.0</v>
      </c>
      <c r="AM81" s="58">
        <v>0.0</v>
      </c>
      <c r="AN81" s="58">
        <v>0.0</v>
      </c>
      <c r="AO81" s="58">
        <v>5.28</v>
      </c>
      <c r="AP81" s="58">
        <v>0.0</v>
      </c>
      <c r="AQ81" s="58">
        <v>0.0</v>
      </c>
      <c r="AR81" s="58">
        <v>0.0</v>
      </c>
      <c r="AS81" s="58">
        <v>0.0</v>
      </c>
      <c r="AT81" s="58">
        <v>0.0</v>
      </c>
      <c r="AU81" s="58">
        <v>0.0</v>
      </c>
      <c r="AV81" s="58">
        <v>0.0</v>
      </c>
      <c r="AW81" s="58">
        <v>0.0</v>
      </c>
      <c r="AX81" s="58">
        <v>0.0</v>
      </c>
      <c r="AY81" s="58">
        <v>0.0</v>
      </c>
      <c r="AZ81" s="58">
        <v>0.0</v>
      </c>
      <c r="BA81" s="58">
        <v>0.0</v>
      </c>
      <c r="BB81" s="58">
        <v>5.28</v>
      </c>
      <c r="BC81" s="58" t="s">
        <v>106</v>
      </c>
      <c r="BG81" s="58">
        <v>-8.8</v>
      </c>
      <c r="BH81" s="58" t="s">
        <v>107</v>
      </c>
      <c r="BI81" s="58" t="s">
        <v>108</v>
      </c>
      <c r="BJ81" s="58" t="s">
        <v>109</v>
      </c>
      <c r="BK81" s="58" t="s">
        <v>290</v>
      </c>
      <c r="BN81" s="58" t="s">
        <v>111</v>
      </c>
      <c r="BO81" s="58" t="s">
        <v>112</v>
      </c>
      <c r="BP81" s="58" t="s">
        <v>113</v>
      </c>
      <c r="BQ81" s="58" t="s">
        <v>114</v>
      </c>
      <c r="BR81" s="58">
        <v>2.64</v>
      </c>
      <c r="BW81" s="64" t="str">
        <f>if(OR(F81="SALE",F81="REFUNDED"),IFERROR(Vlookup(I81,'Listing SKU - Fill SKU Mapping'!A:C,3,false),"Map"),"")</f>
        <v>Keystone</v>
      </c>
      <c r="BX81" s="64" t="str">
        <f>IF(OR(F81="SALE",F81="REFUNDED")=TRUE,iferror(Vlookup(I81,'Listing SKU - Fill SKU Mapping'!A:B,2,false),"Map"),"")</f>
        <v>55316S</v>
      </c>
      <c r="BY81" s="64">
        <f>IF(OR(F81="SALE",F81="REFUNDED")=TRUE,iferror(Vlookup(I81,'Listing SKU - Fill SKU Mapping'!A:D,4,false),"Map"),"")</f>
        <v>34.71</v>
      </c>
      <c r="BZ81" s="66">
        <f t="shared" si="1"/>
        <v>11.5</v>
      </c>
      <c r="CA81" s="66">
        <f t="shared" si="2"/>
        <v>46.21</v>
      </c>
      <c r="CB81" s="66">
        <f t="shared" si="3"/>
        <v>35.61</v>
      </c>
      <c r="CC81" s="64" t="str">
        <f>if(F81="REFUNDED",iferror(Vlookup(I81,'Listing SKU - Fill SKU Mapping'!A:B,2,false),"Map"),"")</f>
        <v/>
      </c>
      <c r="CD81" s="64" t="str">
        <f>if(F81="REFUNDED",iferror(Vlookup(I81,'Listing SKU - Fill SKU Mapping'!A:C,3,false),"Map"),"")</f>
        <v/>
      </c>
      <c r="CE81" s="64" t="str">
        <f t="shared" si="4"/>
        <v>2025</v>
      </c>
      <c r="CF81" s="64" t="str">
        <f t="shared" si="5"/>
        <v>June</v>
      </c>
      <c r="CG81" s="64" t="str">
        <f t="shared" si="6"/>
        <v/>
      </c>
    </row>
    <row r="82">
      <c r="A82" s="55">
        <v>2.00013082278E14</v>
      </c>
      <c r="B82" s="56">
        <v>1.0</v>
      </c>
      <c r="C82" s="57">
        <v>1.09015696721454E14</v>
      </c>
      <c r="D82" s="58">
        <v>1.0</v>
      </c>
      <c r="F82" s="59" t="s">
        <v>100</v>
      </c>
      <c r="G82" s="60">
        <v>45812.0</v>
      </c>
      <c r="H82" s="58">
        <v>1.0</v>
      </c>
      <c r="I82" s="58" t="s">
        <v>311</v>
      </c>
      <c r="J82" s="61">
        <v>4.67129941919E11</v>
      </c>
      <c r="K82" s="62" t="s">
        <v>312</v>
      </c>
      <c r="L82" s="62">
        <v>2038710.0</v>
      </c>
      <c r="M82" s="63"/>
      <c r="N82" s="63"/>
      <c r="O82" s="62" t="s">
        <v>211</v>
      </c>
      <c r="P82" s="63"/>
      <c r="Q82" s="63"/>
      <c r="R82" s="62" t="s">
        <v>313</v>
      </c>
      <c r="S82" s="62">
        <v>36830.0</v>
      </c>
      <c r="T82" s="58" t="s">
        <v>105</v>
      </c>
      <c r="U82" s="59">
        <v>83.14</v>
      </c>
      <c r="V82" s="59">
        <v>71.59</v>
      </c>
      <c r="W82" s="58">
        <v>5.39</v>
      </c>
      <c r="X82" s="58">
        <v>7.0</v>
      </c>
      <c r="Y82" s="58">
        <v>76.98</v>
      </c>
      <c r="Z82" s="59">
        <v>0.0</v>
      </c>
      <c r="AA82" s="58">
        <v>0.0</v>
      </c>
      <c r="AB82" s="58">
        <v>0.0</v>
      </c>
      <c r="AC82" s="58">
        <v>0.0</v>
      </c>
      <c r="AD82" s="58">
        <v>0.0</v>
      </c>
      <c r="AE82" s="58">
        <v>0.0</v>
      </c>
      <c r="AF82" s="58">
        <v>0.0</v>
      </c>
      <c r="AG82" s="58">
        <v>0.0</v>
      </c>
      <c r="AH82" s="58">
        <v>0.0</v>
      </c>
      <c r="AI82" s="58">
        <v>0.0</v>
      </c>
      <c r="AJ82" s="58">
        <v>0.0</v>
      </c>
      <c r="AK82" s="58">
        <v>0.0</v>
      </c>
      <c r="AL82" s="58">
        <v>0.0</v>
      </c>
      <c r="AM82" s="58">
        <v>0.0</v>
      </c>
      <c r="AN82" s="58">
        <v>0.0</v>
      </c>
      <c r="AO82" s="58">
        <v>6.16</v>
      </c>
      <c r="AP82" s="58">
        <v>0.0</v>
      </c>
      <c r="AQ82" s="58">
        <v>0.0</v>
      </c>
      <c r="AR82" s="58">
        <v>0.0</v>
      </c>
      <c r="AS82" s="58">
        <v>0.0</v>
      </c>
      <c r="AT82" s="58">
        <v>0.0</v>
      </c>
      <c r="AU82" s="58">
        <v>0.0</v>
      </c>
      <c r="AV82" s="58">
        <v>0.0</v>
      </c>
      <c r="AW82" s="58">
        <v>0.0</v>
      </c>
      <c r="AX82" s="58">
        <v>0.0</v>
      </c>
      <c r="AY82" s="58">
        <v>0.0</v>
      </c>
      <c r="AZ82" s="58">
        <v>0.0</v>
      </c>
      <c r="BA82" s="58">
        <v>0.0</v>
      </c>
      <c r="BB82" s="58">
        <v>6.16</v>
      </c>
      <c r="BC82" s="58" t="s">
        <v>106</v>
      </c>
      <c r="BG82" s="58">
        <v>-7.7</v>
      </c>
      <c r="BH82" s="58" t="s">
        <v>107</v>
      </c>
      <c r="BI82" s="58" t="s">
        <v>108</v>
      </c>
      <c r="BJ82" s="58" t="s">
        <v>109</v>
      </c>
      <c r="BK82" s="58" t="s">
        <v>282</v>
      </c>
      <c r="BN82" s="58" t="s">
        <v>111</v>
      </c>
      <c r="BO82" s="58" t="s">
        <v>112</v>
      </c>
      <c r="BP82" s="58" t="s">
        <v>113</v>
      </c>
      <c r="BQ82" s="58" t="s">
        <v>114</v>
      </c>
      <c r="BR82" s="58">
        <v>2.31</v>
      </c>
      <c r="BW82" s="64" t="str">
        <f>if(OR(F82="SALE",F82="REFUNDED"),IFERROR(Vlookup(I82,'Listing SKU - Fill SKU Mapping'!A:C,3,false),"Map"),"")</f>
        <v>Keystone</v>
      </c>
      <c r="BX82" s="64" t="str">
        <f>IF(OR(F82="SALE",F82="REFUNDED")=TRUE,iferror(Vlookup(I82,'Listing SKU - Fill SKU Mapping'!A:B,2,false),"Map"),"")</f>
        <v>51416S</v>
      </c>
      <c r="BY82" s="64">
        <f>IF(OR(F82="SALE",F82="REFUNDED")=TRUE,iferror(Vlookup(I82,'Listing SKU - Fill SKU Mapping'!A:D,4,false),"Map"),"")</f>
        <v>28.01</v>
      </c>
      <c r="BZ82" s="66">
        <f t="shared" si="1"/>
        <v>11.5</v>
      </c>
      <c r="CA82" s="66">
        <f t="shared" si="2"/>
        <v>39.51</v>
      </c>
      <c r="CB82" s="66">
        <f t="shared" si="3"/>
        <v>32.08</v>
      </c>
      <c r="CC82" s="64" t="str">
        <f>if(F82="REFUNDED",iferror(Vlookup(I82,'Listing SKU - Fill SKU Mapping'!A:B,2,false),"Map"),"")</f>
        <v/>
      </c>
      <c r="CD82" s="64" t="str">
        <f>if(F82="REFUNDED",iferror(Vlookup(I82,'Listing SKU - Fill SKU Mapping'!A:C,3,false),"Map"),"")</f>
        <v/>
      </c>
      <c r="CE82" s="64" t="str">
        <f t="shared" si="4"/>
        <v>2025</v>
      </c>
      <c r="CF82" s="64" t="str">
        <f t="shared" si="5"/>
        <v>June</v>
      </c>
      <c r="CG82" s="64" t="str">
        <f t="shared" si="6"/>
        <v/>
      </c>
    </row>
    <row r="83">
      <c r="A83" s="55">
        <v>2.00013055732988E14</v>
      </c>
      <c r="B83" s="56">
        <v>1.0</v>
      </c>
      <c r="C83" s="57">
        <v>1.09015282860754E14</v>
      </c>
      <c r="D83" s="58">
        <v>1.0</v>
      </c>
      <c r="F83" s="59" t="s">
        <v>100</v>
      </c>
      <c r="G83" s="60">
        <v>45809.0</v>
      </c>
      <c r="H83" s="58">
        <v>1.0</v>
      </c>
      <c r="I83" s="58" t="s">
        <v>131</v>
      </c>
      <c r="J83" s="61">
        <v>4.69971001575E11</v>
      </c>
      <c r="K83" s="62" t="s">
        <v>132</v>
      </c>
      <c r="L83" s="62">
        <v>2038710.0</v>
      </c>
      <c r="M83" s="63"/>
      <c r="N83" s="63"/>
      <c r="O83" s="62" t="s">
        <v>241</v>
      </c>
      <c r="P83" s="63"/>
      <c r="Q83" s="63"/>
      <c r="R83" s="62" t="s">
        <v>314</v>
      </c>
      <c r="S83" s="62">
        <v>84660.0</v>
      </c>
      <c r="T83" s="58" t="s">
        <v>105</v>
      </c>
      <c r="U83" s="59">
        <v>51.55</v>
      </c>
      <c r="V83" s="59">
        <v>44.62</v>
      </c>
      <c r="W83" s="58">
        <v>3.36</v>
      </c>
      <c r="X83" s="58">
        <v>7.0</v>
      </c>
      <c r="Y83" s="58">
        <v>47.98</v>
      </c>
      <c r="Z83" s="59">
        <v>0.0</v>
      </c>
      <c r="AA83" s="58">
        <v>0.0</v>
      </c>
      <c r="AB83" s="58">
        <v>0.0</v>
      </c>
      <c r="AC83" s="58">
        <v>0.0</v>
      </c>
      <c r="AD83" s="58">
        <v>0.0</v>
      </c>
      <c r="AE83" s="58">
        <v>0.0</v>
      </c>
      <c r="AF83" s="58">
        <v>0.0</v>
      </c>
      <c r="AG83" s="58">
        <v>0.0</v>
      </c>
      <c r="AH83" s="58">
        <v>0.0</v>
      </c>
      <c r="AI83" s="58">
        <v>0.0</v>
      </c>
      <c r="AJ83" s="58">
        <v>0.0</v>
      </c>
      <c r="AK83" s="58">
        <v>0.0</v>
      </c>
      <c r="AL83" s="58">
        <v>0.0</v>
      </c>
      <c r="AM83" s="58">
        <v>0.0</v>
      </c>
      <c r="AN83" s="58">
        <v>0.0</v>
      </c>
      <c r="AO83" s="58">
        <v>3.57</v>
      </c>
      <c r="AP83" s="58">
        <v>0.0</v>
      </c>
      <c r="AQ83" s="58">
        <v>0.0</v>
      </c>
      <c r="AR83" s="58">
        <v>0.0</v>
      </c>
      <c r="AS83" s="58">
        <v>0.0</v>
      </c>
      <c r="AT83" s="58">
        <v>0.0</v>
      </c>
      <c r="AU83" s="58">
        <v>0.0</v>
      </c>
      <c r="AV83" s="58">
        <v>0.0</v>
      </c>
      <c r="AW83" s="58">
        <v>0.0</v>
      </c>
      <c r="AX83" s="58">
        <v>0.0</v>
      </c>
      <c r="AY83" s="58">
        <v>0.0</v>
      </c>
      <c r="AZ83" s="58">
        <v>0.0</v>
      </c>
      <c r="BA83" s="58">
        <v>0.0</v>
      </c>
      <c r="BB83" s="58">
        <v>3.57</v>
      </c>
      <c r="BC83" s="58" t="s">
        <v>106</v>
      </c>
      <c r="BG83" s="58">
        <v>-4.8</v>
      </c>
      <c r="BH83" s="58" t="s">
        <v>107</v>
      </c>
      <c r="BI83" s="58" t="s">
        <v>108</v>
      </c>
      <c r="BJ83" s="58" t="s">
        <v>109</v>
      </c>
      <c r="BK83" s="58" t="s">
        <v>110</v>
      </c>
      <c r="BN83" s="58" t="s">
        <v>111</v>
      </c>
      <c r="BO83" s="58" t="s">
        <v>112</v>
      </c>
      <c r="BP83" s="58" t="s">
        <v>113</v>
      </c>
      <c r="BQ83" s="58" t="s">
        <v>114</v>
      </c>
      <c r="BR83" s="58">
        <v>1.44</v>
      </c>
      <c r="BW83" s="64" t="str">
        <f>if(OR(F83="SALE",F83="REFUNDED"),IFERROR(Vlookup(I83,'Listing SKU - Fill SKU Mapping'!A:C,3,false),"Map"),"")</f>
        <v>Keystone</v>
      </c>
      <c r="BX83" s="64" t="str">
        <f>IF(OR(F83="SALE",F83="REFUNDED")=TRUE,iferror(Vlookup(I83,'Listing SKU - Fill SKU Mapping'!A:B,2,false),"Map"),"")</f>
        <v>43615S</v>
      </c>
      <c r="BY83" s="64">
        <f>IF(OR(F83="SALE",F83="REFUNDED")=TRUE,iferror(Vlookup(I83,'Listing SKU - Fill SKU Mapping'!A:D,4,false),"Map"),"")</f>
        <v>14.99</v>
      </c>
      <c r="BZ83" s="66">
        <f t="shared" si="1"/>
        <v>11.5</v>
      </c>
      <c r="CA83" s="66">
        <f t="shared" si="2"/>
        <v>26.49</v>
      </c>
      <c r="CB83" s="66">
        <f t="shared" si="3"/>
        <v>18.13</v>
      </c>
      <c r="CC83" s="64" t="str">
        <f>if(F83="REFUNDED",iferror(Vlookup(I83,'Listing SKU - Fill SKU Mapping'!A:B,2,false),"Map"),"")</f>
        <v/>
      </c>
      <c r="CD83" s="64" t="str">
        <f>if(F83="REFUNDED",iferror(Vlookup(I83,'Listing SKU - Fill SKU Mapping'!A:C,3,false),"Map"),"")</f>
        <v/>
      </c>
      <c r="CE83" s="64" t="str">
        <f t="shared" si="4"/>
        <v>2025</v>
      </c>
      <c r="CF83" s="64" t="str">
        <f t="shared" si="5"/>
        <v>June</v>
      </c>
      <c r="CG83" s="64" t="str">
        <f t="shared" si="6"/>
        <v/>
      </c>
    </row>
    <row r="84">
      <c r="A84" s="55">
        <v>2.00013001971046E14</v>
      </c>
      <c r="B84" s="56">
        <v>1.0</v>
      </c>
      <c r="C84" s="57">
        <v>1.09010999475878E14</v>
      </c>
      <c r="D84" s="58">
        <v>1.0</v>
      </c>
      <c r="F84" s="59" t="s">
        <v>158</v>
      </c>
      <c r="G84" s="60">
        <v>45809.0</v>
      </c>
      <c r="H84" s="58">
        <v>1.0</v>
      </c>
      <c r="I84" s="58" t="s">
        <v>230</v>
      </c>
      <c r="J84" s="61">
        <v>4.60776230825E11</v>
      </c>
      <c r="K84" s="62" t="s">
        <v>231</v>
      </c>
      <c r="L84" s="62">
        <v>2038710.0</v>
      </c>
      <c r="M84" s="63"/>
      <c r="N84" s="63"/>
      <c r="O84" s="62" t="s">
        <v>232</v>
      </c>
      <c r="P84" s="63"/>
      <c r="Q84" s="63"/>
      <c r="R84" s="62" t="s">
        <v>233</v>
      </c>
      <c r="S84" s="62">
        <v>17066.0</v>
      </c>
      <c r="T84" s="58" t="s">
        <v>105</v>
      </c>
      <c r="U84" s="59">
        <v>0.0</v>
      </c>
      <c r="V84" s="59">
        <v>-10.81</v>
      </c>
      <c r="W84" s="58">
        <v>0.0</v>
      </c>
      <c r="X84" s="58">
        <v>0.0</v>
      </c>
      <c r="Y84" s="58">
        <v>0.0</v>
      </c>
      <c r="Z84" s="59">
        <v>0.0</v>
      </c>
      <c r="AA84" s="58">
        <v>0.0</v>
      </c>
      <c r="AB84" s="58">
        <v>0.0</v>
      </c>
      <c r="AC84" s="58">
        <v>0.0</v>
      </c>
      <c r="AD84" s="58">
        <v>0.0</v>
      </c>
      <c r="AE84" s="58">
        <v>0.0</v>
      </c>
      <c r="AF84" s="58">
        <v>0.0</v>
      </c>
      <c r="AG84" s="58">
        <v>0.0</v>
      </c>
      <c r="AH84" s="58">
        <v>0.0</v>
      </c>
      <c r="AI84" s="58">
        <v>0.0</v>
      </c>
      <c r="AJ84" s="58">
        <v>0.0</v>
      </c>
      <c r="AK84" s="58">
        <v>0.0</v>
      </c>
      <c r="AL84" s="58">
        <v>0.0</v>
      </c>
      <c r="AM84" s="58">
        <v>0.0</v>
      </c>
      <c r="AN84" s="58">
        <v>0.0</v>
      </c>
      <c r="AO84" s="58">
        <v>0.0</v>
      </c>
      <c r="AP84" s="58">
        <v>0.0</v>
      </c>
      <c r="AQ84" s="58">
        <v>0.0</v>
      </c>
      <c r="AR84" s="58">
        <v>0.0</v>
      </c>
      <c r="AS84" s="58">
        <v>0.0</v>
      </c>
      <c r="AT84" s="58">
        <v>0.0</v>
      </c>
      <c r="AU84" s="58">
        <v>0.0</v>
      </c>
      <c r="AV84" s="58">
        <v>0.0</v>
      </c>
      <c r="AW84" s="58">
        <v>0.0</v>
      </c>
      <c r="AX84" s="58">
        <v>0.0</v>
      </c>
      <c r="AY84" s="58">
        <v>0.0</v>
      </c>
      <c r="AZ84" s="58">
        <v>0.0</v>
      </c>
      <c r="BA84" s="58">
        <v>0.0</v>
      </c>
      <c r="BB84" s="58">
        <v>0.0</v>
      </c>
      <c r="BC84" s="58" t="s">
        <v>106</v>
      </c>
      <c r="BD84" s="58" t="s">
        <v>163</v>
      </c>
      <c r="BE84" s="58">
        <v>5013.0</v>
      </c>
      <c r="BH84" s="58" t="s">
        <v>107</v>
      </c>
      <c r="BI84" s="58" t="s">
        <v>108</v>
      </c>
      <c r="BN84" s="58" t="s">
        <v>111</v>
      </c>
      <c r="BO84" s="58" t="s">
        <v>112</v>
      </c>
      <c r="BW84" s="64" t="str">
        <f>if(OR(F84="SALE",F84="REFUNDED"),IFERROR(Vlookup(I84,'Listing SKU - Fill SKU Mapping'!A:C,3,false),"Map"),"")</f>
        <v/>
      </c>
      <c r="BX84" s="64" t="str">
        <f>IF(OR(F84="SALE",F84="REFUNDED")=TRUE,iferror(Vlookup(I84,'Listing SKU - Fill SKU Mapping'!A:B,2,false),"Map"),"")</f>
        <v/>
      </c>
      <c r="BY84" s="64" t="str">
        <f>IF(OR(F84="SALE",F84="REFUNDED")=TRUE,iferror(Vlookup(I84,'Listing SKU - Fill SKU Mapping'!A:D,4,false),"Map"),"")</f>
        <v/>
      </c>
      <c r="BZ84" s="66" t="str">
        <f t="shared" si="1"/>
        <v/>
      </c>
      <c r="CA84" s="64" t="str">
        <f t="shared" si="2"/>
        <v/>
      </c>
      <c r="CB84" s="64" t="str">
        <f t="shared" si="3"/>
        <v/>
      </c>
      <c r="CC84" s="64" t="str">
        <f>if(F84="REFUNDED",iferror(Vlookup(I84,'Listing SKU - Fill SKU Mapping'!A:B,2,false),"Map"),"")</f>
        <v/>
      </c>
      <c r="CD84" s="64" t="str">
        <f>if(F84="REFUNDED",iferror(Vlookup(I84,'Listing SKU - Fill SKU Mapping'!A:C,3,false),"Map"),"")</f>
        <v/>
      </c>
      <c r="CE84" s="64" t="str">
        <f t="shared" si="4"/>
        <v>2025</v>
      </c>
      <c r="CF84" s="64" t="str">
        <f t="shared" si="5"/>
        <v>June</v>
      </c>
      <c r="CG84" s="64" t="str">
        <f t="shared" si="6"/>
        <v/>
      </c>
    </row>
    <row r="85">
      <c r="A85" s="55">
        <v>2.0001E14</v>
      </c>
      <c r="B85" s="56">
        <v>1.0</v>
      </c>
      <c r="C85" s="57">
        <v>1.0902E14</v>
      </c>
      <c r="D85" s="58">
        <v>1.0</v>
      </c>
      <c r="F85" s="59" t="s">
        <v>100</v>
      </c>
      <c r="G85" s="60">
        <v>45835.0</v>
      </c>
      <c r="H85" s="58">
        <v>1.0</v>
      </c>
      <c r="I85" s="58" t="s">
        <v>315</v>
      </c>
      <c r="J85" s="61">
        <v>4.67129950058E11</v>
      </c>
      <c r="K85" s="63"/>
      <c r="L85" s="63"/>
      <c r="M85" s="63"/>
      <c r="N85" s="63"/>
      <c r="O85" s="63"/>
      <c r="P85" s="63"/>
      <c r="Q85" s="63"/>
      <c r="R85" s="63"/>
      <c r="S85" s="63"/>
      <c r="T85" s="58" t="s">
        <v>105</v>
      </c>
      <c r="U85" s="59">
        <v>56.0</v>
      </c>
      <c r="V85" s="59">
        <v>51.13</v>
      </c>
      <c r="W85" s="58">
        <v>3.85</v>
      </c>
      <c r="X85" s="58">
        <v>7.0</v>
      </c>
      <c r="Y85" s="58">
        <v>51.9</v>
      </c>
      <c r="Z85" s="59">
        <v>0.0</v>
      </c>
      <c r="AA85" s="58">
        <v>0.0</v>
      </c>
      <c r="AB85" s="58">
        <v>0.0</v>
      </c>
      <c r="AC85" s="58">
        <v>0.0</v>
      </c>
      <c r="AD85" s="58">
        <v>0.0</v>
      </c>
      <c r="AE85" s="58">
        <v>0.0</v>
      </c>
      <c r="AF85" s="58">
        <v>0.0</v>
      </c>
      <c r="AG85" s="58">
        <v>0.0</v>
      </c>
      <c r="AH85" s="58">
        <v>0.0</v>
      </c>
      <c r="AI85" s="58">
        <v>0.0</v>
      </c>
      <c r="AJ85" s="58">
        <v>0.0</v>
      </c>
      <c r="AK85" s="58">
        <v>0.0</v>
      </c>
      <c r="AL85" s="58">
        <v>0.0</v>
      </c>
      <c r="AM85" s="58">
        <v>0.0</v>
      </c>
      <c r="AN85" s="58">
        <v>0.0</v>
      </c>
      <c r="AO85" s="58">
        <v>4.1</v>
      </c>
      <c r="AP85" s="58">
        <v>0.0</v>
      </c>
      <c r="AQ85" s="58">
        <v>0.0</v>
      </c>
      <c r="AR85" s="58">
        <v>0.0</v>
      </c>
      <c r="AS85" s="58">
        <v>0.0</v>
      </c>
      <c r="AT85" s="58">
        <v>0.0</v>
      </c>
      <c r="AU85" s="58">
        <v>0.0</v>
      </c>
      <c r="AV85" s="58">
        <v>0.0</v>
      </c>
      <c r="AW85" s="58">
        <v>0.0</v>
      </c>
      <c r="AX85" s="58">
        <v>0.0</v>
      </c>
      <c r="AY85" s="58">
        <v>0.0</v>
      </c>
      <c r="AZ85" s="58">
        <v>0.0</v>
      </c>
      <c r="BA85" s="58">
        <v>0.0</v>
      </c>
      <c r="BB85" s="58">
        <v>4.1</v>
      </c>
      <c r="BC85" s="58" t="s">
        <v>106</v>
      </c>
      <c r="BF85" s="58">
        <v>54.98</v>
      </c>
      <c r="BG85" s="58">
        <v>-5.5</v>
      </c>
      <c r="BH85" s="58" t="s">
        <v>107</v>
      </c>
      <c r="BI85" s="58" t="s">
        <v>108</v>
      </c>
      <c r="BJ85" s="58" t="s">
        <v>109</v>
      </c>
      <c r="BK85" s="58" t="s">
        <v>316</v>
      </c>
      <c r="BN85" s="58" t="s">
        <v>111</v>
      </c>
      <c r="BO85" s="58" t="s">
        <v>112</v>
      </c>
      <c r="BP85" s="58" t="s">
        <v>113</v>
      </c>
      <c r="BQ85" s="58" t="s">
        <v>317</v>
      </c>
      <c r="BR85" s="58">
        <v>1.65</v>
      </c>
      <c r="BT85" s="58">
        <v>-3.08</v>
      </c>
      <c r="BU85" s="58" t="s">
        <v>318</v>
      </c>
      <c r="BW85" s="64" t="str">
        <f>if(OR(F85="SALE",F85="REFUNDED"),IFERROR(Vlookup(I85,'Listing SKU - Fill SKU Mapping'!A:C,3,false),"Map"),"")</f>
        <v>Keystone</v>
      </c>
      <c r="BX85" s="64" t="str">
        <f>IF(OR(F85="SALE",F85="REFUNDED")=TRUE,iferror(Vlookup(I85,'Listing SKU - Fill SKU Mapping'!A:B,2,false),"Map"),"")</f>
        <v>B87714S</v>
      </c>
      <c r="BY85" s="64">
        <f>IF(OR(F85="SALE",F85="REFUNDED")=TRUE,iferror(Vlookup(I85,'Listing SKU - Fill SKU Mapping'!A:D,4,false),"Map"),"")</f>
        <v>14.2</v>
      </c>
      <c r="BZ85" s="66">
        <f t="shared" si="1"/>
        <v>11.5</v>
      </c>
      <c r="CA85" s="66">
        <f t="shared" si="2"/>
        <v>25.7</v>
      </c>
      <c r="CB85" s="66">
        <f t="shared" si="3"/>
        <v>25.43</v>
      </c>
      <c r="CC85" s="64" t="str">
        <f>if(F85="REFUNDED",iferror(Vlookup(I85,'Listing SKU - Fill SKU Mapping'!A:B,2,false),"Map"),"")</f>
        <v/>
      </c>
      <c r="CD85" s="64" t="str">
        <f>if(F85="REFUNDED",iferror(Vlookup(I85,'Listing SKU - Fill SKU Mapping'!A:C,3,false),"Map"),"")</f>
        <v/>
      </c>
      <c r="CE85" s="64" t="str">
        <f t="shared" si="4"/>
        <v>2025</v>
      </c>
      <c r="CF85" s="64" t="str">
        <f t="shared" si="5"/>
        <v>June</v>
      </c>
      <c r="CG85" s="64" t="str">
        <f t="shared" si="6"/>
        <v/>
      </c>
    </row>
    <row r="86">
      <c r="A86" s="55">
        <v>2.0001E14</v>
      </c>
      <c r="B86" s="56">
        <v>1.0</v>
      </c>
      <c r="C86" s="57">
        <v>1.0902E14</v>
      </c>
      <c r="D86" s="58">
        <v>1.0</v>
      </c>
      <c r="F86" s="59" t="s">
        <v>100</v>
      </c>
      <c r="G86" s="60">
        <v>45831.0</v>
      </c>
      <c r="H86" s="58">
        <v>1.0</v>
      </c>
      <c r="I86" s="58" t="s">
        <v>319</v>
      </c>
      <c r="J86" s="61">
        <v>4.67129943173E11</v>
      </c>
      <c r="K86" s="63"/>
      <c r="L86" s="63"/>
      <c r="M86" s="63"/>
      <c r="N86" s="63"/>
      <c r="O86" s="63"/>
      <c r="P86" s="63"/>
      <c r="Q86" s="63"/>
      <c r="R86" s="63"/>
      <c r="S86" s="63"/>
      <c r="T86" s="58" t="s">
        <v>105</v>
      </c>
      <c r="U86" s="59">
        <v>80.89</v>
      </c>
      <c r="V86" s="59">
        <v>78.1</v>
      </c>
      <c r="W86" s="58">
        <v>5.88</v>
      </c>
      <c r="X86" s="58">
        <v>7.0</v>
      </c>
      <c r="Y86" s="58">
        <v>74.9</v>
      </c>
      <c r="Z86" s="59">
        <v>0.0</v>
      </c>
      <c r="AA86" s="58">
        <v>0.0</v>
      </c>
      <c r="AB86" s="58">
        <v>0.0</v>
      </c>
      <c r="AC86" s="58">
        <v>0.0</v>
      </c>
      <c r="AD86" s="58">
        <v>0.0</v>
      </c>
      <c r="AE86" s="58">
        <v>0.0</v>
      </c>
      <c r="AF86" s="58">
        <v>0.0</v>
      </c>
      <c r="AG86" s="58">
        <v>0.0</v>
      </c>
      <c r="AH86" s="58">
        <v>0.0</v>
      </c>
      <c r="AI86" s="58">
        <v>0.0</v>
      </c>
      <c r="AJ86" s="58">
        <v>0.0</v>
      </c>
      <c r="AK86" s="58">
        <v>0.0</v>
      </c>
      <c r="AL86" s="58">
        <v>0.0</v>
      </c>
      <c r="AM86" s="58">
        <v>0.0</v>
      </c>
      <c r="AN86" s="58">
        <v>0.0</v>
      </c>
      <c r="AO86" s="58">
        <v>5.99</v>
      </c>
      <c r="AP86" s="58">
        <v>0.0</v>
      </c>
      <c r="AQ86" s="58">
        <v>0.0</v>
      </c>
      <c r="AR86" s="58">
        <v>0.0</v>
      </c>
      <c r="AS86" s="58">
        <v>0.0</v>
      </c>
      <c r="AT86" s="58">
        <v>0.0</v>
      </c>
      <c r="AU86" s="58">
        <v>0.0</v>
      </c>
      <c r="AV86" s="58">
        <v>0.0</v>
      </c>
      <c r="AW86" s="58">
        <v>0.0</v>
      </c>
      <c r="AX86" s="58">
        <v>0.0</v>
      </c>
      <c r="AY86" s="58">
        <v>0.0</v>
      </c>
      <c r="AZ86" s="58">
        <v>0.0</v>
      </c>
      <c r="BA86" s="58">
        <v>0.0</v>
      </c>
      <c r="BB86" s="58">
        <v>5.99</v>
      </c>
      <c r="BC86" s="58" t="s">
        <v>106</v>
      </c>
      <c r="BF86" s="58">
        <v>83.98</v>
      </c>
      <c r="BG86" s="58">
        <v>-8.4</v>
      </c>
      <c r="BH86" s="58" t="s">
        <v>107</v>
      </c>
      <c r="BI86" s="58" t="s">
        <v>108</v>
      </c>
      <c r="BJ86" s="58" t="s">
        <v>109</v>
      </c>
      <c r="BK86" s="58" t="s">
        <v>320</v>
      </c>
      <c r="BN86" s="58" t="s">
        <v>111</v>
      </c>
      <c r="BO86" s="58" t="s">
        <v>112</v>
      </c>
      <c r="BP86" s="58" t="s">
        <v>113</v>
      </c>
      <c r="BQ86" s="58" t="s">
        <v>317</v>
      </c>
      <c r="BR86" s="58">
        <v>2.52</v>
      </c>
      <c r="BT86" s="58">
        <v>-9.08</v>
      </c>
      <c r="BU86" s="58" t="s">
        <v>318</v>
      </c>
      <c r="BW86" s="64" t="str">
        <f>if(OR(F86="SALE",F86="REFUNDED"),IFERROR(Vlookup(I86,'Listing SKU - Fill SKU Mapping'!A:C,3,false),"Map"),"")</f>
        <v>Keystone</v>
      </c>
      <c r="BX86" s="64" t="str">
        <f>IF(OR(F86="SALE",F86="REFUNDED")=TRUE,iferror(Vlookup(I86,'Listing SKU - Fill SKU Mapping'!A:B,2,false),"Map"),"")</f>
        <v>43116S</v>
      </c>
      <c r="BY86" s="64">
        <f>IF(OR(F86="SALE",F86="REFUNDED")=TRUE,iferror(Vlookup(I86,'Listing SKU - Fill SKU Mapping'!A:D,4,false),"Map"),"")</f>
        <v>32.35</v>
      </c>
      <c r="BZ86" s="66">
        <f t="shared" si="1"/>
        <v>11.5</v>
      </c>
      <c r="CA86" s="66">
        <f t="shared" si="2"/>
        <v>43.85</v>
      </c>
      <c r="CB86" s="66">
        <f t="shared" si="3"/>
        <v>34.25</v>
      </c>
      <c r="CC86" s="64" t="str">
        <f>if(F86="REFUNDED",iferror(Vlookup(I86,'Listing SKU - Fill SKU Mapping'!A:B,2,false),"Map"),"")</f>
        <v/>
      </c>
      <c r="CD86" s="64" t="str">
        <f>if(F86="REFUNDED",iferror(Vlookup(I86,'Listing SKU - Fill SKU Mapping'!A:C,3,false),"Map"),"")</f>
        <v/>
      </c>
      <c r="CE86" s="64" t="str">
        <f t="shared" si="4"/>
        <v>2025</v>
      </c>
      <c r="CF86" s="64" t="str">
        <f t="shared" si="5"/>
        <v>June</v>
      </c>
      <c r="CG86" s="64" t="str">
        <f t="shared" si="6"/>
        <v/>
      </c>
    </row>
    <row r="87">
      <c r="A87" s="55">
        <v>2.0001E14</v>
      </c>
      <c r="B87" s="56">
        <v>1.0</v>
      </c>
      <c r="C87" s="57">
        <v>1.0902E14</v>
      </c>
      <c r="D87" s="58">
        <v>1.0</v>
      </c>
      <c r="F87" s="59" t="s">
        <v>100</v>
      </c>
      <c r="G87" s="60">
        <v>45828.0</v>
      </c>
      <c r="H87" s="58">
        <v>1.0</v>
      </c>
      <c r="I87" s="58" t="s">
        <v>321</v>
      </c>
      <c r="J87" s="61">
        <v>4.60776235141E11</v>
      </c>
      <c r="K87" s="63"/>
      <c r="L87" s="63"/>
      <c r="M87" s="63"/>
      <c r="N87" s="63"/>
      <c r="O87" s="63"/>
      <c r="P87" s="63"/>
      <c r="Q87" s="63"/>
      <c r="R87" s="63"/>
      <c r="S87" s="63"/>
      <c r="T87" s="58" t="s">
        <v>105</v>
      </c>
      <c r="U87" s="59">
        <v>124.1</v>
      </c>
      <c r="V87" s="59">
        <v>107.86</v>
      </c>
      <c r="W87" s="58">
        <v>8.12</v>
      </c>
      <c r="X87" s="58">
        <v>7.0</v>
      </c>
      <c r="Y87" s="58">
        <v>115.98</v>
      </c>
      <c r="Z87" s="59">
        <v>0.0</v>
      </c>
      <c r="AA87" s="58">
        <v>0.0</v>
      </c>
      <c r="AB87" s="58">
        <v>0.0</v>
      </c>
      <c r="AC87" s="58">
        <v>0.0</v>
      </c>
      <c r="AD87" s="58">
        <v>0.0</v>
      </c>
      <c r="AE87" s="58">
        <v>0.0</v>
      </c>
      <c r="AF87" s="58">
        <v>0.0</v>
      </c>
      <c r="AG87" s="58">
        <v>0.0</v>
      </c>
      <c r="AH87" s="58">
        <v>0.0</v>
      </c>
      <c r="AI87" s="58">
        <v>0.0</v>
      </c>
      <c r="AJ87" s="58">
        <v>0.0</v>
      </c>
      <c r="AK87" s="58">
        <v>0.0</v>
      </c>
      <c r="AL87" s="58">
        <v>0.0</v>
      </c>
      <c r="AM87" s="58">
        <v>0.0</v>
      </c>
      <c r="AN87" s="58">
        <v>0.0</v>
      </c>
      <c r="AO87" s="58">
        <v>8.12</v>
      </c>
      <c r="AP87" s="58">
        <v>0.0</v>
      </c>
      <c r="AQ87" s="58">
        <v>0.0</v>
      </c>
      <c r="AR87" s="58">
        <v>0.0</v>
      </c>
      <c r="AS87" s="58">
        <v>0.0</v>
      </c>
      <c r="AT87" s="58">
        <v>0.0</v>
      </c>
      <c r="AU87" s="58">
        <v>0.0</v>
      </c>
      <c r="AV87" s="58">
        <v>0.0</v>
      </c>
      <c r="AW87" s="58">
        <v>0.0</v>
      </c>
      <c r="AX87" s="58">
        <v>0.0</v>
      </c>
      <c r="AY87" s="58">
        <v>0.0</v>
      </c>
      <c r="AZ87" s="58">
        <v>0.0</v>
      </c>
      <c r="BA87" s="58">
        <v>0.0</v>
      </c>
      <c r="BB87" s="58">
        <v>8.12</v>
      </c>
      <c r="BC87" s="58" t="s">
        <v>106</v>
      </c>
      <c r="BG87" s="58">
        <v>-11.6</v>
      </c>
      <c r="BH87" s="58" t="s">
        <v>107</v>
      </c>
      <c r="BI87" s="58" t="s">
        <v>108</v>
      </c>
      <c r="BJ87" s="58" t="s">
        <v>109</v>
      </c>
      <c r="BK87" s="58" t="s">
        <v>320</v>
      </c>
      <c r="BN87" s="58" t="s">
        <v>111</v>
      </c>
      <c r="BO87" s="58" t="s">
        <v>112</v>
      </c>
      <c r="BP87" s="58" t="s">
        <v>113</v>
      </c>
      <c r="BQ87" s="58" t="s">
        <v>114</v>
      </c>
      <c r="BR87" s="58">
        <v>3.48</v>
      </c>
      <c r="BW87" s="64" t="str">
        <f>if(OR(F87="SALE",F87="REFUNDED"),IFERROR(Vlookup(I87,'Listing SKU - Fill SKU Mapping'!A:C,3,false),"Map"),"")</f>
        <v>Keystone</v>
      </c>
      <c r="BX87" s="64" t="str">
        <f>IF(OR(F87="SALE",F87="REFUNDED")=TRUE,iferror(Vlookup(I87,'Listing SKU - Fill SKU Mapping'!A:B,2,false),"Map"),"")</f>
        <v>IMP64GBLK</v>
      </c>
      <c r="BY87" s="64">
        <f>IF(OR(F87="SALE",F87="REFUNDED")=TRUE,iferror(Vlookup(I87,'Listing SKU - Fill SKU Mapping'!A:D,4,false),"Map"),"")</f>
        <v>54.44</v>
      </c>
      <c r="BZ87" s="66">
        <f t="shared" si="1"/>
        <v>11.5</v>
      </c>
      <c r="CA87" s="66">
        <f t="shared" si="2"/>
        <v>65.94</v>
      </c>
      <c r="CB87" s="66">
        <f t="shared" si="3"/>
        <v>41.92</v>
      </c>
      <c r="CC87" s="64" t="str">
        <f>if(F87="REFUNDED",iferror(Vlookup(I87,'Listing SKU - Fill SKU Mapping'!A:B,2,false),"Map"),"")</f>
        <v/>
      </c>
      <c r="CD87" s="64" t="str">
        <f>if(F87="REFUNDED",iferror(Vlookup(I87,'Listing SKU - Fill SKU Mapping'!A:C,3,false),"Map"),"")</f>
        <v/>
      </c>
      <c r="CE87" s="64" t="str">
        <f t="shared" si="4"/>
        <v>2025</v>
      </c>
      <c r="CF87" s="64" t="str">
        <f t="shared" si="5"/>
        <v>June</v>
      </c>
      <c r="CG87" s="64" t="str">
        <f t="shared" si="6"/>
        <v/>
      </c>
    </row>
    <row r="88">
      <c r="A88" s="55">
        <v>2.0001E14</v>
      </c>
      <c r="B88" s="56">
        <v>1.0</v>
      </c>
      <c r="C88" s="57">
        <v>1.0902E14</v>
      </c>
      <c r="D88" s="58">
        <v>1.0</v>
      </c>
      <c r="F88" s="59" t="s">
        <v>100</v>
      </c>
      <c r="G88" s="60">
        <v>45824.0</v>
      </c>
      <c r="H88" s="58">
        <v>1.0</v>
      </c>
      <c r="I88" s="58" t="s">
        <v>279</v>
      </c>
      <c r="J88" s="61">
        <v>4.67129950768E11</v>
      </c>
      <c r="K88" s="63"/>
      <c r="L88" s="63"/>
      <c r="M88" s="63"/>
      <c r="N88" s="63"/>
      <c r="O88" s="63"/>
      <c r="P88" s="63"/>
      <c r="Q88" s="63"/>
      <c r="R88" s="63"/>
      <c r="S88" s="63"/>
      <c r="T88" s="58" t="s">
        <v>105</v>
      </c>
      <c r="U88" s="59">
        <v>90.79</v>
      </c>
      <c r="V88" s="59">
        <v>79.96</v>
      </c>
      <c r="W88" s="58">
        <v>6.02</v>
      </c>
      <c r="X88" s="58">
        <v>7.0</v>
      </c>
      <c r="Y88" s="58">
        <v>85.98</v>
      </c>
      <c r="Z88" s="59">
        <v>0.0</v>
      </c>
      <c r="AA88" s="58">
        <v>0.0</v>
      </c>
      <c r="AB88" s="58">
        <v>0.0</v>
      </c>
      <c r="AC88" s="58">
        <v>0.0</v>
      </c>
      <c r="AD88" s="58">
        <v>0.0</v>
      </c>
      <c r="AE88" s="58">
        <v>0.0</v>
      </c>
      <c r="AF88" s="58">
        <v>0.0</v>
      </c>
      <c r="AG88" s="58">
        <v>0.0</v>
      </c>
      <c r="AH88" s="58">
        <v>0.0</v>
      </c>
      <c r="AI88" s="58">
        <v>0.0</v>
      </c>
      <c r="AJ88" s="58">
        <v>0.0</v>
      </c>
      <c r="AK88" s="58">
        <v>0.0</v>
      </c>
      <c r="AL88" s="58">
        <v>0.0</v>
      </c>
      <c r="AM88" s="58">
        <v>0.0</v>
      </c>
      <c r="AN88" s="58">
        <v>0.0</v>
      </c>
      <c r="AO88" s="58">
        <v>4.81</v>
      </c>
      <c r="AP88" s="58">
        <v>0.0</v>
      </c>
      <c r="AQ88" s="58">
        <v>0.0</v>
      </c>
      <c r="AR88" s="58">
        <v>0.0</v>
      </c>
      <c r="AS88" s="58">
        <v>0.0</v>
      </c>
      <c r="AT88" s="58">
        <v>0.0</v>
      </c>
      <c r="AU88" s="58">
        <v>0.0</v>
      </c>
      <c r="AV88" s="58">
        <v>0.0</v>
      </c>
      <c r="AW88" s="58">
        <v>0.0</v>
      </c>
      <c r="AX88" s="58">
        <v>0.0</v>
      </c>
      <c r="AY88" s="58">
        <v>0.0</v>
      </c>
      <c r="AZ88" s="58">
        <v>0.0</v>
      </c>
      <c r="BA88" s="58">
        <v>0.0</v>
      </c>
      <c r="BB88" s="58">
        <v>4.81</v>
      </c>
      <c r="BC88" s="58" t="s">
        <v>106</v>
      </c>
      <c r="BG88" s="58">
        <v>-8.6</v>
      </c>
      <c r="BH88" s="58" t="s">
        <v>107</v>
      </c>
      <c r="BI88" s="58" t="s">
        <v>108</v>
      </c>
      <c r="BJ88" s="58" t="s">
        <v>109</v>
      </c>
      <c r="BK88" s="58" t="s">
        <v>286</v>
      </c>
      <c r="BN88" s="58" t="s">
        <v>111</v>
      </c>
      <c r="BO88" s="58" t="s">
        <v>112</v>
      </c>
      <c r="BP88" s="58" t="s">
        <v>113</v>
      </c>
      <c r="BQ88" s="58" t="s">
        <v>114</v>
      </c>
      <c r="BR88" s="58">
        <v>2.58</v>
      </c>
      <c r="BW88" s="64" t="str">
        <f>if(OR(F88="SALE",F88="REFUNDED"),IFERROR(Vlookup(I88,'Listing SKU - Fill SKU Mapping'!A:C,3,false),"Map"),"")</f>
        <v>Keystone</v>
      </c>
      <c r="BX88" s="64" t="str">
        <f>IF(OR(F88="SALE",F88="REFUNDED")=TRUE,iferror(Vlookup(I88,'Listing SKU - Fill SKU Mapping'!A:B,2,false),"Map"),"")</f>
        <v>43517S</v>
      </c>
      <c r="BY88" s="64">
        <f>IF(OR(F88="SALE",F88="REFUNDED")=TRUE,iferror(Vlookup(I88,'Listing SKU - Fill SKU Mapping'!A:D,4,false),"Map"),"")</f>
        <v>33.53</v>
      </c>
      <c r="BZ88" s="66">
        <f t="shared" si="1"/>
        <v>11.5</v>
      </c>
      <c r="CA88" s="66">
        <f t="shared" si="2"/>
        <v>45.03</v>
      </c>
      <c r="CB88" s="66">
        <f t="shared" si="3"/>
        <v>34.93</v>
      </c>
      <c r="CC88" s="64" t="str">
        <f>if(F88="REFUNDED",iferror(Vlookup(I88,'Listing SKU - Fill SKU Mapping'!A:B,2,false),"Map"),"")</f>
        <v/>
      </c>
      <c r="CD88" s="64" t="str">
        <f>if(F88="REFUNDED",iferror(Vlookup(I88,'Listing SKU - Fill SKU Mapping'!A:C,3,false),"Map"),"")</f>
        <v/>
      </c>
      <c r="CE88" s="64" t="str">
        <f t="shared" si="4"/>
        <v>2025</v>
      </c>
      <c r="CF88" s="64" t="str">
        <f t="shared" si="5"/>
        <v>June</v>
      </c>
      <c r="CG88" s="64" t="str">
        <f t="shared" si="6"/>
        <v/>
      </c>
    </row>
    <row r="89">
      <c r="A89" s="55">
        <v>2.0001E14</v>
      </c>
      <c r="B89" s="56">
        <v>1.0</v>
      </c>
      <c r="C89" s="57">
        <v>1.0902E14</v>
      </c>
      <c r="D89" s="58">
        <v>1.0</v>
      </c>
      <c r="F89" s="59" t="s">
        <v>100</v>
      </c>
      <c r="G89" s="60">
        <v>45826.0</v>
      </c>
      <c r="H89" s="58">
        <v>1.0</v>
      </c>
      <c r="I89" s="58" t="s">
        <v>322</v>
      </c>
      <c r="J89" s="61">
        <v>4.67129914746E11</v>
      </c>
      <c r="K89" s="63"/>
      <c r="L89" s="63"/>
      <c r="M89" s="63"/>
      <c r="N89" s="63"/>
      <c r="O89" s="63"/>
      <c r="P89" s="63"/>
      <c r="Q89" s="63"/>
      <c r="R89" s="63"/>
      <c r="S89" s="63"/>
      <c r="T89" s="58" t="s">
        <v>105</v>
      </c>
      <c r="U89" s="59">
        <v>102.34</v>
      </c>
      <c r="V89" s="59">
        <v>88.33</v>
      </c>
      <c r="W89" s="58">
        <v>6.65</v>
      </c>
      <c r="X89" s="58">
        <v>7.0</v>
      </c>
      <c r="Y89" s="58">
        <v>94.98</v>
      </c>
      <c r="Z89" s="59">
        <v>0.0</v>
      </c>
      <c r="AA89" s="58">
        <v>0.0</v>
      </c>
      <c r="AB89" s="58">
        <v>0.0</v>
      </c>
      <c r="AC89" s="58">
        <v>0.0</v>
      </c>
      <c r="AD89" s="58">
        <v>0.0</v>
      </c>
      <c r="AE89" s="58">
        <v>0.0</v>
      </c>
      <c r="AF89" s="58">
        <v>0.0</v>
      </c>
      <c r="AG89" s="58">
        <v>0.0</v>
      </c>
      <c r="AH89" s="58">
        <v>0.0</v>
      </c>
      <c r="AI89" s="58">
        <v>0.0</v>
      </c>
      <c r="AJ89" s="58">
        <v>0.0</v>
      </c>
      <c r="AK89" s="58">
        <v>0.0</v>
      </c>
      <c r="AL89" s="58">
        <v>0.0</v>
      </c>
      <c r="AM89" s="58">
        <v>0.0</v>
      </c>
      <c r="AN89" s="58">
        <v>0.0</v>
      </c>
      <c r="AO89" s="58">
        <v>7.36</v>
      </c>
      <c r="AP89" s="58">
        <v>0.0</v>
      </c>
      <c r="AQ89" s="58">
        <v>0.0</v>
      </c>
      <c r="AR89" s="58">
        <v>0.0</v>
      </c>
      <c r="AS89" s="58">
        <v>0.0</v>
      </c>
      <c r="AT89" s="58">
        <v>0.0</v>
      </c>
      <c r="AU89" s="58">
        <v>0.0</v>
      </c>
      <c r="AV89" s="58">
        <v>0.0</v>
      </c>
      <c r="AW89" s="58">
        <v>0.0</v>
      </c>
      <c r="AX89" s="58">
        <v>0.0</v>
      </c>
      <c r="AY89" s="58">
        <v>0.0</v>
      </c>
      <c r="AZ89" s="58">
        <v>0.0</v>
      </c>
      <c r="BA89" s="58">
        <v>0.0</v>
      </c>
      <c r="BB89" s="58">
        <v>7.36</v>
      </c>
      <c r="BC89" s="58" t="s">
        <v>106</v>
      </c>
      <c r="BG89" s="58">
        <v>-9.5</v>
      </c>
      <c r="BH89" s="58" t="s">
        <v>107</v>
      </c>
      <c r="BI89" s="58" t="s">
        <v>108</v>
      </c>
      <c r="BJ89" s="58" t="s">
        <v>109</v>
      </c>
      <c r="BK89" s="58" t="s">
        <v>286</v>
      </c>
      <c r="BN89" s="58" t="s">
        <v>111</v>
      </c>
      <c r="BO89" s="58" t="s">
        <v>112</v>
      </c>
      <c r="BP89" s="58" t="s">
        <v>113</v>
      </c>
      <c r="BQ89" s="58" t="s">
        <v>114</v>
      </c>
      <c r="BR89" s="58">
        <v>2.85</v>
      </c>
      <c r="BW89" s="64" t="str">
        <f>if(OR(F89="SALE",F89="REFUNDED"),IFERROR(Vlookup(I89,'Listing SKU - Fill SKU Mapping'!A:C,3,false),"Map"),"")</f>
        <v>Keystone</v>
      </c>
      <c r="BX89" s="64" t="str">
        <f>IF(OR(F89="SALE",F89="REFUNDED")=TRUE,iferror(Vlookup(I89,'Listing SKU - Fill SKU Mapping'!A:B,2,false),"Map"),"")</f>
        <v>52116BLK</v>
      </c>
      <c r="BY89" s="64">
        <f>IF(OR(F89="SALE",F89="REFUNDED")=TRUE,iferror(Vlookup(I89,'Listing SKU - Fill SKU Mapping'!A:D,4,false),"Map"),"")</f>
        <v>39.05</v>
      </c>
      <c r="BZ89" s="66">
        <f t="shared" si="1"/>
        <v>11.5</v>
      </c>
      <c r="CA89" s="66">
        <f t="shared" si="2"/>
        <v>50.55</v>
      </c>
      <c r="CB89" s="66">
        <f t="shared" si="3"/>
        <v>37.78</v>
      </c>
      <c r="CC89" s="64" t="str">
        <f>if(F89="REFUNDED",iferror(Vlookup(I89,'Listing SKU - Fill SKU Mapping'!A:B,2,false),"Map"),"")</f>
        <v/>
      </c>
      <c r="CD89" s="64" t="str">
        <f>if(F89="REFUNDED",iferror(Vlookup(I89,'Listing SKU - Fill SKU Mapping'!A:C,3,false),"Map"),"")</f>
        <v/>
      </c>
      <c r="CE89" s="64" t="str">
        <f t="shared" si="4"/>
        <v>2025</v>
      </c>
      <c r="CF89" s="64" t="str">
        <f t="shared" si="5"/>
        <v>June</v>
      </c>
      <c r="CG89" s="64" t="str">
        <f t="shared" si="6"/>
        <v/>
      </c>
    </row>
    <row r="90">
      <c r="A90" s="55">
        <v>2.0001E14</v>
      </c>
      <c r="B90" s="56">
        <v>1.0</v>
      </c>
      <c r="C90" s="57">
        <v>1.0902E14</v>
      </c>
      <c r="D90" s="58">
        <v>1.0</v>
      </c>
      <c r="F90" s="59" t="s">
        <v>100</v>
      </c>
      <c r="G90" s="60">
        <v>45827.0</v>
      </c>
      <c r="H90" s="58">
        <v>1.0</v>
      </c>
      <c r="I90" s="58" t="s">
        <v>323</v>
      </c>
      <c r="J90" s="61">
        <v>4.67129917358E11</v>
      </c>
      <c r="K90" s="63"/>
      <c r="L90" s="63"/>
      <c r="M90" s="63"/>
      <c r="N90" s="63"/>
      <c r="O90" s="63"/>
      <c r="P90" s="63"/>
      <c r="Q90" s="63"/>
      <c r="R90" s="63"/>
      <c r="S90" s="63"/>
      <c r="T90" s="58" t="s">
        <v>105</v>
      </c>
      <c r="U90" s="59">
        <v>60.0</v>
      </c>
      <c r="V90" s="59">
        <v>52.99</v>
      </c>
      <c r="W90" s="58">
        <v>3.99</v>
      </c>
      <c r="X90" s="58">
        <v>7.0</v>
      </c>
      <c r="Y90" s="58">
        <v>56.98</v>
      </c>
      <c r="Z90" s="59">
        <v>0.0</v>
      </c>
      <c r="AA90" s="58">
        <v>0.0</v>
      </c>
      <c r="AB90" s="58">
        <v>0.0</v>
      </c>
      <c r="AC90" s="58">
        <v>0.0</v>
      </c>
      <c r="AD90" s="58">
        <v>0.0</v>
      </c>
      <c r="AE90" s="58">
        <v>0.0</v>
      </c>
      <c r="AF90" s="58">
        <v>0.0</v>
      </c>
      <c r="AG90" s="58">
        <v>0.0</v>
      </c>
      <c r="AH90" s="58">
        <v>0.0</v>
      </c>
      <c r="AI90" s="58">
        <v>0.0</v>
      </c>
      <c r="AJ90" s="58">
        <v>0.0</v>
      </c>
      <c r="AK90" s="58">
        <v>0.0</v>
      </c>
      <c r="AL90" s="58">
        <v>0.0</v>
      </c>
      <c r="AM90" s="58">
        <v>0.0</v>
      </c>
      <c r="AN90" s="58">
        <v>0.0</v>
      </c>
      <c r="AO90" s="58">
        <v>3.02</v>
      </c>
      <c r="AP90" s="58">
        <v>0.0</v>
      </c>
      <c r="AQ90" s="58">
        <v>0.0</v>
      </c>
      <c r="AR90" s="58">
        <v>0.0</v>
      </c>
      <c r="AS90" s="58">
        <v>0.0</v>
      </c>
      <c r="AT90" s="58">
        <v>0.0</v>
      </c>
      <c r="AU90" s="58">
        <v>0.0</v>
      </c>
      <c r="AV90" s="58">
        <v>0.0</v>
      </c>
      <c r="AW90" s="58">
        <v>0.0</v>
      </c>
      <c r="AX90" s="58">
        <v>0.0</v>
      </c>
      <c r="AY90" s="58">
        <v>0.0</v>
      </c>
      <c r="AZ90" s="58">
        <v>0.0</v>
      </c>
      <c r="BA90" s="58">
        <v>0.0</v>
      </c>
      <c r="BB90" s="58">
        <v>3.02</v>
      </c>
      <c r="BC90" s="58" t="s">
        <v>106</v>
      </c>
      <c r="BG90" s="58">
        <v>-5.7</v>
      </c>
      <c r="BH90" s="58" t="s">
        <v>107</v>
      </c>
      <c r="BI90" s="58" t="s">
        <v>108</v>
      </c>
      <c r="BJ90" s="58" t="s">
        <v>109</v>
      </c>
      <c r="BK90" s="58" t="s">
        <v>286</v>
      </c>
      <c r="BN90" s="58" t="s">
        <v>111</v>
      </c>
      <c r="BO90" s="58" t="s">
        <v>112</v>
      </c>
      <c r="BP90" s="58" t="s">
        <v>113</v>
      </c>
      <c r="BQ90" s="58" t="s">
        <v>114</v>
      </c>
      <c r="BR90" s="58">
        <v>1.71</v>
      </c>
      <c r="BW90" s="64" t="str">
        <f>if(OR(F90="SALE",F90="REFUNDED"),IFERROR(Vlookup(I90,'Listing SKU - Fill SKU Mapping'!A:C,3,false),"Map"),"")</f>
        <v>Keystone</v>
      </c>
      <c r="BX90" s="64" t="str">
        <f>IF(OR(F90="SALE",F90="REFUNDED")=TRUE,iferror(Vlookup(I90,'Listing SKU - Fill SKU Mapping'!A:B,2,false),"Map"),"")</f>
        <v>44715S</v>
      </c>
      <c r="BY90" s="64">
        <f>IF(OR(F90="SALE",F90="REFUNDED")=TRUE,iferror(Vlookup(I90,'Listing SKU - Fill SKU Mapping'!A:D,4,false),"Map"),"")</f>
        <v>14.99</v>
      </c>
      <c r="BZ90" s="66">
        <f t="shared" si="1"/>
        <v>11.5</v>
      </c>
      <c r="CA90" s="66">
        <f t="shared" si="2"/>
        <v>26.49</v>
      </c>
      <c r="CB90" s="66">
        <f t="shared" si="3"/>
        <v>26.5</v>
      </c>
      <c r="CC90" s="64" t="str">
        <f>if(F90="REFUNDED",iferror(Vlookup(I90,'Listing SKU - Fill SKU Mapping'!A:B,2,false),"Map"),"")</f>
        <v/>
      </c>
      <c r="CD90" s="64" t="str">
        <f>if(F90="REFUNDED",iferror(Vlookup(I90,'Listing SKU - Fill SKU Mapping'!A:C,3,false),"Map"),"")</f>
        <v/>
      </c>
      <c r="CE90" s="64" t="str">
        <f t="shared" si="4"/>
        <v>2025</v>
      </c>
      <c r="CF90" s="64" t="str">
        <f t="shared" si="5"/>
        <v>June</v>
      </c>
      <c r="CG90" s="64" t="str">
        <f t="shared" si="6"/>
        <v/>
      </c>
    </row>
    <row r="91">
      <c r="A91" s="55">
        <v>2.0001E14</v>
      </c>
      <c r="B91" s="56">
        <v>5.0</v>
      </c>
      <c r="C91" s="57">
        <v>1.0902E14</v>
      </c>
      <c r="D91" s="58">
        <v>5.0</v>
      </c>
      <c r="F91" s="59" t="s">
        <v>100</v>
      </c>
      <c r="G91" s="60">
        <v>45831.0</v>
      </c>
      <c r="H91" s="58">
        <v>1.0</v>
      </c>
      <c r="I91" s="58" t="s">
        <v>324</v>
      </c>
      <c r="J91" s="61">
        <v>4.67620062434E11</v>
      </c>
      <c r="K91" s="63"/>
      <c r="L91" s="63"/>
      <c r="M91" s="63"/>
      <c r="N91" s="63"/>
      <c r="O91" s="63"/>
      <c r="P91" s="63"/>
      <c r="Q91" s="63"/>
      <c r="R91" s="63"/>
      <c r="S91" s="63"/>
      <c r="T91" s="58" t="s">
        <v>105</v>
      </c>
      <c r="U91" s="59">
        <v>41.12</v>
      </c>
      <c r="V91" s="59">
        <v>35.33</v>
      </c>
      <c r="W91" s="58">
        <v>2.66</v>
      </c>
      <c r="X91" s="58">
        <v>7.0</v>
      </c>
      <c r="Y91" s="58">
        <v>37.99</v>
      </c>
      <c r="Z91" s="59">
        <v>0.0</v>
      </c>
      <c r="AA91" s="58">
        <v>0.0</v>
      </c>
      <c r="AB91" s="58">
        <v>0.0</v>
      </c>
      <c r="AC91" s="58">
        <v>0.0</v>
      </c>
      <c r="AD91" s="58">
        <v>0.0</v>
      </c>
      <c r="AE91" s="58">
        <v>0.0</v>
      </c>
      <c r="AF91" s="58">
        <v>0.0</v>
      </c>
      <c r="AG91" s="58">
        <v>0.0</v>
      </c>
      <c r="AH91" s="58">
        <v>0.0</v>
      </c>
      <c r="AI91" s="58">
        <v>0.0</v>
      </c>
      <c r="AJ91" s="58">
        <v>0.0</v>
      </c>
      <c r="AK91" s="58">
        <v>0.0</v>
      </c>
      <c r="AL91" s="58">
        <v>0.0</v>
      </c>
      <c r="AM91" s="58">
        <v>0.0</v>
      </c>
      <c r="AN91" s="58">
        <v>0.0</v>
      </c>
      <c r="AO91" s="58">
        <v>3.13</v>
      </c>
      <c r="AP91" s="58">
        <v>0.0</v>
      </c>
      <c r="AQ91" s="58">
        <v>0.0</v>
      </c>
      <c r="AR91" s="58">
        <v>0.0</v>
      </c>
      <c r="AS91" s="58">
        <v>0.0</v>
      </c>
      <c r="AT91" s="58">
        <v>0.0</v>
      </c>
      <c r="AU91" s="58">
        <v>0.0</v>
      </c>
      <c r="AV91" s="58">
        <v>0.0</v>
      </c>
      <c r="AW91" s="58">
        <v>0.0</v>
      </c>
      <c r="AX91" s="58">
        <v>0.0</v>
      </c>
      <c r="AY91" s="58">
        <v>0.0</v>
      </c>
      <c r="AZ91" s="58">
        <v>0.0</v>
      </c>
      <c r="BA91" s="58">
        <v>0.0</v>
      </c>
      <c r="BB91" s="58">
        <v>3.13</v>
      </c>
      <c r="BC91" s="58" t="s">
        <v>106</v>
      </c>
      <c r="BG91" s="58">
        <v>-3.8</v>
      </c>
      <c r="BH91" s="58" t="s">
        <v>107</v>
      </c>
      <c r="BI91" s="58" t="s">
        <v>108</v>
      </c>
      <c r="BJ91" s="58" t="s">
        <v>325</v>
      </c>
      <c r="BK91" s="58" t="s">
        <v>320</v>
      </c>
      <c r="BN91" s="58" t="s">
        <v>111</v>
      </c>
      <c r="BO91" s="58" t="s">
        <v>112</v>
      </c>
      <c r="BP91" s="58" t="s">
        <v>113</v>
      </c>
      <c r="BQ91" s="58" t="s">
        <v>114</v>
      </c>
      <c r="BR91" s="58">
        <v>1.14</v>
      </c>
      <c r="BW91" s="64" t="str">
        <f>if(OR(F91="SALE",F91="REFUNDED"),IFERROR(Vlookup(I91,'Listing SKU - Fill SKU Mapping'!A:C,3,false),"Map"),"")</f>
        <v>Keystone</v>
      </c>
      <c r="BX91" s="64" t="str">
        <f>IF(OR(F91="SALE",F91="REFUNDED")=TRUE,iferror(Vlookup(I91,'Listing SKU - Fill SKU Mapping'!A:B,2,false),"Map"),"")</f>
        <v>1515TP</v>
      </c>
      <c r="BY91" s="64">
        <f>IF(OR(F91="SALE",F91="REFUNDED")=TRUE,iferror(Vlookup(I91,'Listing SKU - Fill SKU Mapping'!A:D,4,false),"Map"),"")</f>
        <v>14.99</v>
      </c>
      <c r="BZ91" s="66">
        <f t="shared" si="1"/>
        <v>11.5</v>
      </c>
      <c r="CA91" s="66">
        <f t="shared" si="2"/>
        <v>26.49</v>
      </c>
      <c r="CB91" s="66">
        <f t="shared" si="3"/>
        <v>8.84</v>
      </c>
      <c r="CC91" s="64" t="str">
        <f>if(F91="REFUNDED",iferror(Vlookup(I91,'Listing SKU - Fill SKU Mapping'!A:B,2,false),"Map"),"")</f>
        <v/>
      </c>
      <c r="CD91" s="64" t="str">
        <f>if(F91="REFUNDED",iferror(Vlookup(I91,'Listing SKU - Fill SKU Mapping'!A:C,3,false),"Map"),"")</f>
        <v/>
      </c>
      <c r="CE91" s="64" t="str">
        <f t="shared" si="4"/>
        <v>2025</v>
      </c>
      <c r="CF91" s="64" t="str">
        <f t="shared" si="5"/>
        <v>June</v>
      </c>
      <c r="CG91" s="64" t="str">
        <f t="shared" si="6"/>
        <v/>
      </c>
    </row>
    <row r="92">
      <c r="A92" s="55">
        <v>2.0001E14</v>
      </c>
      <c r="B92" s="56">
        <v>1.0</v>
      </c>
      <c r="C92" s="57">
        <v>1.0902E14</v>
      </c>
      <c r="D92" s="58">
        <v>1.0</v>
      </c>
      <c r="F92" s="59" t="s">
        <v>100</v>
      </c>
      <c r="G92" s="60">
        <v>45833.0</v>
      </c>
      <c r="H92" s="58">
        <v>1.0</v>
      </c>
      <c r="I92" s="58" t="s">
        <v>326</v>
      </c>
      <c r="J92" s="61">
        <v>4.60776228945E11</v>
      </c>
      <c r="K92" s="63"/>
      <c r="L92" s="63"/>
      <c r="M92" s="63"/>
      <c r="N92" s="63"/>
      <c r="O92" s="63"/>
      <c r="P92" s="63"/>
      <c r="Q92" s="63"/>
      <c r="R92" s="63"/>
      <c r="S92" s="63"/>
      <c r="T92" s="58" t="s">
        <v>105</v>
      </c>
      <c r="U92" s="59">
        <v>107.54</v>
      </c>
      <c r="V92" s="59">
        <v>93.91</v>
      </c>
      <c r="W92" s="58">
        <v>7.07</v>
      </c>
      <c r="X92" s="58">
        <v>7.0</v>
      </c>
      <c r="Y92" s="58">
        <v>100.98</v>
      </c>
      <c r="Z92" s="59">
        <v>0.0</v>
      </c>
      <c r="AA92" s="58">
        <v>0.0</v>
      </c>
      <c r="AB92" s="58">
        <v>0.0</v>
      </c>
      <c r="AC92" s="58">
        <v>0.0</v>
      </c>
      <c r="AD92" s="58">
        <v>0.0</v>
      </c>
      <c r="AE92" s="58">
        <v>0.0</v>
      </c>
      <c r="AF92" s="58">
        <v>0.0</v>
      </c>
      <c r="AG92" s="58">
        <v>0.0</v>
      </c>
      <c r="AH92" s="58">
        <v>0.0</v>
      </c>
      <c r="AI92" s="58">
        <v>0.0</v>
      </c>
      <c r="AJ92" s="58">
        <v>0.0</v>
      </c>
      <c r="AK92" s="58">
        <v>0.0</v>
      </c>
      <c r="AL92" s="58">
        <v>0.0</v>
      </c>
      <c r="AM92" s="58">
        <v>0.0</v>
      </c>
      <c r="AN92" s="58">
        <v>0.0</v>
      </c>
      <c r="AO92" s="58">
        <v>6.56</v>
      </c>
      <c r="AP92" s="58">
        <v>0.0</v>
      </c>
      <c r="AQ92" s="58">
        <v>0.0</v>
      </c>
      <c r="AR92" s="58">
        <v>0.0</v>
      </c>
      <c r="AS92" s="58">
        <v>0.0</v>
      </c>
      <c r="AT92" s="58">
        <v>0.0</v>
      </c>
      <c r="AU92" s="58">
        <v>0.0</v>
      </c>
      <c r="AV92" s="58">
        <v>0.0</v>
      </c>
      <c r="AW92" s="58">
        <v>0.0</v>
      </c>
      <c r="AX92" s="58">
        <v>0.0</v>
      </c>
      <c r="AY92" s="58">
        <v>0.0</v>
      </c>
      <c r="AZ92" s="58">
        <v>0.0</v>
      </c>
      <c r="BA92" s="58">
        <v>0.0</v>
      </c>
      <c r="BB92" s="58">
        <v>6.56</v>
      </c>
      <c r="BC92" s="58" t="s">
        <v>106</v>
      </c>
      <c r="BG92" s="58">
        <v>-10.1</v>
      </c>
      <c r="BH92" s="58" t="s">
        <v>107</v>
      </c>
      <c r="BI92" s="58" t="s">
        <v>108</v>
      </c>
      <c r="BJ92" s="58" t="s">
        <v>109</v>
      </c>
      <c r="BK92" s="58" t="s">
        <v>320</v>
      </c>
      <c r="BN92" s="58" t="s">
        <v>111</v>
      </c>
      <c r="BO92" s="58" t="s">
        <v>112</v>
      </c>
      <c r="BP92" s="58" t="s">
        <v>113</v>
      </c>
      <c r="BQ92" s="58" t="s">
        <v>114</v>
      </c>
      <c r="BR92" s="58">
        <v>3.03</v>
      </c>
      <c r="BW92" s="64" t="str">
        <f>if(OR(F92="SALE",F92="REFUNDED"),IFERROR(Vlookup(I92,'Listing SKU - Fill SKU Mapping'!A:C,3,false),"Map"),"")</f>
        <v>Keystone</v>
      </c>
      <c r="BX92" s="64" t="str">
        <f>IF(OR(F92="SALE",F92="REFUNDED")=TRUE,iferror(Vlookup(I92,'Listing SKU - Fill SKU Mapping'!A:B,2,false),"Map"),"")</f>
        <v>IMP373BLK</v>
      </c>
      <c r="BY92" s="64">
        <f>IF(OR(F92="SALE",F92="REFUNDED")=TRUE,iferror(Vlookup(I92,'Listing SKU - Fill SKU Mapping'!A:D,4,false),"Map"),"")</f>
        <v>44.97</v>
      </c>
      <c r="BZ92" s="66">
        <f t="shared" si="1"/>
        <v>11.5</v>
      </c>
      <c r="CA92" s="66">
        <f t="shared" si="2"/>
        <v>56.47</v>
      </c>
      <c r="CB92" s="66">
        <f t="shared" si="3"/>
        <v>37.44</v>
      </c>
      <c r="CC92" s="64" t="str">
        <f>if(F92="REFUNDED",iferror(Vlookup(I92,'Listing SKU - Fill SKU Mapping'!A:B,2,false),"Map"),"")</f>
        <v/>
      </c>
      <c r="CD92" s="64" t="str">
        <f>if(F92="REFUNDED",iferror(Vlookup(I92,'Listing SKU - Fill SKU Mapping'!A:C,3,false),"Map"),"")</f>
        <v/>
      </c>
      <c r="CE92" s="64" t="str">
        <f t="shared" si="4"/>
        <v>2025</v>
      </c>
      <c r="CF92" s="64" t="str">
        <f t="shared" si="5"/>
        <v>June</v>
      </c>
      <c r="CG92" s="64" t="str">
        <f t="shared" si="6"/>
        <v/>
      </c>
    </row>
    <row r="93">
      <c r="A93" s="55">
        <v>2.0001E14</v>
      </c>
      <c r="B93" s="56">
        <v>1.0</v>
      </c>
      <c r="C93" s="57">
        <v>1.0902E14</v>
      </c>
      <c r="D93" s="58">
        <v>1.0</v>
      </c>
      <c r="F93" s="59" t="s">
        <v>100</v>
      </c>
      <c r="G93" s="60">
        <v>45824.0</v>
      </c>
      <c r="H93" s="58">
        <v>1.0</v>
      </c>
      <c r="I93" s="58" t="s">
        <v>327</v>
      </c>
      <c r="J93" s="61">
        <v>4.67129945405E11</v>
      </c>
      <c r="K93" s="63"/>
      <c r="L93" s="63"/>
      <c r="M93" s="63"/>
      <c r="N93" s="63"/>
      <c r="O93" s="63"/>
      <c r="P93" s="63"/>
      <c r="Q93" s="63"/>
      <c r="R93" s="63"/>
      <c r="S93" s="63"/>
      <c r="T93" s="58" t="s">
        <v>105</v>
      </c>
      <c r="U93" s="59">
        <v>94.93</v>
      </c>
      <c r="V93" s="59">
        <v>92.05</v>
      </c>
      <c r="W93" s="58">
        <v>6.93</v>
      </c>
      <c r="X93" s="58">
        <v>7.0</v>
      </c>
      <c r="Y93" s="58">
        <v>87.9</v>
      </c>
      <c r="Z93" s="59">
        <v>0.0</v>
      </c>
      <c r="AA93" s="58">
        <v>0.0</v>
      </c>
      <c r="AB93" s="58">
        <v>0.0</v>
      </c>
      <c r="AC93" s="58">
        <v>0.0</v>
      </c>
      <c r="AD93" s="58">
        <v>0.0</v>
      </c>
      <c r="AE93" s="58">
        <v>0.0</v>
      </c>
      <c r="AF93" s="58">
        <v>0.0</v>
      </c>
      <c r="AG93" s="58">
        <v>0.0</v>
      </c>
      <c r="AH93" s="58">
        <v>0.0</v>
      </c>
      <c r="AI93" s="58">
        <v>0.0</v>
      </c>
      <c r="AJ93" s="58">
        <v>0.0</v>
      </c>
      <c r="AK93" s="58">
        <v>0.0</v>
      </c>
      <c r="AL93" s="58">
        <v>0.0</v>
      </c>
      <c r="AM93" s="58">
        <v>0.0</v>
      </c>
      <c r="AN93" s="58">
        <v>0.0</v>
      </c>
      <c r="AO93" s="58">
        <v>7.03</v>
      </c>
      <c r="AP93" s="58">
        <v>0.0</v>
      </c>
      <c r="AQ93" s="58">
        <v>0.0</v>
      </c>
      <c r="AR93" s="58">
        <v>0.0</v>
      </c>
      <c r="AS93" s="58">
        <v>0.0</v>
      </c>
      <c r="AT93" s="58">
        <v>0.0</v>
      </c>
      <c r="AU93" s="58">
        <v>0.0</v>
      </c>
      <c r="AV93" s="58">
        <v>0.0</v>
      </c>
      <c r="AW93" s="58">
        <v>0.0</v>
      </c>
      <c r="AX93" s="58">
        <v>0.0</v>
      </c>
      <c r="AY93" s="58">
        <v>0.0</v>
      </c>
      <c r="AZ93" s="58">
        <v>0.0</v>
      </c>
      <c r="BA93" s="58">
        <v>0.0</v>
      </c>
      <c r="BB93" s="58">
        <v>7.03</v>
      </c>
      <c r="BC93" s="58" t="s">
        <v>106</v>
      </c>
      <c r="BF93" s="58">
        <v>98.98</v>
      </c>
      <c r="BG93" s="58">
        <v>-9.9</v>
      </c>
      <c r="BH93" s="58" t="s">
        <v>107</v>
      </c>
      <c r="BI93" s="58" t="s">
        <v>108</v>
      </c>
      <c r="BJ93" s="58" t="s">
        <v>109</v>
      </c>
      <c r="BK93" s="58" t="s">
        <v>286</v>
      </c>
      <c r="BN93" s="58" t="s">
        <v>111</v>
      </c>
      <c r="BO93" s="58" t="s">
        <v>112</v>
      </c>
      <c r="BP93" s="58" t="s">
        <v>113</v>
      </c>
      <c r="BQ93" s="58" t="s">
        <v>317</v>
      </c>
      <c r="BR93" s="58">
        <v>2.97</v>
      </c>
      <c r="BT93" s="58">
        <v>-11.08</v>
      </c>
      <c r="BU93" s="58" t="s">
        <v>318</v>
      </c>
      <c r="BW93" s="64" t="str">
        <f>if(OR(F93="SALE",F93="REFUNDED"),IFERROR(Vlookup(I93,'Listing SKU - Fill SKU Mapping'!A:C,3,false),"Map"),"")</f>
        <v>Keystone</v>
      </c>
      <c r="BX93" s="64" t="str">
        <f>IF(OR(F93="SALE",F93="REFUNDED")=TRUE,iferror(Vlookup(I93,'Listing SKU - Fill SKU Mapping'!A:B,2,false),"Map"),"")</f>
        <v>50516C</v>
      </c>
      <c r="BY93" s="64">
        <f>IF(OR(F93="SALE",F93="REFUNDED")=TRUE,iferror(Vlookup(I93,'Listing SKU - Fill SKU Mapping'!A:D,4,false),"Map"),"")</f>
        <v>41.42</v>
      </c>
      <c r="BZ93" s="66">
        <f t="shared" si="1"/>
        <v>11.5</v>
      </c>
      <c r="CA93" s="66">
        <f t="shared" si="2"/>
        <v>52.92</v>
      </c>
      <c r="CB93" s="66">
        <f t="shared" si="3"/>
        <v>39.13</v>
      </c>
      <c r="CC93" s="64" t="str">
        <f>if(F93="REFUNDED",iferror(Vlookup(I93,'Listing SKU - Fill SKU Mapping'!A:B,2,false),"Map"),"")</f>
        <v/>
      </c>
      <c r="CD93" s="64" t="str">
        <f>if(F93="REFUNDED",iferror(Vlookup(I93,'Listing SKU - Fill SKU Mapping'!A:C,3,false),"Map"),"")</f>
        <v/>
      </c>
      <c r="CE93" s="64" t="str">
        <f t="shared" si="4"/>
        <v>2025</v>
      </c>
      <c r="CF93" s="64" t="str">
        <f t="shared" si="5"/>
        <v>June</v>
      </c>
      <c r="CG93" s="64" t="str">
        <f t="shared" si="6"/>
        <v/>
      </c>
    </row>
    <row r="94">
      <c r="A94" s="55">
        <v>2.0001E14</v>
      </c>
      <c r="B94" s="56">
        <v>1.0</v>
      </c>
      <c r="C94" s="57">
        <v>1.0902E14</v>
      </c>
      <c r="D94" s="58">
        <v>1.0</v>
      </c>
      <c r="F94" s="59" t="s">
        <v>100</v>
      </c>
      <c r="G94" s="60">
        <v>45835.0</v>
      </c>
      <c r="H94" s="58">
        <v>1.0</v>
      </c>
      <c r="I94" s="58" t="s">
        <v>328</v>
      </c>
      <c r="J94" s="61">
        <v>4.67129950621E11</v>
      </c>
      <c r="K94" s="63"/>
      <c r="L94" s="63"/>
      <c r="M94" s="63"/>
      <c r="N94" s="63"/>
      <c r="O94" s="63"/>
      <c r="P94" s="63"/>
      <c r="Q94" s="63"/>
      <c r="R94" s="63"/>
      <c r="S94" s="63"/>
      <c r="T94" s="58" t="s">
        <v>105</v>
      </c>
      <c r="U94" s="59">
        <v>75.98</v>
      </c>
      <c r="V94" s="59">
        <v>76.24</v>
      </c>
      <c r="W94" s="58">
        <v>5.74</v>
      </c>
      <c r="X94" s="58">
        <v>7.0</v>
      </c>
      <c r="Y94" s="58">
        <v>72.9</v>
      </c>
      <c r="Z94" s="59">
        <v>0.0</v>
      </c>
      <c r="AA94" s="58">
        <v>0.0</v>
      </c>
      <c r="AB94" s="58">
        <v>0.0</v>
      </c>
      <c r="AC94" s="58">
        <v>0.0</v>
      </c>
      <c r="AD94" s="58">
        <v>0.0</v>
      </c>
      <c r="AE94" s="58">
        <v>0.0</v>
      </c>
      <c r="AF94" s="58">
        <v>0.0</v>
      </c>
      <c r="AG94" s="58">
        <v>0.0</v>
      </c>
      <c r="AH94" s="58">
        <v>0.0</v>
      </c>
      <c r="AI94" s="58">
        <v>0.0</v>
      </c>
      <c r="AJ94" s="58">
        <v>0.0</v>
      </c>
      <c r="AK94" s="58">
        <v>0.0</v>
      </c>
      <c r="AL94" s="58">
        <v>0.0</v>
      </c>
      <c r="AM94" s="58">
        <v>0.0</v>
      </c>
      <c r="AN94" s="58">
        <v>0.0</v>
      </c>
      <c r="AO94" s="58">
        <v>3.08</v>
      </c>
      <c r="AP94" s="58">
        <v>0.0</v>
      </c>
      <c r="AQ94" s="58">
        <v>0.0</v>
      </c>
      <c r="AR94" s="58">
        <v>0.0</v>
      </c>
      <c r="AS94" s="58">
        <v>0.0</v>
      </c>
      <c r="AT94" s="58">
        <v>0.0</v>
      </c>
      <c r="AU94" s="58">
        <v>0.0</v>
      </c>
      <c r="AV94" s="58">
        <v>0.0</v>
      </c>
      <c r="AW94" s="58">
        <v>0.0</v>
      </c>
      <c r="AX94" s="58">
        <v>0.0</v>
      </c>
      <c r="AY94" s="58">
        <v>0.0</v>
      </c>
      <c r="AZ94" s="58">
        <v>0.0</v>
      </c>
      <c r="BA94" s="58">
        <v>0.0</v>
      </c>
      <c r="BB94" s="58">
        <v>3.08</v>
      </c>
      <c r="BC94" s="58" t="s">
        <v>106</v>
      </c>
      <c r="BF94" s="58">
        <v>81.98</v>
      </c>
      <c r="BG94" s="58">
        <v>-8.2</v>
      </c>
      <c r="BH94" s="58" t="s">
        <v>107</v>
      </c>
      <c r="BI94" s="58" t="s">
        <v>108</v>
      </c>
      <c r="BJ94" s="58" t="s">
        <v>109</v>
      </c>
      <c r="BK94" s="58" t="s">
        <v>320</v>
      </c>
      <c r="BN94" s="58" t="s">
        <v>111</v>
      </c>
      <c r="BO94" s="58" t="s">
        <v>112</v>
      </c>
      <c r="BP94" s="58" t="s">
        <v>113</v>
      </c>
      <c r="BQ94" s="58" t="s">
        <v>317</v>
      </c>
      <c r="BR94" s="58">
        <v>2.46</v>
      </c>
      <c r="BT94" s="58">
        <v>-9.08</v>
      </c>
      <c r="BU94" s="58" t="s">
        <v>318</v>
      </c>
      <c r="BW94" s="64" t="str">
        <f>if(OR(F94="SALE",F94="REFUNDED"),IFERROR(Vlookup(I94,'Listing SKU - Fill SKU Mapping'!A:C,3,false),"Map"),"")</f>
        <v>Keystone</v>
      </c>
      <c r="BX94" s="64" t="str">
        <f>IF(OR(F94="SALE",F94="REFUNDED")=TRUE,iferror(Vlookup(I94,'Listing SKU - Fill SKU Mapping'!A:B,2,false),"Map"),"")</f>
        <v>52316S</v>
      </c>
      <c r="BY94" s="64">
        <f>IF(OR(F94="SALE",F94="REFUNDED")=TRUE,iferror(Vlookup(I94,'Listing SKU - Fill SKU Mapping'!A:D,4,false),"Map"),"")</f>
        <v>30.77</v>
      </c>
      <c r="BZ94" s="66">
        <f t="shared" si="1"/>
        <v>11.5</v>
      </c>
      <c r="CA94" s="66">
        <f t="shared" si="2"/>
        <v>42.27</v>
      </c>
      <c r="CB94" s="66">
        <f t="shared" si="3"/>
        <v>33.97</v>
      </c>
      <c r="CC94" s="64" t="str">
        <f>if(F94="REFUNDED",iferror(Vlookup(I94,'Listing SKU - Fill SKU Mapping'!A:B,2,false),"Map"),"")</f>
        <v/>
      </c>
      <c r="CD94" s="64" t="str">
        <f>if(F94="REFUNDED",iferror(Vlookup(I94,'Listing SKU - Fill SKU Mapping'!A:C,3,false),"Map"),"")</f>
        <v/>
      </c>
      <c r="CE94" s="64" t="str">
        <f t="shared" si="4"/>
        <v>2025</v>
      </c>
      <c r="CF94" s="64" t="str">
        <f t="shared" si="5"/>
        <v>June</v>
      </c>
      <c r="CG94" s="64" t="str">
        <f t="shared" si="6"/>
        <v/>
      </c>
    </row>
    <row r="95">
      <c r="A95" s="55">
        <v>2.0001E14</v>
      </c>
      <c r="B95" s="56">
        <v>1.0</v>
      </c>
      <c r="C95" s="57">
        <v>1.0902E14</v>
      </c>
      <c r="D95" s="58">
        <v>1.0</v>
      </c>
      <c r="F95" s="59" t="s">
        <v>100</v>
      </c>
      <c r="G95" s="60">
        <v>45831.0</v>
      </c>
      <c r="H95" s="58">
        <v>1.0</v>
      </c>
      <c r="I95" s="58" t="s">
        <v>328</v>
      </c>
      <c r="J95" s="61">
        <v>4.67129950621E11</v>
      </c>
      <c r="K95" s="63"/>
      <c r="L95" s="63"/>
      <c r="M95" s="63"/>
      <c r="N95" s="63"/>
      <c r="O95" s="63"/>
      <c r="P95" s="63"/>
      <c r="Q95" s="63"/>
      <c r="R95" s="63"/>
      <c r="S95" s="63"/>
      <c r="T95" s="58" t="s">
        <v>105</v>
      </c>
      <c r="U95" s="59">
        <v>78.91</v>
      </c>
      <c r="V95" s="59">
        <v>76.24</v>
      </c>
      <c r="W95" s="58">
        <v>5.74</v>
      </c>
      <c r="X95" s="58">
        <v>7.0</v>
      </c>
      <c r="Y95" s="58">
        <v>72.9</v>
      </c>
      <c r="Z95" s="59">
        <v>0.0</v>
      </c>
      <c r="AA95" s="58">
        <v>0.0</v>
      </c>
      <c r="AB95" s="58">
        <v>0.0</v>
      </c>
      <c r="AC95" s="58">
        <v>0.0</v>
      </c>
      <c r="AD95" s="58">
        <v>0.0</v>
      </c>
      <c r="AE95" s="58">
        <v>0.0</v>
      </c>
      <c r="AF95" s="58">
        <v>0.0</v>
      </c>
      <c r="AG95" s="58">
        <v>0.0</v>
      </c>
      <c r="AH95" s="58">
        <v>0.0</v>
      </c>
      <c r="AI95" s="58">
        <v>0.0</v>
      </c>
      <c r="AJ95" s="58">
        <v>0.0</v>
      </c>
      <c r="AK95" s="58">
        <v>0.0</v>
      </c>
      <c r="AL95" s="58">
        <v>0.0</v>
      </c>
      <c r="AM95" s="58">
        <v>0.0</v>
      </c>
      <c r="AN95" s="58">
        <v>0.0</v>
      </c>
      <c r="AO95" s="58">
        <v>6.01</v>
      </c>
      <c r="AP95" s="58">
        <v>0.0</v>
      </c>
      <c r="AQ95" s="58">
        <v>0.0</v>
      </c>
      <c r="AR95" s="58">
        <v>0.0</v>
      </c>
      <c r="AS95" s="58">
        <v>0.0</v>
      </c>
      <c r="AT95" s="58">
        <v>0.0</v>
      </c>
      <c r="AU95" s="58">
        <v>0.0</v>
      </c>
      <c r="AV95" s="58">
        <v>0.0</v>
      </c>
      <c r="AW95" s="58">
        <v>0.0</v>
      </c>
      <c r="AX95" s="58">
        <v>0.0</v>
      </c>
      <c r="AY95" s="58">
        <v>0.0</v>
      </c>
      <c r="AZ95" s="58">
        <v>0.0</v>
      </c>
      <c r="BA95" s="58">
        <v>0.0</v>
      </c>
      <c r="BB95" s="58">
        <v>6.01</v>
      </c>
      <c r="BC95" s="58" t="s">
        <v>106</v>
      </c>
      <c r="BF95" s="58">
        <v>81.98</v>
      </c>
      <c r="BG95" s="58">
        <v>-8.2</v>
      </c>
      <c r="BH95" s="58" t="s">
        <v>107</v>
      </c>
      <c r="BI95" s="58" t="s">
        <v>108</v>
      </c>
      <c r="BJ95" s="58" t="s">
        <v>109</v>
      </c>
      <c r="BK95" s="58" t="s">
        <v>320</v>
      </c>
      <c r="BN95" s="58" t="s">
        <v>111</v>
      </c>
      <c r="BO95" s="58" t="s">
        <v>112</v>
      </c>
      <c r="BP95" s="58" t="s">
        <v>113</v>
      </c>
      <c r="BQ95" s="58" t="s">
        <v>317</v>
      </c>
      <c r="BR95" s="58">
        <v>2.46</v>
      </c>
      <c r="BT95" s="58">
        <v>-9.08</v>
      </c>
      <c r="BU95" s="58" t="s">
        <v>318</v>
      </c>
      <c r="BW95" s="64" t="str">
        <f>if(OR(F95="SALE",F95="REFUNDED"),IFERROR(Vlookup(I95,'Listing SKU - Fill SKU Mapping'!A:C,3,false),"Map"),"")</f>
        <v>Keystone</v>
      </c>
      <c r="BX95" s="64" t="str">
        <f>IF(OR(F95="SALE",F95="REFUNDED")=TRUE,iferror(Vlookup(I95,'Listing SKU - Fill SKU Mapping'!A:B,2,false),"Map"),"")</f>
        <v>52316S</v>
      </c>
      <c r="BY95" s="64">
        <f>IF(OR(F95="SALE",F95="REFUNDED")=TRUE,iferror(Vlookup(I95,'Listing SKU - Fill SKU Mapping'!A:D,4,false),"Map"),"")</f>
        <v>30.77</v>
      </c>
      <c r="BZ95" s="66">
        <f t="shared" si="1"/>
        <v>11.5</v>
      </c>
      <c r="CA95" s="66">
        <f t="shared" si="2"/>
        <v>42.27</v>
      </c>
      <c r="CB95" s="66">
        <f t="shared" si="3"/>
        <v>33.97</v>
      </c>
      <c r="CC95" s="64" t="str">
        <f>if(F95="REFUNDED",iferror(Vlookup(I95,'Listing SKU - Fill SKU Mapping'!A:B,2,false),"Map"),"")</f>
        <v/>
      </c>
      <c r="CD95" s="64" t="str">
        <f>if(F95="REFUNDED",iferror(Vlookup(I95,'Listing SKU - Fill SKU Mapping'!A:C,3,false),"Map"),"")</f>
        <v/>
      </c>
      <c r="CE95" s="64" t="str">
        <f t="shared" si="4"/>
        <v>2025</v>
      </c>
      <c r="CF95" s="64" t="str">
        <f t="shared" si="5"/>
        <v>June</v>
      </c>
      <c r="CG95" s="64" t="str">
        <f t="shared" si="6"/>
        <v/>
      </c>
    </row>
    <row r="96">
      <c r="A96" s="55">
        <v>2.0001E14</v>
      </c>
      <c r="B96" s="56">
        <v>1.0</v>
      </c>
      <c r="C96" s="57">
        <v>1.0902E14</v>
      </c>
      <c r="D96" s="58">
        <v>1.0</v>
      </c>
      <c r="F96" s="59" t="s">
        <v>100</v>
      </c>
      <c r="G96" s="60">
        <v>45834.0</v>
      </c>
      <c r="H96" s="58">
        <v>1.0</v>
      </c>
      <c r="I96" s="58" t="s">
        <v>329</v>
      </c>
      <c r="J96" s="61">
        <v>4.68102659623E11</v>
      </c>
      <c r="K96" s="63"/>
      <c r="L96" s="63"/>
      <c r="M96" s="63"/>
      <c r="N96" s="63"/>
      <c r="O96" s="63"/>
      <c r="P96" s="63"/>
      <c r="Q96" s="63"/>
      <c r="R96" s="63"/>
      <c r="S96" s="63"/>
      <c r="T96" s="58" t="s">
        <v>105</v>
      </c>
      <c r="U96" s="59">
        <v>70.32</v>
      </c>
      <c r="V96" s="59">
        <v>61.33</v>
      </c>
      <c r="W96" s="58">
        <v>4.62</v>
      </c>
      <c r="X96" s="58">
        <v>7.0</v>
      </c>
      <c r="Y96" s="58">
        <v>65.95</v>
      </c>
      <c r="Z96" s="59">
        <v>0.0</v>
      </c>
      <c r="AA96" s="58">
        <v>0.0</v>
      </c>
      <c r="AB96" s="58">
        <v>0.0</v>
      </c>
      <c r="AC96" s="58">
        <v>0.0</v>
      </c>
      <c r="AD96" s="58">
        <v>0.0</v>
      </c>
      <c r="AE96" s="58">
        <v>0.0</v>
      </c>
      <c r="AF96" s="58">
        <v>0.0</v>
      </c>
      <c r="AG96" s="58">
        <v>0.0</v>
      </c>
      <c r="AH96" s="58">
        <v>0.0</v>
      </c>
      <c r="AI96" s="58">
        <v>0.0</v>
      </c>
      <c r="AJ96" s="58">
        <v>0.0</v>
      </c>
      <c r="AK96" s="58">
        <v>0.0</v>
      </c>
      <c r="AL96" s="58">
        <v>0.0</v>
      </c>
      <c r="AM96" s="58">
        <v>0.0</v>
      </c>
      <c r="AN96" s="58">
        <v>0.0</v>
      </c>
      <c r="AO96" s="58">
        <v>4.37</v>
      </c>
      <c r="AP96" s="58">
        <v>0.0</v>
      </c>
      <c r="AQ96" s="58">
        <v>0.0</v>
      </c>
      <c r="AR96" s="58">
        <v>0.0</v>
      </c>
      <c r="AS96" s="58">
        <v>0.0</v>
      </c>
      <c r="AT96" s="58">
        <v>0.0</v>
      </c>
      <c r="AU96" s="58">
        <v>0.0</v>
      </c>
      <c r="AV96" s="58">
        <v>0.0</v>
      </c>
      <c r="AW96" s="58">
        <v>0.0</v>
      </c>
      <c r="AX96" s="58">
        <v>0.0</v>
      </c>
      <c r="AY96" s="58">
        <v>0.0</v>
      </c>
      <c r="AZ96" s="58">
        <v>0.0</v>
      </c>
      <c r="BA96" s="58">
        <v>0.0</v>
      </c>
      <c r="BB96" s="58">
        <v>4.37</v>
      </c>
      <c r="BC96" s="58" t="s">
        <v>106</v>
      </c>
      <c r="BG96" s="58">
        <v>-6.6</v>
      </c>
      <c r="BH96" s="58" t="s">
        <v>107</v>
      </c>
      <c r="BI96" s="58" t="s">
        <v>108</v>
      </c>
      <c r="BJ96" s="58" t="s">
        <v>109</v>
      </c>
      <c r="BK96" s="58" t="s">
        <v>320</v>
      </c>
      <c r="BN96" s="58" t="s">
        <v>111</v>
      </c>
      <c r="BO96" s="58" t="s">
        <v>112</v>
      </c>
      <c r="BP96" s="58" t="s">
        <v>113</v>
      </c>
      <c r="BQ96" s="58" t="s">
        <v>114</v>
      </c>
      <c r="BR96" s="58">
        <v>1.98</v>
      </c>
      <c r="BW96" s="64" t="str">
        <f>if(OR(F96="SALE",F96="REFUNDED"),IFERROR(Vlookup(I96,'Listing SKU - Fill SKU Mapping'!A:C,3,false),"Map"),"")</f>
        <v>Keystone</v>
      </c>
      <c r="BX96" s="64" t="str">
        <f>IF(OR(F96="SALE",F96="REFUNDED")=TRUE,iferror(Vlookup(I96,'Listing SKU - Fill SKU Mapping'!A:B,2,false),"Map"),"")</f>
        <v>C2030</v>
      </c>
      <c r="BY96" s="64">
        <f>IF(OR(F96="SALE",F96="REFUNDED")=TRUE,iferror(Vlookup(I96,'Listing SKU - Fill SKU Mapping'!A:D,4,false),"Map"),"")</f>
        <v>28.4</v>
      </c>
      <c r="BZ96" s="66">
        <f t="shared" si="1"/>
        <v>11.5</v>
      </c>
      <c r="CA96" s="66">
        <f t="shared" si="2"/>
        <v>39.9</v>
      </c>
      <c r="CB96" s="66">
        <f t="shared" si="3"/>
        <v>21.43</v>
      </c>
      <c r="CC96" s="64" t="str">
        <f>if(F96="REFUNDED",iferror(Vlookup(I96,'Listing SKU - Fill SKU Mapping'!A:B,2,false),"Map"),"")</f>
        <v/>
      </c>
      <c r="CD96" s="64" t="str">
        <f>if(F96="REFUNDED",iferror(Vlookup(I96,'Listing SKU - Fill SKU Mapping'!A:C,3,false),"Map"),"")</f>
        <v/>
      </c>
      <c r="CE96" s="64" t="str">
        <f t="shared" si="4"/>
        <v>2025</v>
      </c>
      <c r="CF96" s="64" t="str">
        <f t="shared" si="5"/>
        <v>June</v>
      </c>
      <c r="CG96" s="64" t="str">
        <f t="shared" si="6"/>
        <v/>
      </c>
    </row>
    <row r="97">
      <c r="A97" s="55">
        <v>2.0001E14</v>
      </c>
      <c r="B97" s="56">
        <v>1.0</v>
      </c>
      <c r="C97" s="57">
        <v>1.0902E14</v>
      </c>
      <c r="D97" s="58">
        <v>1.0</v>
      </c>
      <c r="F97" s="59" t="s">
        <v>100</v>
      </c>
      <c r="G97" s="60">
        <v>45825.0</v>
      </c>
      <c r="H97" s="58">
        <v>1.0</v>
      </c>
      <c r="I97" s="58" t="s">
        <v>330</v>
      </c>
      <c r="J97" s="61">
        <v>4.67129958757E11</v>
      </c>
      <c r="K97" s="63"/>
      <c r="L97" s="63"/>
      <c r="M97" s="63"/>
      <c r="N97" s="63"/>
      <c r="O97" s="63"/>
      <c r="P97" s="63"/>
      <c r="Q97" s="63"/>
      <c r="R97" s="63"/>
      <c r="S97" s="63"/>
      <c r="T97" s="58" t="s">
        <v>105</v>
      </c>
      <c r="U97" s="59">
        <v>89.07</v>
      </c>
      <c r="V97" s="59">
        <v>85.54</v>
      </c>
      <c r="W97" s="58">
        <v>6.44</v>
      </c>
      <c r="X97" s="58">
        <v>7.0</v>
      </c>
      <c r="Y97" s="58">
        <v>81.9</v>
      </c>
      <c r="Z97" s="59">
        <v>0.0</v>
      </c>
      <c r="AA97" s="58">
        <v>0.0</v>
      </c>
      <c r="AB97" s="58">
        <v>0.0</v>
      </c>
      <c r="AC97" s="58">
        <v>0.0</v>
      </c>
      <c r="AD97" s="58">
        <v>0.0</v>
      </c>
      <c r="AE97" s="58">
        <v>0.0</v>
      </c>
      <c r="AF97" s="58">
        <v>0.0</v>
      </c>
      <c r="AG97" s="58">
        <v>0.0</v>
      </c>
      <c r="AH97" s="58">
        <v>0.0</v>
      </c>
      <c r="AI97" s="58">
        <v>0.0</v>
      </c>
      <c r="AJ97" s="58">
        <v>0.0</v>
      </c>
      <c r="AK97" s="58">
        <v>0.0</v>
      </c>
      <c r="AL97" s="58">
        <v>0.0</v>
      </c>
      <c r="AM97" s="58">
        <v>0.0</v>
      </c>
      <c r="AN97" s="58">
        <v>0.0</v>
      </c>
      <c r="AO97" s="58">
        <v>7.17</v>
      </c>
      <c r="AP97" s="58">
        <v>0.0</v>
      </c>
      <c r="AQ97" s="58">
        <v>0.0</v>
      </c>
      <c r="AR97" s="58">
        <v>0.0</v>
      </c>
      <c r="AS97" s="58">
        <v>0.0</v>
      </c>
      <c r="AT97" s="58">
        <v>0.0</v>
      </c>
      <c r="AU97" s="58">
        <v>0.0</v>
      </c>
      <c r="AV97" s="58">
        <v>0.0</v>
      </c>
      <c r="AW97" s="58">
        <v>0.0</v>
      </c>
      <c r="AX97" s="58">
        <v>0.0</v>
      </c>
      <c r="AY97" s="58">
        <v>0.0</v>
      </c>
      <c r="AZ97" s="58">
        <v>0.0</v>
      </c>
      <c r="BA97" s="58">
        <v>0.0</v>
      </c>
      <c r="BB97" s="58">
        <v>7.17</v>
      </c>
      <c r="BC97" s="58" t="s">
        <v>106</v>
      </c>
      <c r="BF97" s="58">
        <v>91.98</v>
      </c>
      <c r="BG97" s="58">
        <v>-9.2</v>
      </c>
      <c r="BH97" s="58" t="s">
        <v>107</v>
      </c>
      <c r="BI97" s="58" t="s">
        <v>108</v>
      </c>
      <c r="BJ97" s="58" t="s">
        <v>109</v>
      </c>
      <c r="BK97" s="58" t="s">
        <v>286</v>
      </c>
      <c r="BN97" s="58" t="s">
        <v>111</v>
      </c>
      <c r="BO97" s="58" t="s">
        <v>112</v>
      </c>
      <c r="BP97" s="58" t="s">
        <v>113</v>
      </c>
      <c r="BQ97" s="58" t="s">
        <v>317</v>
      </c>
      <c r="BR97" s="58">
        <v>2.76</v>
      </c>
      <c r="BT97" s="58">
        <v>-10.08</v>
      </c>
      <c r="BU97" s="58" t="s">
        <v>318</v>
      </c>
      <c r="BW97" s="64" t="str">
        <f>if(OR(F97="SALE",F97="REFUNDED"),IFERROR(Vlookup(I97,'Listing SKU - Fill SKU Mapping'!A:C,3,false),"Map"),"")</f>
        <v>Keystone</v>
      </c>
      <c r="BX97" s="64" t="str">
        <f>IF(OR(F97="SALE",F97="REFUNDED")=TRUE,iferror(Vlookup(I97,'Listing SKU - Fill SKU Mapping'!A:B,2,false),"Map"),"")</f>
        <v>51817SB</v>
      </c>
      <c r="BY97" s="64">
        <f>IF(OR(F97="SALE",F97="REFUNDED")=TRUE,iferror(Vlookup(I97,'Listing SKU - Fill SKU Mapping'!A:D,4,false),"Map"),"")</f>
        <v>37.08</v>
      </c>
      <c r="BZ97" s="66">
        <f t="shared" si="1"/>
        <v>11.5</v>
      </c>
      <c r="CA97" s="66">
        <f t="shared" si="2"/>
        <v>48.58</v>
      </c>
      <c r="CB97" s="66">
        <f t="shared" si="3"/>
        <v>36.96</v>
      </c>
      <c r="CC97" s="64" t="str">
        <f>if(F97="REFUNDED",iferror(Vlookup(I97,'Listing SKU - Fill SKU Mapping'!A:B,2,false),"Map"),"")</f>
        <v/>
      </c>
      <c r="CD97" s="64" t="str">
        <f>if(F97="REFUNDED",iferror(Vlookup(I97,'Listing SKU - Fill SKU Mapping'!A:C,3,false),"Map"),"")</f>
        <v/>
      </c>
      <c r="CE97" s="64" t="str">
        <f t="shared" si="4"/>
        <v>2025</v>
      </c>
      <c r="CF97" s="64" t="str">
        <f t="shared" si="5"/>
        <v>June</v>
      </c>
      <c r="CG97" s="64" t="str">
        <f t="shared" si="6"/>
        <v/>
      </c>
    </row>
    <row r="98">
      <c r="A98" s="55">
        <v>2.0001E14</v>
      </c>
      <c r="B98" s="56">
        <v>1.0</v>
      </c>
      <c r="C98" s="57">
        <v>1.0902E14</v>
      </c>
      <c r="D98" s="58">
        <v>1.0</v>
      </c>
      <c r="F98" s="59" t="s">
        <v>100</v>
      </c>
      <c r="G98" s="60">
        <v>45827.0</v>
      </c>
      <c r="H98" s="58">
        <v>1.0</v>
      </c>
      <c r="I98" s="58" t="s">
        <v>331</v>
      </c>
      <c r="J98" s="61">
        <v>4.67129941643E11</v>
      </c>
      <c r="K98" s="63"/>
      <c r="L98" s="63"/>
      <c r="M98" s="63"/>
      <c r="N98" s="63"/>
      <c r="O98" s="63"/>
      <c r="P98" s="63"/>
      <c r="Q98" s="63"/>
      <c r="R98" s="63"/>
      <c r="S98" s="63"/>
      <c r="T98" s="58" t="s">
        <v>105</v>
      </c>
      <c r="U98" s="59">
        <v>104.25</v>
      </c>
      <c r="V98" s="59">
        <v>90.19</v>
      </c>
      <c r="W98" s="58">
        <v>6.79</v>
      </c>
      <c r="X98" s="58">
        <v>7.0</v>
      </c>
      <c r="Y98" s="58">
        <v>96.98</v>
      </c>
      <c r="Z98" s="59">
        <v>0.0</v>
      </c>
      <c r="AA98" s="58">
        <v>0.0</v>
      </c>
      <c r="AB98" s="58">
        <v>0.0</v>
      </c>
      <c r="AC98" s="58">
        <v>0.0</v>
      </c>
      <c r="AD98" s="58">
        <v>0.0</v>
      </c>
      <c r="AE98" s="58">
        <v>0.0</v>
      </c>
      <c r="AF98" s="58">
        <v>0.0</v>
      </c>
      <c r="AG98" s="58">
        <v>0.0</v>
      </c>
      <c r="AH98" s="58">
        <v>0.0</v>
      </c>
      <c r="AI98" s="58">
        <v>0.0</v>
      </c>
      <c r="AJ98" s="58">
        <v>0.0</v>
      </c>
      <c r="AK98" s="58">
        <v>0.0</v>
      </c>
      <c r="AL98" s="58">
        <v>0.0</v>
      </c>
      <c r="AM98" s="58">
        <v>0.0</v>
      </c>
      <c r="AN98" s="58">
        <v>0.0</v>
      </c>
      <c r="AO98" s="58">
        <v>7.27</v>
      </c>
      <c r="AP98" s="58">
        <v>0.0</v>
      </c>
      <c r="AQ98" s="58">
        <v>0.0</v>
      </c>
      <c r="AR98" s="58">
        <v>0.0</v>
      </c>
      <c r="AS98" s="58">
        <v>0.0</v>
      </c>
      <c r="AT98" s="58">
        <v>0.0</v>
      </c>
      <c r="AU98" s="58">
        <v>0.0</v>
      </c>
      <c r="AV98" s="58">
        <v>0.0</v>
      </c>
      <c r="AW98" s="58">
        <v>0.0</v>
      </c>
      <c r="AX98" s="58">
        <v>0.0</v>
      </c>
      <c r="AY98" s="58">
        <v>0.0</v>
      </c>
      <c r="AZ98" s="58">
        <v>0.0</v>
      </c>
      <c r="BA98" s="58">
        <v>0.0</v>
      </c>
      <c r="BB98" s="58">
        <v>7.27</v>
      </c>
      <c r="BC98" s="58" t="s">
        <v>106</v>
      </c>
      <c r="BG98" s="58">
        <v>-9.7</v>
      </c>
      <c r="BH98" s="58" t="s">
        <v>107</v>
      </c>
      <c r="BI98" s="58" t="s">
        <v>108</v>
      </c>
      <c r="BJ98" s="58" t="s">
        <v>109</v>
      </c>
      <c r="BK98" s="58" t="s">
        <v>286</v>
      </c>
      <c r="BN98" s="58" t="s">
        <v>111</v>
      </c>
      <c r="BO98" s="58" t="s">
        <v>112</v>
      </c>
      <c r="BP98" s="58" t="s">
        <v>113</v>
      </c>
      <c r="BQ98" s="58" t="s">
        <v>114</v>
      </c>
      <c r="BR98" s="58">
        <v>2.91</v>
      </c>
      <c r="BW98" s="64" t="str">
        <f>if(OR(F98="SALE",F98="REFUNDED"),IFERROR(Vlookup(I98,'Listing SKU - Fill SKU Mapping'!A:C,3,false),"Map"),"")</f>
        <v>Keystone</v>
      </c>
      <c r="BX98" s="64" t="str">
        <f>IF(OR(F98="SALE",F98="REFUNDED")=TRUE,iferror(Vlookup(I98,'Listing SKU - Fill SKU Mapping'!A:B,2,false),"Map"),"")</f>
        <v>46817S</v>
      </c>
      <c r="BY98" s="64">
        <f>IF(OR(F98="SALE",F98="REFUNDED")=TRUE,iferror(Vlookup(I98,'Listing SKU - Fill SKU Mapping'!A:D,4,false),"Map"),"")</f>
        <v>39.84</v>
      </c>
      <c r="BZ98" s="66">
        <f t="shared" si="1"/>
        <v>11.5</v>
      </c>
      <c r="CA98" s="66">
        <f t="shared" si="2"/>
        <v>51.34</v>
      </c>
      <c r="CB98" s="66">
        <f t="shared" si="3"/>
        <v>38.85</v>
      </c>
      <c r="CC98" s="64" t="str">
        <f>if(F98="REFUNDED",iferror(Vlookup(I98,'Listing SKU - Fill SKU Mapping'!A:B,2,false),"Map"),"")</f>
        <v/>
      </c>
      <c r="CD98" s="64" t="str">
        <f>if(F98="REFUNDED",iferror(Vlookup(I98,'Listing SKU - Fill SKU Mapping'!A:C,3,false),"Map"),"")</f>
        <v/>
      </c>
      <c r="CE98" s="64" t="str">
        <f t="shared" si="4"/>
        <v>2025</v>
      </c>
      <c r="CF98" s="64" t="str">
        <f t="shared" si="5"/>
        <v>June</v>
      </c>
      <c r="CG98" s="64" t="str">
        <f t="shared" si="6"/>
        <v/>
      </c>
    </row>
    <row r="99">
      <c r="A99" s="55">
        <v>2.0001E14</v>
      </c>
      <c r="B99" s="56">
        <v>1.0</v>
      </c>
      <c r="C99" s="57">
        <v>1.0902E14</v>
      </c>
      <c r="D99" s="58">
        <v>1.0</v>
      </c>
      <c r="F99" s="59" t="s">
        <v>100</v>
      </c>
      <c r="G99" s="60">
        <v>45824.0</v>
      </c>
      <c r="H99" s="58">
        <v>1.0</v>
      </c>
      <c r="I99" s="58" t="s">
        <v>332</v>
      </c>
      <c r="J99" s="61">
        <v>4.65595357029E11</v>
      </c>
      <c r="K99" s="63"/>
      <c r="L99" s="63"/>
      <c r="M99" s="63"/>
      <c r="N99" s="63"/>
      <c r="O99" s="63"/>
      <c r="P99" s="63"/>
      <c r="Q99" s="63"/>
      <c r="R99" s="63"/>
      <c r="S99" s="63"/>
      <c r="T99" s="58" t="s">
        <v>105</v>
      </c>
      <c r="U99" s="59">
        <v>77.38</v>
      </c>
      <c r="V99" s="59">
        <v>66.94</v>
      </c>
      <c r="W99" s="58">
        <v>5.04</v>
      </c>
      <c r="X99" s="58">
        <v>7.0</v>
      </c>
      <c r="Y99" s="58">
        <v>71.98</v>
      </c>
      <c r="Z99" s="59">
        <v>0.0</v>
      </c>
      <c r="AA99" s="58">
        <v>0.0</v>
      </c>
      <c r="AB99" s="58">
        <v>0.0</v>
      </c>
      <c r="AC99" s="58">
        <v>0.0</v>
      </c>
      <c r="AD99" s="58">
        <v>0.0</v>
      </c>
      <c r="AE99" s="58">
        <v>0.0</v>
      </c>
      <c r="AF99" s="58">
        <v>0.0</v>
      </c>
      <c r="AG99" s="58">
        <v>0.0</v>
      </c>
      <c r="AH99" s="58">
        <v>0.0</v>
      </c>
      <c r="AI99" s="58">
        <v>0.0</v>
      </c>
      <c r="AJ99" s="58">
        <v>0.0</v>
      </c>
      <c r="AK99" s="58">
        <v>0.0</v>
      </c>
      <c r="AL99" s="58">
        <v>0.0</v>
      </c>
      <c r="AM99" s="58">
        <v>0.0</v>
      </c>
      <c r="AN99" s="58">
        <v>0.0</v>
      </c>
      <c r="AO99" s="58">
        <v>5.4</v>
      </c>
      <c r="AP99" s="58">
        <v>0.0</v>
      </c>
      <c r="AQ99" s="58">
        <v>0.0</v>
      </c>
      <c r="AR99" s="58">
        <v>0.0</v>
      </c>
      <c r="AS99" s="58">
        <v>0.0</v>
      </c>
      <c r="AT99" s="58">
        <v>0.0</v>
      </c>
      <c r="AU99" s="58">
        <v>0.0</v>
      </c>
      <c r="AV99" s="58">
        <v>0.0</v>
      </c>
      <c r="AW99" s="58">
        <v>0.0</v>
      </c>
      <c r="AX99" s="58">
        <v>0.0</v>
      </c>
      <c r="AY99" s="58">
        <v>0.0</v>
      </c>
      <c r="AZ99" s="58">
        <v>0.0</v>
      </c>
      <c r="BA99" s="58">
        <v>0.0</v>
      </c>
      <c r="BB99" s="58">
        <v>5.4</v>
      </c>
      <c r="BC99" s="58" t="s">
        <v>106</v>
      </c>
      <c r="BG99" s="58">
        <v>-7.2</v>
      </c>
      <c r="BH99" s="58" t="s">
        <v>107</v>
      </c>
      <c r="BI99" s="58" t="s">
        <v>108</v>
      </c>
      <c r="BJ99" s="58" t="s">
        <v>109</v>
      </c>
      <c r="BK99" s="58" t="s">
        <v>286</v>
      </c>
      <c r="BN99" s="58" t="s">
        <v>111</v>
      </c>
      <c r="BO99" s="58" t="s">
        <v>112</v>
      </c>
      <c r="BP99" s="58" t="s">
        <v>113</v>
      </c>
      <c r="BQ99" s="58" t="s">
        <v>114</v>
      </c>
      <c r="BR99" s="58">
        <v>2.16</v>
      </c>
      <c r="BW99" s="64" t="str">
        <f>if(OR(F99="SALE",F99="REFUNDED"),IFERROR(Vlookup(I99,'Listing SKU - Fill SKU Mapping'!A:C,3,false),"Map"),"")</f>
        <v>Keystone</v>
      </c>
      <c r="BX99" s="64" t="str">
        <f>IF(OR(F99="SALE",F99="REFUNDED")=TRUE,iferror(Vlookup(I99,'Listing SKU - Fill SKU Mapping'!A:B,2,false),"Map"),"")</f>
        <v>IMP477BLK</v>
      </c>
      <c r="BY99" s="64">
        <f>IF(OR(F99="SALE",F99="REFUNDED")=TRUE,iferror(Vlookup(I99,'Listing SKU - Fill SKU Mapping'!A:D,4,false),"Map"),"")</f>
        <v>48.13</v>
      </c>
      <c r="BZ99" s="66">
        <f t="shared" si="1"/>
        <v>11.5</v>
      </c>
      <c r="CA99" s="66">
        <f t="shared" si="2"/>
        <v>59.63</v>
      </c>
      <c r="CB99" s="66">
        <f t="shared" si="3"/>
        <v>7.31</v>
      </c>
      <c r="CC99" s="64" t="str">
        <f>if(F99="REFUNDED",iferror(Vlookup(I99,'Listing SKU - Fill SKU Mapping'!A:B,2,false),"Map"),"")</f>
        <v/>
      </c>
      <c r="CD99" s="64" t="str">
        <f>if(F99="REFUNDED",iferror(Vlookup(I99,'Listing SKU - Fill SKU Mapping'!A:C,3,false),"Map"),"")</f>
        <v/>
      </c>
      <c r="CE99" s="64" t="str">
        <f t="shared" si="4"/>
        <v>2025</v>
      </c>
      <c r="CF99" s="64" t="str">
        <f t="shared" si="5"/>
        <v>June</v>
      </c>
      <c r="CG99" s="64" t="str">
        <f t="shared" si="6"/>
        <v/>
      </c>
    </row>
    <row r="100">
      <c r="A100" s="55">
        <v>2.0001E14</v>
      </c>
      <c r="B100" s="56">
        <v>1.0</v>
      </c>
      <c r="C100" s="57">
        <v>1.0902E14</v>
      </c>
      <c r="D100" s="58">
        <v>1.0</v>
      </c>
      <c r="F100" s="59" t="s">
        <v>100</v>
      </c>
      <c r="G100" s="60">
        <v>45832.0</v>
      </c>
      <c r="H100" s="58">
        <v>1.0</v>
      </c>
      <c r="I100" s="58" t="s">
        <v>120</v>
      </c>
      <c r="J100" s="61">
        <v>4.67129945498E11</v>
      </c>
      <c r="K100" s="63"/>
      <c r="L100" s="63"/>
      <c r="M100" s="63"/>
      <c r="N100" s="63"/>
      <c r="O100" s="63"/>
      <c r="P100" s="63"/>
      <c r="Q100" s="63"/>
      <c r="R100" s="63"/>
      <c r="S100" s="63"/>
      <c r="T100" s="58" t="s">
        <v>105</v>
      </c>
      <c r="U100" s="59">
        <v>72.82</v>
      </c>
      <c r="V100" s="59">
        <v>70.66</v>
      </c>
      <c r="W100" s="58">
        <v>5.32</v>
      </c>
      <c r="X100" s="58">
        <v>7.0</v>
      </c>
      <c r="Y100" s="58">
        <v>67.9</v>
      </c>
      <c r="Z100" s="59">
        <v>0.0</v>
      </c>
      <c r="AA100" s="58">
        <v>0.0</v>
      </c>
      <c r="AB100" s="58">
        <v>0.0</v>
      </c>
      <c r="AC100" s="58">
        <v>0.0</v>
      </c>
      <c r="AD100" s="58">
        <v>0.0</v>
      </c>
      <c r="AE100" s="58">
        <v>0.0</v>
      </c>
      <c r="AF100" s="58">
        <v>0.0</v>
      </c>
      <c r="AG100" s="58">
        <v>0.0</v>
      </c>
      <c r="AH100" s="58">
        <v>0.0</v>
      </c>
      <c r="AI100" s="58">
        <v>0.0</v>
      </c>
      <c r="AJ100" s="58">
        <v>0.0</v>
      </c>
      <c r="AK100" s="58">
        <v>0.0</v>
      </c>
      <c r="AL100" s="58">
        <v>0.0</v>
      </c>
      <c r="AM100" s="58">
        <v>0.0</v>
      </c>
      <c r="AN100" s="58">
        <v>0.0</v>
      </c>
      <c r="AO100" s="58">
        <v>4.92</v>
      </c>
      <c r="AP100" s="58">
        <v>0.0</v>
      </c>
      <c r="AQ100" s="58">
        <v>0.0</v>
      </c>
      <c r="AR100" s="58">
        <v>0.0</v>
      </c>
      <c r="AS100" s="58">
        <v>0.0</v>
      </c>
      <c r="AT100" s="58">
        <v>0.0</v>
      </c>
      <c r="AU100" s="58">
        <v>0.0</v>
      </c>
      <c r="AV100" s="58">
        <v>0.0</v>
      </c>
      <c r="AW100" s="58">
        <v>0.0</v>
      </c>
      <c r="AX100" s="58">
        <v>0.0</v>
      </c>
      <c r="AY100" s="58">
        <v>0.0</v>
      </c>
      <c r="AZ100" s="58">
        <v>0.0</v>
      </c>
      <c r="BA100" s="58">
        <v>0.0</v>
      </c>
      <c r="BB100" s="58">
        <v>4.92</v>
      </c>
      <c r="BC100" s="58" t="s">
        <v>106</v>
      </c>
      <c r="BF100" s="58">
        <v>75.98</v>
      </c>
      <c r="BG100" s="58">
        <v>-7.6</v>
      </c>
      <c r="BH100" s="58" t="s">
        <v>107</v>
      </c>
      <c r="BI100" s="58" t="s">
        <v>108</v>
      </c>
      <c r="BJ100" s="58" t="s">
        <v>109</v>
      </c>
      <c r="BK100" s="58" t="s">
        <v>333</v>
      </c>
      <c r="BN100" s="58" t="s">
        <v>111</v>
      </c>
      <c r="BO100" s="58" t="s">
        <v>112</v>
      </c>
      <c r="BP100" s="58" t="s">
        <v>113</v>
      </c>
      <c r="BQ100" s="58" t="s">
        <v>317</v>
      </c>
      <c r="BR100" s="58">
        <v>2.28</v>
      </c>
      <c r="BT100" s="58">
        <v>-8.08</v>
      </c>
      <c r="BU100" s="58" t="s">
        <v>318</v>
      </c>
      <c r="BW100" s="64" t="str">
        <f>if(OR(F100="SALE",F100="REFUNDED"),IFERROR(Vlookup(I100,'Listing SKU - Fill SKU Mapping'!A:C,3,false),"Map"),"")</f>
        <v>Keystone</v>
      </c>
      <c r="BX100" s="64" t="str">
        <f>IF(OR(F100="SALE",F100="REFUNDED")=TRUE,iferror(Vlookup(I100,'Listing SKU - Fill SKU Mapping'!A:B,2,false),"Map"),"")</f>
        <v>51917S</v>
      </c>
      <c r="BY100" s="64">
        <f>IF(OR(F100="SALE",F100="REFUNDED")=TRUE,iferror(Vlookup(I100,'Listing SKU - Fill SKU Mapping'!A:D,4,false),"Map"),"")</f>
        <v>27.22</v>
      </c>
      <c r="BZ100" s="66">
        <f t="shared" si="1"/>
        <v>11.5</v>
      </c>
      <c r="CA100" s="66">
        <f t="shared" si="2"/>
        <v>38.72</v>
      </c>
      <c r="CB100" s="66">
        <f t="shared" si="3"/>
        <v>31.94</v>
      </c>
      <c r="CC100" s="64" t="str">
        <f>if(F100="REFUNDED",iferror(Vlookup(I100,'Listing SKU - Fill SKU Mapping'!A:B,2,false),"Map"),"")</f>
        <v/>
      </c>
      <c r="CD100" s="64" t="str">
        <f>if(F100="REFUNDED",iferror(Vlookup(I100,'Listing SKU - Fill SKU Mapping'!A:C,3,false),"Map"),"")</f>
        <v/>
      </c>
      <c r="CE100" s="64" t="str">
        <f t="shared" si="4"/>
        <v>2025</v>
      </c>
      <c r="CF100" s="64" t="str">
        <f t="shared" si="5"/>
        <v>June</v>
      </c>
      <c r="CG100" s="64" t="str">
        <f t="shared" si="6"/>
        <v/>
      </c>
    </row>
    <row r="101">
      <c r="A101" s="55">
        <v>2.0001E14</v>
      </c>
      <c r="B101" s="56">
        <v>1.0</v>
      </c>
      <c r="C101" s="57">
        <v>1.0902E14</v>
      </c>
      <c r="D101" s="58">
        <v>1.0</v>
      </c>
      <c r="F101" s="59" t="s">
        <v>100</v>
      </c>
      <c r="G101" s="60">
        <v>45828.0</v>
      </c>
      <c r="H101" s="58">
        <v>1.0</v>
      </c>
      <c r="I101" s="58" t="s">
        <v>287</v>
      </c>
      <c r="J101" s="61">
        <v>4.67129928224E11</v>
      </c>
      <c r="K101" s="63"/>
      <c r="L101" s="63"/>
      <c r="M101" s="63"/>
      <c r="N101" s="63"/>
      <c r="O101" s="63"/>
      <c r="P101" s="63"/>
      <c r="Q101" s="63"/>
      <c r="R101" s="63"/>
      <c r="S101" s="63"/>
      <c r="T101" s="58" t="s">
        <v>105</v>
      </c>
      <c r="U101" s="59">
        <v>73.67</v>
      </c>
      <c r="V101" s="59">
        <v>63.22</v>
      </c>
      <c r="W101" s="58">
        <v>4.76</v>
      </c>
      <c r="X101" s="58">
        <v>7.0</v>
      </c>
      <c r="Y101" s="58">
        <v>67.98</v>
      </c>
      <c r="Z101" s="59">
        <v>0.0</v>
      </c>
      <c r="AA101" s="58">
        <v>0.0</v>
      </c>
      <c r="AB101" s="58">
        <v>0.0</v>
      </c>
      <c r="AC101" s="58">
        <v>0.0</v>
      </c>
      <c r="AD101" s="58">
        <v>0.0</v>
      </c>
      <c r="AE101" s="58">
        <v>0.0</v>
      </c>
      <c r="AF101" s="58">
        <v>0.0</v>
      </c>
      <c r="AG101" s="58">
        <v>0.0</v>
      </c>
      <c r="AH101" s="58">
        <v>0.0</v>
      </c>
      <c r="AI101" s="58">
        <v>0.0</v>
      </c>
      <c r="AJ101" s="58">
        <v>0.0</v>
      </c>
      <c r="AK101" s="58">
        <v>0.0</v>
      </c>
      <c r="AL101" s="58">
        <v>0.0</v>
      </c>
      <c r="AM101" s="58">
        <v>0.0</v>
      </c>
      <c r="AN101" s="58">
        <v>0.0</v>
      </c>
      <c r="AO101" s="58">
        <v>5.69</v>
      </c>
      <c r="AP101" s="58">
        <v>0.0</v>
      </c>
      <c r="AQ101" s="58">
        <v>0.0</v>
      </c>
      <c r="AR101" s="58">
        <v>0.0</v>
      </c>
      <c r="AS101" s="58">
        <v>0.0</v>
      </c>
      <c r="AT101" s="58">
        <v>0.0</v>
      </c>
      <c r="AU101" s="58">
        <v>0.0</v>
      </c>
      <c r="AV101" s="58">
        <v>0.0</v>
      </c>
      <c r="AW101" s="58">
        <v>0.0</v>
      </c>
      <c r="AX101" s="58">
        <v>0.0</v>
      </c>
      <c r="AY101" s="58">
        <v>0.0</v>
      </c>
      <c r="AZ101" s="58">
        <v>0.0</v>
      </c>
      <c r="BA101" s="58">
        <v>0.0</v>
      </c>
      <c r="BB101" s="58">
        <v>5.69</v>
      </c>
      <c r="BC101" s="58" t="s">
        <v>106</v>
      </c>
      <c r="BG101" s="58">
        <v>-6.8</v>
      </c>
      <c r="BH101" s="58" t="s">
        <v>107</v>
      </c>
      <c r="BI101" s="58" t="s">
        <v>108</v>
      </c>
      <c r="BJ101" s="58" t="s">
        <v>109</v>
      </c>
      <c r="BK101" s="58" t="s">
        <v>320</v>
      </c>
      <c r="BN101" s="58" t="s">
        <v>111</v>
      </c>
      <c r="BO101" s="58" t="s">
        <v>112</v>
      </c>
      <c r="BP101" s="58" t="s">
        <v>113</v>
      </c>
      <c r="BQ101" s="58" t="s">
        <v>114</v>
      </c>
      <c r="BR101" s="58">
        <v>2.04</v>
      </c>
      <c r="BW101" s="64" t="str">
        <f>if(OR(F101="SALE",F101="REFUNDED"),IFERROR(Vlookup(I101,'Listing SKU - Fill SKU Mapping'!A:C,3,false),"Map"),"")</f>
        <v>Keystone</v>
      </c>
      <c r="BX101" s="64" t="str">
        <f>IF(OR(F101="SALE",F101="REFUNDED")=TRUE,iferror(Vlookup(I101,'Listing SKU - Fill SKU Mapping'!A:B,2,false),"Map"),"")</f>
        <v>50516S</v>
      </c>
      <c r="BY101" s="64">
        <f>IF(OR(F101="SALE",F101="REFUNDED")=TRUE,iferror(Vlookup(I101,'Listing SKU - Fill SKU Mapping'!A:D,4,false),"Map"),"")</f>
        <v>22.1</v>
      </c>
      <c r="BZ101" s="66">
        <f t="shared" si="1"/>
        <v>11.5</v>
      </c>
      <c r="CA101" s="66">
        <f t="shared" si="2"/>
        <v>33.6</v>
      </c>
      <c r="CB101" s="66">
        <f t="shared" si="3"/>
        <v>29.62</v>
      </c>
      <c r="CC101" s="64" t="str">
        <f>if(F101="REFUNDED",iferror(Vlookup(I101,'Listing SKU - Fill SKU Mapping'!A:B,2,false),"Map"),"")</f>
        <v/>
      </c>
      <c r="CD101" s="64" t="str">
        <f>if(F101="REFUNDED",iferror(Vlookup(I101,'Listing SKU - Fill SKU Mapping'!A:C,3,false),"Map"),"")</f>
        <v/>
      </c>
      <c r="CE101" s="64" t="str">
        <f t="shared" si="4"/>
        <v>2025</v>
      </c>
      <c r="CF101" s="64" t="str">
        <f t="shared" si="5"/>
        <v>June</v>
      </c>
      <c r="CG101" s="64" t="str">
        <f t="shared" si="6"/>
        <v/>
      </c>
    </row>
    <row r="102">
      <c r="A102" s="55">
        <v>2.0001E14</v>
      </c>
      <c r="B102" s="56">
        <v>1.0</v>
      </c>
      <c r="C102" s="57">
        <v>1.0901E14</v>
      </c>
      <c r="D102" s="58">
        <v>1.0</v>
      </c>
      <c r="F102" s="59" t="s">
        <v>158</v>
      </c>
      <c r="G102" s="60">
        <v>45830.0</v>
      </c>
      <c r="H102" s="58">
        <v>1.0</v>
      </c>
      <c r="I102" s="58" t="s">
        <v>143</v>
      </c>
      <c r="J102" s="61">
        <v>4.60776238265E11</v>
      </c>
      <c r="K102" s="63"/>
      <c r="L102" s="63"/>
      <c r="M102" s="63"/>
      <c r="N102" s="63"/>
      <c r="O102" s="63"/>
      <c r="P102" s="63"/>
      <c r="Q102" s="63"/>
      <c r="R102" s="63"/>
      <c r="S102" s="63"/>
      <c r="T102" s="58" t="s">
        <v>105</v>
      </c>
      <c r="U102" s="59">
        <v>0.0</v>
      </c>
      <c r="V102" s="59">
        <v>-8.89</v>
      </c>
      <c r="W102" s="58">
        <v>0.0</v>
      </c>
      <c r="X102" s="58">
        <v>0.0</v>
      </c>
      <c r="Y102" s="58">
        <v>0.0</v>
      </c>
      <c r="Z102" s="59">
        <v>0.0</v>
      </c>
      <c r="AA102" s="58">
        <v>0.0</v>
      </c>
      <c r="AB102" s="58">
        <v>0.0</v>
      </c>
      <c r="AC102" s="58">
        <v>0.0</v>
      </c>
      <c r="AD102" s="58">
        <v>0.0</v>
      </c>
      <c r="AE102" s="58">
        <v>0.0</v>
      </c>
      <c r="AF102" s="58">
        <v>0.0</v>
      </c>
      <c r="AG102" s="58">
        <v>0.0</v>
      </c>
      <c r="AH102" s="58">
        <v>0.0</v>
      </c>
      <c r="AI102" s="58">
        <v>0.0</v>
      </c>
      <c r="AJ102" s="58">
        <v>0.0</v>
      </c>
      <c r="AK102" s="58">
        <v>0.0</v>
      </c>
      <c r="AL102" s="58">
        <v>0.0</v>
      </c>
      <c r="AM102" s="58">
        <v>0.0</v>
      </c>
      <c r="AN102" s="58">
        <v>0.0</v>
      </c>
      <c r="AO102" s="58">
        <v>0.0</v>
      </c>
      <c r="AP102" s="58">
        <v>0.0</v>
      </c>
      <c r="AQ102" s="58">
        <v>0.0</v>
      </c>
      <c r="AR102" s="58">
        <v>0.0</v>
      </c>
      <c r="AS102" s="58">
        <v>0.0</v>
      </c>
      <c r="AT102" s="58">
        <v>0.0</v>
      </c>
      <c r="AU102" s="58">
        <v>0.0</v>
      </c>
      <c r="AV102" s="58">
        <v>0.0</v>
      </c>
      <c r="AW102" s="58">
        <v>0.0</v>
      </c>
      <c r="AX102" s="58">
        <v>0.0</v>
      </c>
      <c r="AY102" s="58">
        <v>0.0</v>
      </c>
      <c r="AZ102" s="58">
        <v>0.0</v>
      </c>
      <c r="BA102" s="58">
        <v>0.0</v>
      </c>
      <c r="BB102" s="58">
        <v>0.0</v>
      </c>
      <c r="BC102" s="58" t="s">
        <v>106</v>
      </c>
      <c r="BD102" s="58" t="s">
        <v>163</v>
      </c>
      <c r="BE102" s="58">
        <v>5013.0</v>
      </c>
      <c r="BH102" s="58" t="s">
        <v>107</v>
      </c>
      <c r="BI102" s="58" t="s">
        <v>108</v>
      </c>
      <c r="BN102" s="58" t="s">
        <v>111</v>
      </c>
      <c r="BO102" s="58" t="s">
        <v>112</v>
      </c>
      <c r="BW102" s="64" t="str">
        <f>if(OR(F102="SALE",F102="REFUNDED"),IFERROR(Vlookup(I102,'Listing SKU - Fill SKU Mapping'!A:C,3,false),"Map"),"")</f>
        <v/>
      </c>
      <c r="BX102" s="64" t="str">
        <f>IF(OR(F102="SALE",F102="REFUNDED")=TRUE,iferror(Vlookup(I102,'Listing SKU - Fill SKU Mapping'!A:B,2,false),"Map"),"")</f>
        <v/>
      </c>
      <c r="BY102" s="64" t="str">
        <f>IF(OR(F102="SALE",F102="REFUNDED")=TRUE,iferror(Vlookup(I102,'Listing SKU - Fill SKU Mapping'!A:D,4,false),"Map"),"")</f>
        <v/>
      </c>
      <c r="BZ102" s="66" t="str">
        <f t="shared" si="1"/>
        <v/>
      </c>
      <c r="CA102" s="64" t="str">
        <f t="shared" si="2"/>
        <v/>
      </c>
      <c r="CB102" s="64" t="str">
        <f t="shared" si="3"/>
        <v/>
      </c>
      <c r="CC102" s="64" t="str">
        <f>if(F102="REFUNDED",iferror(Vlookup(I102,'Listing SKU - Fill SKU Mapping'!A:B,2,false),"Map"),"")</f>
        <v/>
      </c>
      <c r="CD102" s="64" t="str">
        <f>if(F102="REFUNDED",iferror(Vlookup(I102,'Listing SKU - Fill SKU Mapping'!A:C,3,false),"Map"),"")</f>
        <v/>
      </c>
      <c r="CE102" s="64" t="str">
        <f t="shared" si="4"/>
        <v>2025</v>
      </c>
      <c r="CF102" s="64" t="str">
        <f t="shared" si="5"/>
        <v>June</v>
      </c>
      <c r="CG102" s="64" t="str">
        <f t="shared" si="6"/>
        <v/>
      </c>
    </row>
    <row r="103">
      <c r="A103" s="55">
        <v>2.0001E14</v>
      </c>
      <c r="B103" s="56">
        <v>1.0</v>
      </c>
      <c r="C103" s="57">
        <v>1.0901E14</v>
      </c>
      <c r="D103" s="58">
        <v>1.0</v>
      </c>
      <c r="F103" s="59" t="s">
        <v>158</v>
      </c>
      <c r="G103" s="60">
        <v>45823.0</v>
      </c>
      <c r="H103" s="58">
        <v>1.0</v>
      </c>
      <c r="I103" s="58" t="s">
        <v>159</v>
      </c>
      <c r="J103" s="61">
        <v>4.60776234854E11</v>
      </c>
      <c r="K103" s="63"/>
      <c r="L103" s="63"/>
      <c r="M103" s="63"/>
      <c r="N103" s="63"/>
      <c r="O103" s="63"/>
      <c r="P103" s="63"/>
      <c r="Q103" s="63"/>
      <c r="R103" s="63"/>
      <c r="S103" s="63"/>
      <c r="T103" s="58" t="s">
        <v>105</v>
      </c>
      <c r="U103" s="59">
        <v>0.0</v>
      </c>
      <c r="V103" s="59">
        <v>-8.89</v>
      </c>
      <c r="W103" s="58">
        <v>0.0</v>
      </c>
      <c r="X103" s="58">
        <v>0.0</v>
      </c>
      <c r="Y103" s="58">
        <v>0.0</v>
      </c>
      <c r="Z103" s="59">
        <v>0.0</v>
      </c>
      <c r="AA103" s="58">
        <v>0.0</v>
      </c>
      <c r="AB103" s="58">
        <v>0.0</v>
      </c>
      <c r="AC103" s="58">
        <v>0.0</v>
      </c>
      <c r="AD103" s="58">
        <v>0.0</v>
      </c>
      <c r="AE103" s="58">
        <v>0.0</v>
      </c>
      <c r="AF103" s="58">
        <v>0.0</v>
      </c>
      <c r="AG103" s="58">
        <v>0.0</v>
      </c>
      <c r="AH103" s="58">
        <v>0.0</v>
      </c>
      <c r="AI103" s="58">
        <v>0.0</v>
      </c>
      <c r="AJ103" s="58">
        <v>0.0</v>
      </c>
      <c r="AK103" s="58">
        <v>0.0</v>
      </c>
      <c r="AL103" s="58">
        <v>0.0</v>
      </c>
      <c r="AM103" s="58">
        <v>0.0</v>
      </c>
      <c r="AN103" s="58">
        <v>0.0</v>
      </c>
      <c r="AO103" s="58">
        <v>0.0</v>
      </c>
      <c r="AP103" s="58">
        <v>0.0</v>
      </c>
      <c r="AQ103" s="58">
        <v>0.0</v>
      </c>
      <c r="AR103" s="58">
        <v>0.0</v>
      </c>
      <c r="AS103" s="58">
        <v>0.0</v>
      </c>
      <c r="AT103" s="58">
        <v>0.0</v>
      </c>
      <c r="AU103" s="58">
        <v>0.0</v>
      </c>
      <c r="AV103" s="58">
        <v>0.0</v>
      </c>
      <c r="AW103" s="58">
        <v>0.0</v>
      </c>
      <c r="AX103" s="58">
        <v>0.0</v>
      </c>
      <c r="AY103" s="58">
        <v>0.0</v>
      </c>
      <c r="AZ103" s="58">
        <v>0.0</v>
      </c>
      <c r="BA103" s="58">
        <v>0.0</v>
      </c>
      <c r="BB103" s="58">
        <v>0.0</v>
      </c>
      <c r="BC103" s="58" t="s">
        <v>106</v>
      </c>
      <c r="BD103" s="58" t="s">
        <v>163</v>
      </c>
      <c r="BE103" s="58">
        <v>5013.0</v>
      </c>
      <c r="BH103" s="58" t="s">
        <v>107</v>
      </c>
      <c r="BI103" s="58" t="s">
        <v>108</v>
      </c>
      <c r="BN103" s="58" t="s">
        <v>111</v>
      </c>
      <c r="BO103" s="58" t="s">
        <v>112</v>
      </c>
      <c r="BW103" s="64" t="str">
        <f>if(OR(F103="SALE",F103="REFUNDED"),IFERROR(Vlookup(I103,'Listing SKU - Fill SKU Mapping'!A:C,3,false),"Map"),"")</f>
        <v/>
      </c>
      <c r="BX103" s="64" t="str">
        <f>IF(OR(F103="SALE",F103="REFUNDED")=TRUE,iferror(Vlookup(I103,'Listing SKU - Fill SKU Mapping'!A:B,2,false),"Map"),"")</f>
        <v/>
      </c>
      <c r="BY103" s="64" t="str">
        <f>IF(OR(F103="SALE",F103="REFUNDED")=TRUE,iferror(Vlookup(I103,'Listing SKU - Fill SKU Mapping'!A:D,4,false),"Map"),"")</f>
        <v/>
      </c>
      <c r="BZ103" s="66" t="str">
        <f t="shared" si="1"/>
        <v/>
      </c>
      <c r="CA103" s="64" t="str">
        <f t="shared" si="2"/>
        <v/>
      </c>
      <c r="CB103" s="64" t="str">
        <f t="shared" si="3"/>
        <v/>
      </c>
      <c r="CC103" s="64" t="str">
        <f>if(F103="REFUNDED",iferror(Vlookup(I103,'Listing SKU - Fill SKU Mapping'!A:B,2,false),"Map"),"")</f>
        <v/>
      </c>
      <c r="CD103" s="64" t="str">
        <f>if(F103="REFUNDED",iferror(Vlookup(I103,'Listing SKU - Fill SKU Mapping'!A:C,3,false),"Map"),"")</f>
        <v/>
      </c>
      <c r="CE103" s="64" t="str">
        <f t="shared" si="4"/>
        <v>2025</v>
      </c>
      <c r="CF103" s="64" t="str">
        <f t="shared" si="5"/>
        <v>June</v>
      </c>
      <c r="CG103" s="64" t="str">
        <f t="shared" si="6"/>
        <v/>
      </c>
    </row>
    <row r="104">
      <c r="A104" s="55">
        <v>2.0001E14</v>
      </c>
      <c r="B104" s="56">
        <v>1.0</v>
      </c>
      <c r="C104" s="57">
        <v>1.0901E14</v>
      </c>
      <c r="D104" s="58">
        <v>1.0</v>
      </c>
      <c r="F104" s="59" t="s">
        <v>158</v>
      </c>
      <c r="G104" s="60">
        <v>45830.0</v>
      </c>
      <c r="H104" s="58">
        <v>1.0</v>
      </c>
      <c r="I104" s="58" t="s">
        <v>198</v>
      </c>
      <c r="J104" s="61">
        <v>4.60776240152E11</v>
      </c>
      <c r="K104" s="63"/>
      <c r="L104" s="63"/>
      <c r="M104" s="63"/>
      <c r="N104" s="63"/>
      <c r="O104" s="63"/>
      <c r="P104" s="63"/>
      <c r="Q104" s="63"/>
      <c r="R104" s="63"/>
      <c r="S104" s="63"/>
      <c r="T104" s="58" t="s">
        <v>105</v>
      </c>
      <c r="U104" s="59">
        <v>0.0</v>
      </c>
      <c r="V104" s="59">
        <v>-10.81</v>
      </c>
      <c r="W104" s="58">
        <v>0.0</v>
      </c>
      <c r="X104" s="58">
        <v>0.0</v>
      </c>
      <c r="Y104" s="58">
        <v>0.0</v>
      </c>
      <c r="Z104" s="59">
        <v>0.0</v>
      </c>
      <c r="AA104" s="58">
        <v>0.0</v>
      </c>
      <c r="AB104" s="58">
        <v>0.0</v>
      </c>
      <c r="AC104" s="58">
        <v>0.0</v>
      </c>
      <c r="AD104" s="58">
        <v>0.0</v>
      </c>
      <c r="AE104" s="58">
        <v>0.0</v>
      </c>
      <c r="AF104" s="58">
        <v>0.0</v>
      </c>
      <c r="AG104" s="58">
        <v>0.0</v>
      </c>
      <c r="AH104" s="58">
        <v>0.0</v>
      </c>
      <c r="AI104" s="58">
        <v>0.0</v>
      </c>
      <c r="AJ104" s="58">
        <v>0.0</v>
      </c>
      <c r="AK104" s="58">
        <v>0.0</v>
      </c>
      <c r="AL104" s="58">
        <v>0.0</v>
      </c>
      <c r="AM104" s="58">
        <v>0.0</v>
      </c>
      <c r="AN104" s="58">
        <v>0.0</v>
      </c>
      <c r="AO104" s="58">
        <v>0.0</v>
      </c>
      <c r="AP104" s="58">
        <v>0.0</v>
      </c>
      <c r="AQ104" s="58">
        <v>0.0</v>
      </c>
      <c r="AR104" s="58">
        <v>0.0</v>
      </c>
      <c r="AS104" s="58">
        <v>0.0</v>
      </c>
      <c r="AT104" s="58">
        <v>0.0</v>
      </c>
      <c r="AU104" s="58">
        <v>0.0</v>
      </c>
      <c r="AV104" s="58">
        <v>0.0</v>
      </c>
      <c r="AW104" s="58">
        <v>0.0</v>
      </c>
      <c r="AX104" s="58">
        <v>0.0</v>
      </c>
      <c r="AY104" s="58">
        <v>0.0</v>
      </c>
      <c r="AZ104" s="58">
        <v>0.0</v>
      </c>
      <c r="BA104" s="58">
        <v>0.0</v>
      </c>
      <c r="BB104" s="58">
        <v>0.0</v>
      </c>
      <c r="BC104" s="58" t="s">
        <v>106</v>
      </c>
      <c r="BD104" s="58" t="s">
        <v>163</v>
      </c>
      <c r="BE104" s="58">
        <v>5013.0</v>
      </c>
      <c r="BH104" s="58" t="s">
        <v>107</v>
      </c>
      <c r="BI104" s="58" t="s">
        <v>108</v>
      </c>
      <c r="BN104" s="58" t="s">
        <v>111</v>
      </c>
      <c r="BO104" s="58" t="s">
        <v>112</v>
      </c>
      <c r="BW104" s="64" t="str">
        <f>if(OR(F104="SALE",F104="REFUNDED"),IFERROR(Vlookup(I104,'Listing SKU - Fill SKU Mapping'!A:C,3,false),"Map"),"")</f>
        <v/>
      </c>
      <c r="BX104" s="64" t="str">
        <f>IF(OR(F104="SALE",F104="REFUNDED")=TRUE,iferror(Vlookup(I104,'Listing SKU - Fill SKU Mapping'!A:B,2,false),"Map"),"")</f>
        <v/>
      </c>
      <c r="BY104" s="64" t="str">
        <f>IF(OR(F104="SALE",F104="REFUNDED")=TRUE,iferror(Vlookup(I104,'Listing SKU - Fill SKU Mapping'!A:D,4,false),"Map"),"")</f>
        <v/>
      </c>
      <c r="BZ104" s="66" t="str">
        <f t="shared" si="1"/>
        <v/>
      </c>
      <c r="CA104" s="64" t="str">
        <f t="shared" si="2"/>
        <v/>
      </c>
      <c r="CB104" s="64" t="str">
        <f t="shared" si="3"/>
        <v/>
      </c>
      <c r="CC104" s="64" t="str">
        <f>if(F104="REFUNDED",iferror(Vlookup(I104,'Listing SKU - Fill SKU Mapping'!A:B,2,false),"Map"),"")</f>
        <v/>
      </c>
      <c r="CD104" s="64" t="str">
        <f>if(F104="REFUNDED",iferror(Vlookup(I104,'Listing SKU - Fill SKU Mapping'!A:C,3,false),"Map"),"")</f>
        <v/>
      </c>
      <c r="CE104" s="64" t="str">
        <f t="shared" si="4"/>
        <v>2025</v>
      </c>
      <c r="CF104" s="64" t="str">
        <f t="shared" si="5"/>
        <v>June</v>
      </c>
      <c r="CG104" s="64" t="str">
        <f t="shared" si="6"/>
        <v/>
      </c>
    </row>
    <row r="105">
      <c r="A105" s="55">
        <v>2.0001E14</v>
      </c>
      <c r="B105" s="56">
        <v>1.0</v>
      </c>
      <c r="C105" s="57">
        <v>1.0901E14</v>
      </c>
      <c r="D105" s="58">
        <v>1.0</v>
      </c>
      <c r="F105" s="59" t="s">
        <v>158</v>
      </c>
      <c r="G105" s="60">
        <v>45823.0</v>
      </c>
      <c r="H105" s="58">
        <v>1.0</v>
      </c>
      <c r="I105" s="58" t="s">
        <v>151</v>
      </c>
      <c r="J105" s="61">
        <v>4.6077623339E11</v>
      </c>
      <c r="K105" s="63"/>
      <c r="L105" s="63"/>
      <c r="M105" s="63"/>
      <c r="N105" s="63"/>
      <c r="O105" s="63"/>
      <c r="P105" s="63"/>
      <c r="Q105" s="63"/>
      <c r="R105" s="63"/>
      <c r="S105" s="63"/>
      <c r="T105" s="58" t="s">
        <v>105</v>
      </c>
      <c r="U105" s="59">
        <v>0.0</v>
      </c>
      <c r="V105" s="59">
        <v>-10.81</v>
      </c>
      <c r="W105" s="58">
        <v>0.0</v>
      </c>
      <c r="X105" s="58">
        <v>0.0</v>
      </c>
      <c r="Y105" s="58">
        <v>0.0</v>
      </c>
      <c r="Z105" s="59">
        <v>0.0</v>
      </c>
      <c r="AA105" s="58">
        <v>0.0</v>
      </c>
      <c r="AB105" s="58">
        <v>0.0</v>
      </c>
      <c r="AC105" s="58">
        <v>0.0</v>
      </c>
      <c r="AD105" s="58">
        <v>0.0</v>
      </c>
      <c r="AE105" s="58">
        <v>0.0</v>
      </c>
      <c r="AF105" s="58">
        <v>0.0</v>
      </c>
      <c r="AG105" s="58">
        <v>0.0</v>
      </c>
      <c r="AH105" s="58">
        <v>0.0</v>
      </c>
      <c r="AI105" s="58">
        <v>0.0</v>
      </c>
      <c r="AJ105" s="58">
        <v>0.0</v>
      </c>
      <c r="AK105" s="58">
        <v>0.0</v>
      </c>
      <c r="AL105" s="58">
        <v>0.0</v>
      </c>
      <c r="AM105" s="58">
        <v>0.0</v>
      </c>
      <c r="AN105" s="58">
        <v>0.0</v>
      </c>
      <c r="AO105" s="58">
        <v>0.0</v>
      </c>
      <c r="AP105" s="58">
        <v>0.0</v>
      </c>
      <c r="AQ105" s="58">
        <v>0.0</v>
      </c>
      <c r="AR105" s="58">
        <v>0.0</v>
      </c>
      <c r="AS105" s="58">
        <v>0.0</v>
      </c>
      <c r="AT105" s="58">
        <v>0.0</v>
      </c>
      <c r="AU105" s="58">
        <v>0.0</v>
      </c>
      <c r="AV105" s="58">
        <v>0.0</v>
      </c>
      <c r="AW105" s="58">
        <v>0.0</v>
      </c>
      <c r="AX105" s="58">
        <v>0.0</v>
      </c>
      <c r="AY105" s="58">
        <v>0.0</v>
      </c>
      <c r="AZ105" s="58">
        <v>0.0</v>
      </c>
      <c r="BA105" s="58">
        <v>0.0</v>
      </c>
      <c r="BB105" s="58">
        <v>0.0</v>
      </c>
      <c r="BC105" s="58" t="s">
        <v>106</v>
      </c>
      <c r="BD105" s="58" t="s">
        <v>163</v>
      </c>
      <c r="BE105" s="58">
        <v>5013.0</v>
      </c>
      <c r="BH105" s="58" t="s">
        <v>107</v>
      </c>
      <c r="BI105" s="58" t="s">
        <v>108</v>
      </c>
      <c r="BN105" s="58" t="s">
        <v>106</v>
      </c>
      <c r="BO105" s="58" t="s">
        <v>112</v>
      </c>
      <c r="BW105" s="64" t="str">
        <f>if(OR(F105="SALE",F105="REFUNDED"),IFERROR(Vlookup(I105,'Listing SKU - Fill SKU Mapping'!A:C,3,false),"Map"),"")</f>
        <v/>
      </c>
      <c r="BX105" s="64" t="str">
        <f>IF(OR(F105="SALE",F105="REFUNDED")=TRUE,iferror(Vlookup(I105,'Listing SKU - Fill SKU Mapping'!A:B,2,false),"Map"),"")</f>
        <v/>
      </c>
      <c r="BY105" s="64" t="str">
        <f>IF(OR(F105="SALE",F105="REFUNDED")=TRUE,iferror(Vlookup(I105,'Listing SKU - Fill SKU Mapping'!A:D,4,false),"Map"),"")</f>
        <v/>
      </c>
      <c r="BZ105" s="66" t="str">
        <f t="shared" si="1"/>
        <v/>
      </c>
      <c r="CA105" s="64" t="str">
        <f t="shared" si="2"/>
        <v/>
      </c>
      <c r="CB105" s="64" t="str">
        <f t="shared" si="3"/>
        <v/>
      </c>
      <c r="CC105" s="64" t="str">
        <f>if(F105="REFUNDED",iferror(Vlookup(I105,'Listing SKU - Fill SKU Mapping'!A:B,2,false),"Map"),"")</f>
        <v/>
      </c>
      <c r="CD105" s="64" t="str">
        <f>if(F105="REFUNDED",iferror(Vlookup(I105,'Listing SKU - Fill SKU Mapping'!A:C,3,false),"Map"),"")</f>
        <v/>
      </c>
      <c r="CE105" s="64" t="str">
        <f t="shared" si="4"/>
        <v>2025</v>
      </c>
      <c r="CF105" s="64" t="str">
        <f t="shared" si="5"/>
        <v>June</v>
      </c>
      <c r="CG105" s="64" t="str">
        <f t="shared" si="6"/>
        <v/>
      </c>
    </row>
    <row r="106">
      <c r="A106" s="55">
        <v>2.0001E14</v>
      </c>
      <c r="B106" s="56">
        <v>1.0</v>
      </c>
      <c r="C106" s="57">
        <v>1.0902E14</v>
      </c>
      <c r="D106" s="58">
        <v>1.0</v>
      </c>
      <c r="F106" s="59" t="s">
        <v>100</v>
      </c>
      <c r="G106" s="60">
        <v>45840.0</v>
      </c>
      <c r="H106" s="58">
        <v>1.0</v>
      </c>
      <c r="I106" s="58" t="s">
        <v>334</v>
      </c>
      <c r="J106" s="61">
        <v>4.67129950386E11</v>
      </c>
      <c r="K106" s="63"/>
      <c r="L106" s="63"/>
      <c r="M106" s="63"/>
      <c r="N106" s="63"/>
      <c r="O106" s="63"/>
      <c r="P106" s="63"/>
      <c r="Q106" s="63"/>
      <c r="R106" s="63"/>
      <c r="S106" s="63"/>
      <c r="T106" s="58" t="s">
        <v>105</v>
      </c>
      <c r="U106" s="59">
        <v>76.66</v>
      </c>
      <c r="V106" s="59">
        <v>66.01</v>
      </c>
      <c r="W106" s="58">
        <v>4.97</v>
      </c>
      <c r="X106" s="58">
        <v>7.0</v>
      </c>
      <c r="Y106" s="68">
        <v>70.98</v>
      </c>
      <c r="Z106" s="69">
        <v>0.0</v>
      </c>
      <c r="AA106" s="68">
        <v>0.0</v>
      </c>
      <c r="AB106" s="68">
        <v>0.0</v>
      </c>
      <c r="AC106" s="68">
        <v>0.0</v>
      </c>
      <c r="AD106" s="68">
        <v>0.0</v>
      </c>
      <c r="AE106" s="68">
        <v>0.0</v>
      </c>
      <c r="AF106" s="68">
        <v>0.0</v>
      </c>
      <c r="AG106" s="68">
        <v>0.0</v>
      </c>
      <c r="AH106" s="68">
        <v>0.0</v>
      </c>
      <c r="AI106" s="68">
        <v>0.0</v>
      </c>
      <c r="AJ106" s="68">
        <v>0.0</v>
      </c>
      <c r="AK106" s="68">
        <v>0.0</v>
      </c>
      <c r="AL106" s="68">
        <v>0.0</v>
      </c>
      <c r="AM106" s="68">
        <v>0.0</v>
      </c>
      <c r="AN106" s="68">
        <v>0.0</v>
      </c>
      <c r="AO106" s="68">
        <v>5.68</v>
      </c>
      <c r="AP106" s="68">
        <v>0.0</v>
      </c>
      <c r="AQ106" s="68">
        <v>0.0</v>
      </c>
      <c r="AR106" s="68">
        <v>0.0</v>
      </c>
      <c r="AS106" s="68">
        <v>0.0</v>
      </c>
      <c r="AT106" s="68">
        <v>0.0</v>
      </c>
      <c r="AU106" s="68">
        <v>0.0</v>
      </c>
      <c r="AV106" s="68">
        <v>0.0</v>
      </c>
      <c r="AW106" s="68">
        <v>0.0</v>
      </c>
      <c r="AX106" s="68">
        <v>0.0</v>
      </c>
      <c r="AY106" s="68">
        <v>0.0</v>
      </c>
      <c r="AZ106" s="68">
        <v>0.0</v>
      </c>
      <c r="BA106" s="68">
        <v>0.0</v>
      </c>
      <c r="BB106" s="68">
        <v>5.68</v>
      </c>
      <c r="BC106" s="68" t="s">
        <v>106</v>
      </c>
      <c r="BD106" s="68"/>
      <c r="BG106" s="70">
        <v>-7.1</v>
      </c>
      <c r="BH106" s="68" t="s">
        <v>107</v>
      </c>
      <c r="BI106" s="68" t="s">
        <v>108</v>
      </c>
      <c r="BJ106" s="68" t="s">
        <v>109</v>
      </c>
      <c r="BK106" s="68" t="s">
        <v>316</v>
      </c>
      <c r="BM106" s="68"/>
      <c r="BN106" s="70" t="s">
        <v>111</v>
      </c>
      <c r="BO106" s="68" t="s">
        <v>112</v>
      </c>
      <c r="BP106" s="68" t="s">
        <v>113</v>
      </c>
      <c r="BQ106" s="68" t="s">
        <v>114</v>
      </c>
      <c r="BR106" s="68">
        <v>2.13</v>
      </c>
      <c r="BS106" s="68"/>
      <c r="BW106" s="64" t="str">
        <f>if(OR(F106="SALE",F106="REFUNDED"),IFERROR(Vlookup(I106,'Listing SKU - Fill SKU Mapping'!A:C,3,false),"Map"),"")</f>
        <v>Keystone</v>
      </c>
      <c r="BX106" s="64" t="str">
        <f>IF(OR(F106="SALE",F106="REFUNDED")=TRUE,iferror(Vlookup(I106,'Listing SKU - Fill SKU Mapping'!A:B,2,false),"Map"),"")</f>
        <v>45315S</v>
      </c>
      <c r="BY106" s="64">
        <f>IF(OR(F106="SALE",F106="REFUNDED")=TRUE,iferror(Vlookup(I106,'Listing SKU - Fill SKU Mapping'!A:D,4,false),"Map"),"")</f>
        <v>23.67</v>
      </c>
      <c r="BZ106" s="66">
        <f t="shared" si="1"/>
        <v>11.5</v>
      </c>
      <c r="CA106" s="66">
        <f t="shared" si="2"/>
        <v>35.17</v>
      </c>
      <c r="CB106" s="66">
        <f t="shared" si="3"/>
        <v>30.84</v>
      </c>
      <c r="CC106" s="64" t="str">
        <f>if(F106="REFUNDED",iferror(Vlookup(I106,'Listing SKU - Fill SKU Mapping'!A:B,2,false),"Map"),"")</f>
        <v/>
      </c>
      <c r="CD106" s="64" t="str">
        <f>if(F106="REFUNDED",iferror(Vlookup(I106,'Listing SKU - Fill SKU Mapping'!A:C,3,false),"Map"),"")</f>
        <v/>
      </c>
      <c r="CE106" s="64" t="str">
        <f t="shared" si="4"/>
        <v>2025</v>
      </c>
      <c r="CF106" s="64" t="str">
        <f t="shared" si="5"/>
        <v>July</v>
      </c>
      <c r="CG106" s="64" t="str">
        <f t="shared" si="6"/>
        <v/>
      </c>
    </row>
    <row r="107">
      <c r="A107" s="55">
        <v>2.0001E14</v>
      </c>
      <c r="B107" s="56">
        <v>1.0</v>
      </c>
      <c r="C107" s="57">
        <v>1.0902E14</v>
      </c>
      <c r="D107" s="58">
        <v>1.0</v>
      </c>
      <c r="F107" s="59" t="s">
        <v>100</v>
      </c>
      <c r="G107" s="60">
        <v>45845.0</v>
      </c>
      <c r="H107" s="58">
        <v>1.0</v>
      </c>
      <c r="I107" s="58" t="s">
        <v>335</v>
      </c>
      <c r="J107" s="61">
        <v>4.66885060957E11</v>
      </c>
      <c r="K107" s="63"/>
      <c r="L107" s="63"/>
      <c r="M107" s="63"/>
      <c r="N107" s="63"/>
      <c r="O107" s="63"/>
      <c r="P107" s="63"/>
      <c r="Q107" s="63"/>
      <c r="R107" s="63"/>
      <c r="S107" s="63"/>
      <c r="T107" s="58" t="s">
        <v>105</v>
      </c>
      <c r="U107" s="59">
        <v>84.98</v>
      </c>
      <c r="V107" s="59">
        <v>79.03</v>
      </c>
      <c r="W107" s="58">
        <v>5.95</v>
      </c>
      <c r="X107" s="58">
        <v>7.0</v>
      </c>
      <c r="Y107" s="68">
        <v>84.98</v>
      </c>
      <c r="Z107" s="69">
        <v>0.0</v>
      </c>
      <c r="AA107" s="68">
        <v>0.0</v>
      </c>
      <c r="AB107" s="68">
        <v>0.0</v>
      </c>
      <c r="AC107" s="68">
        <v>0.0</v>
      </c>
      <c r="AD107" s="68">
        <v>0.0</v>
      </c>
      <c r="AE107" s="68">
        <v>0.0</v>
      </c>
      <c r="AF107" s="68">
        <v>0.0</v>
      </c>
      <c r="AG107" s="68">
        <v>0.0</v>
      </c>
      <c r="AH107" s="68">
        <v>0.0</v>
      </c>
      <c r="AI107" s="68">
        <v>0.0</v>
      </c>
      <c r="AJ107" s="68">
        <v>0.0</v>
      </c>
      <c r="AK107" s="68">
        <v>0.0</v>
      </c>
      <c r="AL107" s="68">
        <v>0.0</v>
      </c>
      <c r="AM107" s="68">
        <v>0.0</v>
      </c>
      <c r="AN107" s="68">
        <v>0.0</v>
      </c>
      <c r="AO107" s="68">
        <v>0.0</v>
      </c>
      <c r="AP107" s="68">
        <v>0.0</v>
      </c>
      <c r="AQ107" s="68">
        <v>0.0</v>
      </c>
      <c r="AR107" s="68">
        <v>0.0</v>
      </c>
      <c r="AS107" s="68">
        <v>0.0</v>
      </c>
      <c r="AT107" s="68">
        <v>0.0</v>
      </c>
      <c r="AU107" s="68">
        <v>0.0</v>
      </c>
      <c r="AV107" s="68">
        <v>0.0</v>
      </c>
      <c r="AW107" s="68">
        <v>0.0</v>
      </c>
      <c r="AX107" s="68">
        <v>0.0</v>
      </c>
      <c r="AY107" s="68">
        <v>0.0</v>
      </c>
      <c r="AZ107" s="68">
        <v>0.0</v>
      </c>
      <c r="BA107" s="68">
        <v>0.0</v>
      </c>
      <c r="BB107" s="68">
        <v>0.0</v>
      </c>
      <c r="BC107" s="68" t="s">
        <v>111</v>
      </c>
      <c r="BD107" s="68"/>
      <c r="BG107" s="70">
        <v>-8.5</v>
      </c>
      <c r="BH107" s="68" t="s">
        <v>107</v>
      </c>
      <c r="BI107" s="68" t="s">
        <v>108</v>
      </c>
      <c r="BJ107" s="68" t="s">
        <v>109</v>
      </c>
      <c r="BK107" s="68" t="s">
        <v>336</v>
      </c>
      <c r="BM107" s="68"/>
      <c r="BN107" s="70" t="s">
        <v>111</v>
      </c>
      <c r="BO107" s="68" t="s">
        <v>112</v>
      </c>
      <c r="BP107" s="68" t="s">
        <v>113</v>
      </c>
      <c r="BQ107" s="68" t="s">
        <v>114</v>
      </c>
      <c r="BR107" s="68">
        <v>2.55</v>
      </c>
      <c r="BS107" s="68"/>
      <c r="BW107" s="64" t="str">
        <f>if(OR(F107="SALE",F107="REFUNDED"),IFERROR(Vlookup(I107,'Listing SKU - Fill SKU Mapping'!A:C,3,false),"Map"),"")</f>
        <v>Keystone</v>
      </c>
      <c r="BX107" s="64" t="str">
        <f>IF(OR(F107="SALE",F107="REFUNDED")=TRUE,iferror(Vlookup(I107,'Listing SKU - Fill SKU Mapping'!A:B,2,false),"Map"),"")</f>
        <v>41616S</v>
      </c>
      <c r="BY107" s="64">
        <f>IF(OR(F107="SALE",F107="REFUNDED")=TRUE,iferror(Vlookup(I107,'Listing SKU - Fill SKU Mapping'!A:D,4,false),"Map"),"")</f>
        <v>32.74</v>
      </c>
      <c r="BZ107" s="66">
        <f t="shared" si="1"/>
        <v>11.5</v>
      </c>
      <c r="CA107" s="66">
        <f t="shared" si="2"/>
        <v>44.24</v>
      </c>
      <c r="CB107" s="66">
        <f t="shared" si="3"/>
        <v>34.79</v>
      </c>
      <c r="CC107" s="64" t="str">
        <f>if(F107="REFUNDED",iferror(Vlookup(I107,'Listing SKU - Fill SKU Mapping'!A:B,2,false),"Map"),"")</f>
        <v/>
      </c>
      <c r="CD107" s="64" t="str">
        <f>if(F107="REFUNDED",iferror(Vlookup(I107,'Listing SKU - Fill SKU Mapping'!A:C,3,false),"Map"),"")</f>
        <v/>
      </c>
      <c r="CE107" s="64" t="str">
        <f t="shared" si="4"/>
        <v>2025</v>
      </c>
      <c r="CF107" s="64" t="str">
        <f t="shared" si="5"/>
        <v>July</v>
      </c>
      <c r="CG107" s="64" t="str">
        <f t="shared" si="6"/>
        <v/>
      </c>
    </row>
    <row r="108">
      <c r="A108" s="55">
        <v>2.0001E14</v>
      </c>
      <c r="B108" s="56">
        <v>1.0</v>
      </c>
      <c r="C108" s="57">
        <v>1.0902E14</v>
      </c>
      <c r="D108" s="58">
        <v>1.0</v>
      </c>
      <c r="F108" s="59" t="s">
        <v>100</v>
      </c>
      <c r="G108" s="60">
        <v>45838.0</v>
      </c>
      <c r="H108" s="58">
        <v>1.0</v>
      </c>
      <c r="I108" s="58" t="s">
        <v>213</v>
      </c>
      <c r="J108" s="61">
        <v>4.60776230832E11</v>
      </c>
      <c r="K108" s="63"/>
      <c r="L108" s="63"/>
      <c r="M108" s="63"/>
      <c r="N108" s="63"/>
      <c r="O108" s="63"/>
      <c r="P108" s="63"/>
      <c r="Q108" s="63"/>
      <c r="R108" s="63"/>
      <c r="S108" s="63"/>
      <c r="T108" s="58" t="s">
        <v>105</v>
      </c>
      <c r="U108" s="59">
        <v>116.08</v>
      </c>
      <c r="V108" s="59">
        <v>100.42</v>
      </c>
      <c r="W108" s="58">
        <v>7.56</v>
      </c>
      <c r="X108" s="58">
        <v>7.0</v>
      </c>
      <c r="Y108" s="68">
        <v>107.98</v>
      </c>
      <c r="Z108" s="69">
        <v>0.0</v>
      </c>
      <c r="AA108" s="68">
        <v>0.0</v>
      </c>
      <c r="AB108" s="68">
        <v>0.0</v>
      </c>
      <c r="AC108" s="68">
        <v>0.0</v>
      </c>
      <c r="AD108" s="68">
        <v>0.0</v>
      </c>
      <c r="AE108" s="68">
        <v>0.0</v>
      </c>
      <c r="AF108" s="68">
        <v>0.0</v>
      </c>
      <c r="AG108" s="68">
        <v>0.0</v>
      </c>
      <c r="AH108" s="68">
        <v>0.0</v>
      </c>
      <c r="AI108" s="68">
        <v>0.0</v>
      </c>
      <c r="AJ108" s="68">
        <v>0.0</v>
      </c>
      <c r="AK108" s="68">
        <v>0.0</v>
      </c>
      <c r="AL108" s="68">
        <v>0.0</v>
      </c>
      <c r="AM108" s="68">
        <v>0.0</v>
      </c>
      <c r="AN108" s="68">
        <v>0.0</v>
      </c>
      <c r="AO108" s="68">
        <v>8.1</v>
      </c>
      <c r="AP108" s="68">
        <v>0.0</v>
      </c>
      <c r="AQ108" s="68">
        <v>0.0</v>
      </c>
      <c r="AR108" s="68">
        <v>0.0</v>
      </c>
      <c r="AS108" s="68">
        <v>0.0</v>
      </c>
      <c r="AT108" s="68">
        <v>0.0</v>
      </c>
      <c r="AU108" s="68">
        <v>0.0</v>
      </c>
      <c r="AV108" s="68">
        <v>0.0</v>
      </c>
      <c r="AW108" s="68">
        <v>0.0</v>
      </c>
      <c r="AX108" s="68">
        <v>0.0</v>
      </c>
      <c r="AY108" s="68">
        <v>0.0</v>
      </c>
      <c r="AZ108" s="68">
        <v>0.0</v>
      </c>
      <c r="BA108" s="68">
        <v>0.0</v>
      </c>
      <c r="BB108" s="68">
        <v>8.1</v>
      </c>
      <c r="BC108" s="68" t="s">
        <v>106</v>
      </c>
      <c r="BD108" s="68"/>
      <c r="BG108" s="70">
        <v>-10.8</v>
      </c>
      <c r="BH108" s="68" t="s">
        <v>107</v>
      </c>
      <c r="BI108" s="68" t="s">
        <v>108</v>
      </c>
      <c r="BJ108" s="68" t="s">
        <v>109</v>
      </c>
      <c r="BK108" s="68" t="s">
        <v>316</v>
      </c>
      <c r="BM108" s="68"/>
      <c r="BN108" s="70" t="s">
        <v>111</v>
      </c>
      <c r="BO108" s="68" t="s">
        <v>112</v>
      </c>
      <c r="BP108" s="68" t="s">
        <v>113</v>
      </c>
      <c r="BQ108" s="68" t="s">
        <v>114</v>
      </c>
      <c r="BR108" s="68">
        <v>3.24</v>
      </c>
      <c r="BS108" s="68"/>
      <c r="BW108" s="64" t="str">
        <f>if(OR(F108="SALE",F108="REFUNDED"),IFERROR(Vlookup(I108,'Listing SKU - Fill SKU Mapping'!A:C,3,false),"Map"),"")</f>
        <v>Keystone</v>
      </c>
      <c r="BX108" s="64" t="str">
        <f>IF(OR(F108="SALE",F108="REFUNDED")=TRUE,iferror(Vlookup(I108,'Listing SKU - Fill SKU Mapping'!A:B,2,false),"Map"),"")</f>
        <v>IMP407BLK</v>
      </c>
      <c r="BY108" s="64">
        <f>IF(OR(F108="SALE",F108="REFUNDED")=TRUE,iferror(Vlookup(I108,'Listing SKU - Fill SKU Mapping'!A:D,4,false),"Map"),"")</f>
        <v>49.71</v>
      </c>
      <c r="BZ108" s="66">
        <f t="shared" si="1"/>
        <v>11.5</v>
      </c>
      <c r="CA108" s="66">
        <f t="shared" si="2"/>
        <v>61.21</v>
      </c>
      <c r="CB108" s="66">
        <f t="shared" si="3"/>
        <v>39.21</v>
      </c>
      <c r="CC108" s="64" t="str">
        <f>if(F108="REFUNDED",iferror(Vlookup(I108,'Listing SKU - Fill SKU Mapping'!A:B,2,false),"Map"),"")</f>
        <v/>
      </c>
      <c r="CD108" s="64" t="str">
        <f>if(F108="REFUNDED",iferror(Vlookup(I108,'Listing SKU - Fill SKU Mapping'!A:C,3,false),"Map"),"")</f>
        <v/>
      </c>
      <c r="CE108" s="64" t="str">
        <f t="shared" si="4"/>
        <v>2025</v>
      </c>
      <c r="CF108" s="64" t="str">
        <f t="shared" si="5"/>
        <v>June</v>
      </c>
      <c r="CG108" s="64" t="str">
        <f t="shared" si="6"/>
        <v/>
      </c>
    </row>
    <row r="109">
      <c r="A109" s="55">
        <v>2.0001E14</v>
      </c>
      <c r="B109" s="56">
        <v>1.0</v>
      </c>
      <c r="C109" s="57">
        <v>1.0902E14</v>
      </c>
      <c r="D109" s="58">
        <v>1.0</v>
      </c>
      <c r="F109" s="59" t="s">
        <v>128</v>
      </c>
      <c r="G109" s="60">
        <v>45840.0</v>
      </c>
      <c r="H109" s="58">
        <v>1.0</v>
      </c>
      <c r="I109" s="58" t="s">
        <v>213</v>
      </c>
      <c r="J109" s="61">
        <v>4.60776230832E11</v>
      </c>
      <c r="K109" s="63"/>
      <c r="L109" s="63"/>
      <c r="M109" s="63"/>
      <c r="N109" s="63"/>
      <c r="O109" s="63"/>
      <c r="P109" s="63"/>
      <c r="Q109" s="63"/>
      <c r="R109" s="63"/>
      <c r="S109" s="63"/>
      <c r="U109" s="59">
        <v>-116.08</v>
      </c>
      <c r="V109" s="59">
        <v>-100.42</v>
      </c>
      <c r="W109" s="58">
        <v>-7.56</v>
      </c>
      <c r="X109" s="58">
        <v>0.0</v>
      </c>
      <c r="Y109" s="68">
        <v>0.0</v>
      </c>
      <c r="Z109" s="69">
        <v>-107.98</v>
      </c>
      <c r="AA109" s="68">
        <v>0.0</v>
      </c>
      <c r="AB109" s="68">
        <v>0.0</v>
      </c>
      <c r="AC109" s="68">
        <v>0.0</v>
      </c>
      <c r="AD109" s="68">
        <v>0.0</v>
      </c>
      <c r="AE109" s="68">
        <v>0.0</v>
      </c>
      <c r="AF109" s="68">
        <v>0.0</v>
      </c>
      <c r="AG109" s="68">
        <v>0.0</v>
      </c>
      <c r="AH109" s="68">
        <v>0.0</v>
      </c>
      <c r="AI109" s="68">
        <v>0.0</v>
      </c>
      <c r="AJ109" s="68">
        <v>0.0</v>
      </c>
      <c r="AK109" s="68">
        <v>0.0</v>
      </c>
      <c r="AL109" s="68">
        <v>0.0</v>
      </c>
      <c r="AM109" s="68">
        <v>0.0</v>
      </c>
      <c r="AN109" s="68">
        <v>0.0</v>
      </c>
      <c r="AO109" s="68">
        <v>0.0</v>
      </c>
      <c r="AP109" s="68">
        <v>0.0</v>
      </c>
      <c r="AQ109" s="68">
        <v>0.0</v>
      </c>
      <c r="AR109" s="68">
        <v>0.0</v>
      </c>
      <c r="AS109" s="68">
        <v>0.0</v>
      </c>
      <c r="AT109" s="68">
        <v>-8.1</v>
      </c>
      <c r="AU109" s="68">
        <v>0.0</v>
      </c>
      <c r="AV109" s="68">
        <v>0.0</v>
      </c>
      <c r="AW109" s="68">
        <v>0.0</v>
      </c>
      <c r="AX109" s="68">
        <v>0.0</v>
      </c>
      <c r="AY109" s="68">
        <v>0.0</v>
      </c>
      <c r="AZ109" s="68">
        <v>0.0</v>
      </c>
      <c r="BA109" s="68">
        <v>0.0</v>
      </c>
      <c r="BB109" s="68">
        <v>-8.1</v>
      </c>
      <c r="BC109" s="68" t="s">
        <v>106</v>
      </c>
      <c r="BD109" s="68" t="s">
        <v>156</v>
      </c>
      <c r="BE109" s="68">
        <v>5010.0</v>
      </c>
      <c r="BF109" s="68"/>
      <c r="BH109" s="70" t="s">
        <v>107</v>
      </c>
      <c r="BI109" s="68" t="s">
        <v>108</v>
      </c>
      <c r="BK109" s="68"/>
      <c r="BL109" s="70">
        <v>1016.0</v>
      </c>
      <c r="BM109" s="68" t="s">
        <v>258</v>
      </c>
      <c r="BN109" s="68" t="s">
        <v>111</v>
      </c>
      <c r="BO109" s="68" t="s">
        <v>112</v>
      </c>
      <c r="BQ109" s="68"/>
      <c r="BW109" s="64" t="str">
        <f>if(OR(F109="SALE",F109="REFUNDED"),IFERROR(Vlookup(I109,'Listing SKU - Fill SKU Mapping'!A:C,3,false),"Map"),"")</f>
        <v>Keystone</v>
      </c>
      <c r="BX109" s="64" t="str">
        <f>IF(OR(F109="SALE",F109="REFUNDED")=TRUE,iferror(Vlookup(I109,'Listing SKU - Fill SKU Mapping'!A:B,2,false),"Map"),"")</f>
        <v>IMP407BLK</v>
      </c>
      <c r="BY109" s="64">
        <f>IF(OR(F109="SALE",F109="REFUNDED")=TRUE,iferror(Vlookup(I109,'Listing SKU - Fill SKU Mapping'!A:D,4,false),"Map"),"")</f>
        <v>49.71</v>
      </c>
      <c r="BZ109" s="66">
        <f t="shared" si="1"/>
        <v>11.5</v>
      </c>
      <c r="CA109" s="66">
        <f t="shared" si="2"/>
        <v>61.21</v>
      </c>
      <c r="CB109" s="64" t="str">
        <f t="shared" si="3"/>
        <v/>
      </c>
      <c r="CC109" s="64" t="str">
        <f>if(F109="REFUNDED",iferror(Vlookup(I109,'Listing SKU - Fill SKU Mapping'!A:B,2,false),"Map"),"")</f>
        <v>IMP407BLK</v>
      </c>
      <c r="CD109" s="64" t="str">
        <f>if(F109="REFUNDED",iferror(Vlookup(I109,'Listing SKU - Fill SKU Mapping'!A:C,3,false),"Map"),"")</f>
        <v>Keystone</v>
      </c>
      <c r="CE109" s="64" t="str">
        <f t="shared" si="4"/>
        <v>2025</v>
      </c>
      <c r="CF109" s="64" t="str">
        <f t="shared" si="5"/>
        <v>July</v>
      </c>
      <c r="CG109" s="64" t="str">
        <f t="shared" si="6"/>
        <v/>
      </c>
    </row>
    <row r="110">
      <c r="A110" s="55">
        <v>2.0001E14</v>
      </c>
      <c r="B110" s="56">
        <v>1.0</v>
      </c>
      <c r="C110" s="57">
        <v>1.0902E14</v>
      </c>
      <c r="D110" s="58">
        <v>1.0</v>
      </c>
      <c r="F110" s="59" t="s">
        <v>100</v>
      </c>
      <c r="G110" s="60">
        <v>45838.0</v>
      </c>
      <c r="H110" s="58">
        <v>1.0</v>
      </c>
      <c r="I110" s="58" t="s">
        <v>334</v>
      </c>
      <c r="J110" s="61">
        <v>4.67129950386E11</v>
      </c>
      <c r="K110" s="63"/>
      <c r="L110" s="63"/>
      <c r="M110" s="63"/>
      <c r="N110" s="63"/>
      <c r="O110" s="63"/>
      <c r="P110" s="63"/>
      <c r="Q110" s="63"/>
      <c r="R110" s="63"/>
      <c r="S110" s="63"/>
      <c r="T110" s="58" t="s">
        <v>105</v>
      </c>
      <c r="U110" s="59">
        <v>76.84</v>
      </c>
      <c r="V110" s="59">
        <v>66.01</v>
      </c>
      <c r="W110" s="58">
        <v>4.97</v>
      </c>
      <c r="X110" s="58">
        <v>7.0</v>
      </c>
      <c r="Y110" s="68">
        <v>70.98</v>
      </c>
      <c r="Z110" s="69">
        <v>0.0</v>
      </c>
      <c r="AA110" s="68">
        <v>0.0</v>
      </c>
      <c r="AB110" s="68">
        <v>0.0</v>
      </c>
      <c r="AC110" s="68">
        <v>0.0</v>
      </c>
      <c r="AD110" s="68">
        <v>0.0</v>
      </c>
      <c r="AE110" s="68">
        <v>0.0</v>
      </c>
      <c r="AF110" s="68">
        <v>0.0</v>
      </c>
      <c r="AG110" s="68">
        <v>0.0</v>
      </c>
      <c r="AH110" s="68">
        <v>0.0</v>
      </c>
      <c r="AI110" s="68">
        <v>0.0</v>
      </c>
      <c r="AJ110" s="68">
        <v>0.0</v>
      </c>
      <c r="AK110" s="68">
        <v>0.0</v>
      </c>
      <c r="AL110" s="68">
        <v>0.0</v>
      </c>
      <c r="AM110" s="68">
        <v>0.0</v>
      </c>
      <c r="AN110" s="68">
        <v>0.0</v>
      </c>
      <c r="AO110" s="68">
        <v>5.86</v>
      </c>
      <c r="AP110" s="68">
        <v>0.0</v>
      </c>
      <c r="AQ110" s="68">
        <v>0.0</v>
      </c>
      <c r="AR110" s="68">
        <v>0.0</v>
      </c>
      <c r="AS110" s="68">
        <v>0.0</v>
      </c>
      <c r="AT110" s="68">
        <v>0.0</v>
      </c>
      <c r="AU110" s="68">
        <v>0.0</v>
      </c>
      <c r="AV110" s="68">
        <v>0.0</v>
      </c>
      <c r="AW110" s="68">
        <v>0.0</v>
      </c>
      <c r="AX110" s="68">
        <v>0.0</v>
      </c>
      <c r="AY110" s="68">
        <v>0.0</v>
      </c>
      <c r="AZ110" s="68">
        <v>0.0</v>
      </c>
      <c r="BA110" s="68">
        <v>0.0</v>
      </c>
      <c r="BB110" s="68">
        <v>5.86</v>
      </c>
      <c r="BC110" s="68" t="s">
        <v>106</v>
      </c>
      <c r="BD110" s="68"/>
      <c r="BG110" s="70">
        <v>-7.1</v>
      </c>
      <c r="BH110" s="68" t="s">
        <v>107</v>
      </c>
      <c r="BI110" s="68" t="s">
        <v>108</v>
      </c>
      <c r="BJ110" s="68" t="s">
        <v>109</v>
      </c>
      <c r="BK110" s="68" t="s">
        <v>316</v>
      </c>
      <c r="BM110" s="68"/>
      <c r="BN110" s="70" t="s">
        <v>111</v>
      </c>
      <c r="BO110" s="68" t="s">
        <v>112</v>
      </c>
      <c r="BP110" s="68" t="s">
        <v>113</v>
      </c>
      <c r="BQ110" s="68" t="s">
        <v>114</v>
      </c>
      <c r="BR110" s="68">
        <v>2.13</v>
      </c>
      <c r="BS110" s="68"/>
      <c r="BW110" s="64" t="str">
        <f>if(OR(F110="SALE",F110="REFUNDED"),IFERROR(Vlookup(I110,'Listing SKU - Fill SKU Mapping'!A:C,3,false),"Map"),"")</f>
        <v>Keystone</v>
      </c>
      <c r="BX110" s="64" t="str">
        <f>IF(OR(F110="SALE",F110="REFUNDED")=TRUE,iferror(Vlookup(I110,'Listing SKU - Fill SKU Mapping'!A:B,2,false),"Map"),"")</f>
        <v>45315S</v>
      </c>
      <c r="BY110" s="64">
        <f>IF(OR(F110="SALE",F110="REFUNDED")=TRUE,iferror(Vlookup(I110,'Listing SKU - Fill SKU Mapping'!A:D,4,false),"Map"),"")</f>
        <v>23.67</v>
      </c>
      <c r="BZ110" s="66">
        <f t="shared" si="1"/>
        <v>11.5</v>
      </c>
      <c r="CA110" s="66">
        <f t="shared" si="2"/>
        <v>35.17</v>
      </c>
      <c r="CB110" s="66">
        <f t="shared" si="3"/>
        <v>30.84</v>
      </c>
      <c r="CC110" s="64" t="str">
        <f>if(F110="REFUNDED",iferror(Vlookup(I110,'Listing SKU - Fill SKU Mapping'!A:B,2,false),"Map"),"")</f>
        <v/>
      </c>
      <c r="CD110" s="64" t="str">
        <f>if(F110="REFUNDED",iferror(Vlookup(I110,'Listing SKU - Fill SKU Mapping'!A:C,3,false),"Map"),"")</f>
        <v/>
      </c>
      <c r="CE110" s="64" t="str">
        <f t="shared" si="4"/>
        <v>2025</v>
      </c>
      <c r="CF110" s="64" t="str">
        <f t="shared" si="5"/>
        <v>June</v>
      </c>
      <c r="CG110" s="64" t="str">
        <f t="shared" si="6"/>
        <v/>
      </c>
    </row>
    <row r="111">
      <c r="A111" s="55">
        <v>2.0001E14</v>
      </c>
      <c r="B111" s="56">
        <v>1.0</v>
      </c>
      <c r="C111" s="57">
        <v>1.0902E14</v>
      </c>
      <c r="D111" s="58">
        <v>1.0</v>
      </c>
      <c r="F111" s="59" t="s">
        <v>100</v>
      </c>
      <c r="G111" s="60">
        <v>45841.0</v>
      </c>
      <c r="H111" s="58">
        <v>1.0</v>
      </c>
      <c r="I111" s="58" t="s">
        <v>337</v>
      </c>
      <c r="J111" s="61">
        <v>4.60776238326E11</v>
      </c>
      <c r="K111" s="63"/>
      <c r="L111" s="63"/>
      <c r="M111" s="63"/>
      <c r="N111" s="63"/>
      <c r="O111" s="63"/>
      <c r="P111" s="63"/>
      <c r="Q111" s="63"/>
      <c r="R111" s="63"/>
      <c r="S111" s="63"/>
      <c r="T111" s="58" t="s">
        <v>105</v>
      </c>
      <c r="U111" s="59">
        <v>110.39</v>
      </c>
      <c r="V111" s="59">
        <v>94.84</v>
      </c>
      <c r="W111" s="58">
        <v>7.14</v>
      </c>
      <c r="X111" s="58">
        <v>7.0</v>
      </c>
      <c r="Y111" s="68">
        <v>101.98</v>
      </c>
      <c r="Z111" s="69">
        <v>0.0</v>
      </c>
      <c r="AA111" s="68">
        <v>0.0</v>
      </c>
      <c r="AB111" s="68">
        <v>0.0</v>
      </c>
      <c r="AC111" s="68">
        <v>0.0</v>
      </c>
      <c r="AD111" s="68">
        <v>0.0</v>
      </c>
      <c r="AE111" s="68">
        <v>0.0</v>
      </c>
      <c r="AF111" s="68">
        <v>0.0</v>
      </c>
      <c r="AG111" s="68">
        <v>0.0</v>
      </c>
      <c r="AH111" s="68">
        <v>0.0</v>
      </c>
      <c r="AI111" s="68">
        <v>0.0</v>
      </c>
      <c r="AJ111" s="68">
        <v>0.0</v>
      </c>
      <c r="AK111" s="68">
        <v>0.0</v>
      </c>
      <c r="AL111" s="68">
        <v>0.0</v>
      </c>
      <c r="AM111" s="68">
        <v>0.0</v>
      </c>
      <c r="AN111" s="68">
        <v>0.0</v>
      </c>
      <c r="AO111" s="68">
        <v>8.41</v>
      </c>
      <c r="AP111" s="68">
        <v>0.0</v>
      </c>
      <c r="AQ111" s="68">
        <v>0.0</v>
      </c>
      <c r="AR111" s="68">
        <v>0.0</v>
      </c>
      <c r="AS111" s="68">
        <v>0.0</v>
      </c>
      <c r="AT111" s="68">
        <v>0.0</v>
      </c>
      <c r="AU111" s="68">
        <v>0.0</v>
      </c>
      <c r="AV111" s="68">
        <v>0.0</v>
      </c>
      <c r="AW111" s="68">
        <v>0.0</v>
      </c>
      <c r="AX111" s="68">
        <v>0.0</v>
      </c>
      <c r="AY111" s="68">
        <v>0.0</v>
      </c>
      <c r="AZ111" s="68">
        <v>0.0</v>
      </c>
      <c r="BA111" s="68">
        <v>0.0</v>
      </c>
      <c r="BB111" s="68">
        <v>8.41</v>
      </c>
      <c r="BC111" s="68" t="s">
        <v>106</v>
      </c>
      <c r="BD111" s="68"/>
      <c r="BG111" s="70">
        <v>-10.2</v>
      </c>
      <c r="BH111" s="68" t="s">
        <v>107</v>
      </c>
      <c r="BI111" s="68" t="s">
        <v>108</v>
      </c>
      <c r="BJ111" s="68" t="s">
        <v>109</v>
      </c>
      <c r="BK111" s="68" t="s">
        <v>316</v>
      </c>
      <c r="BM111" s="68"/>
      <c r="BN111" s="70" t="s">
        <v>106</v>
      </c>
      <c r="BO111" s="68" t="s">
        <v>112</v>
      </c>
      <c r="BP111" s="68" t="s">
        <v>113</v>
      </c>
      <c r="BQ111" s="68" t="s">
        <v>114</v>
      </c>
      <c r="BR111" s="68">
        <v>3.06</v>
      </c>
      <c r="BS111" s="68"/>
      <c r="BW111" s="64" t="str">
        <f>if(OR(F111="SALE",F111="REFUNDED"),IFERROR(Vlookup(I111,'Listing SKU - Fill SKU Mapping'!A:C,3,false),"Map"),"")</f>
        <v>Keystone</v>
      </c>
      <c r="BX111" s="64" t="str">
        <f>IF(OR(F111="SALE",F111="REFUNDED")=TRUE,iferror(Vlookup(I111,'Listing SKU - Fill SKU Mapping'!A:B,2,false),"Map"),"")</f>
        <v>IMP340BLK</v>
      </c>
      <c r="BY111" s="64">
        <f>IF(OR(F111="SALE",F111="REFUNDED")=TRUE,iferror(Vlookup(I111,'Listing SKU - Fill SKU Mapping'!A:D,4,false),"Map"),"")</f>
        <v>45.76</v>
      </c>
      <c r="BZ111" s="66">
        <f t="shared" si="1"/>
        <v>11.5</v>
      </c>
      <c r="CA111" s="66">
        <f t="shared" si="2"/>
        <v>57.26</v>
      </c>
      <c r="CB111" s="66">
        <f t="shared" si="3"/>
        <v>37.58</v>
      </c>
      <c r="CC111" s="64" t="str">
        <f>if(F111="REFUNDED",iferror(Vlookup(I111,'Listing SKU - Fill SKU Mapping'!A:B,2,false),"Map"),"")</f>
        <v/>
      </c>
      <c r="CD111" s="64" t="str">
        <f>if(F111="REFUNDED",iferror(Vlookup(I111,'Listing SKU - Fill SKU Mapping'!A:C,3,false),"Map"),"")</f>
        <v/>
      </c>
      <c r="CE111" s="64" t="str">
        <f t="shared" si="4"/>
        <v>2025</v>
      </c>
      <c r="CF111" s="64" t="str">
        <f t="shared" si="5"/>
        <v>July</v>
      </c>
      <c r="CG111" s="64" t="str">
        <f t="shared" si="6"/>
        <v/>
      </c>
    </row>
    <row r="112">
      <c r="A112" s="55">
        <v>2.0001E14</v>
      </c>
      <c r="B112" s="56">
        <v>1.0</v>
      </c>
      <c r="C112" s="57">
        <v>1.0902E14</v>
      </c>
      <c r="D112" s="58">
        <v>1.0</v>
      </c>
      <c r="F112" s="59" t="s">
        <v>100</v>
      </c>
      <c r="G112" s="60">
        <v>45849.0</v>
      </c>
      <c r="H112" s="58">
        <v>1.0</v>
      </c>
      <c r="I112" s="58" t="s">
        <v>338</v>
      </c>
      <c r="J112" s="61">
        <v>4.6712993485E11</v>
      </c>
      <c r="K112" s="63"/>
      <c r="L112" s="63"/>
      <c r="M112" s="63"/>
      <c r="N112" s="63"/>
      <c r="O112" s="63"/>
      <c r="P112" s="63"/>
      <c r="Q112" s="63"/>
      <c r="R112" s="63"/>
      <c r="S112" s="63"/>
      <c r="T112" s="58" t="s">
        <v>105</v>
      </c>
      <c r="U112" s="59">
        <v>94.79</v>
      </c>
      <c r="V112" s="59">
        <v>79.96</v>
      </c>
      <c r="W112" s="58">
        <v>6.02</v>
      </c>
      <c r="X112" s="58">
        <v>7.0</v>
      </c>
      <c r="Y112" s="68">
        <v>85.98</v>
      </c>
      <c r="Z112" s="69">
        <v>0.0</v>
      </c>
      <c r="AA112" s="68">
        <v>0.0</v>
      </c>
      <c r="AB112" s="68">
        <v>0.0</v>
      </c>
      <c r="AC112" s="68">
        <v>0.0</v>
      </c>
      <c r="AD112" s="68">
        <v>0.0</v>
      </c>
      <c r="AE112" s="68">
        <v>0.0</v>
      </c>
      <c r="AF112" s="68">
        <v>0.0</v>
      </c>
      <c r="AG112" s="68">
        <v>0.0</v>
      </c>
      <c r="AH112" s="68">
        <v>0.0</v>
      </c>
      <c r="AI112" s="68">
        <v>0.0</v>
      </c>
      <c r="AJ112" s="68">
        <v>0.0</v>
      </c>
      <c r="AK112" s="68">
        <v>0.0</v>
      </c>
      <c r="AL112" s="68">
        <v>0.0</v>
      </c>
      <c r="AM112" s="68">
        <v>0.0</v>
      </c>
      <c r="AN112" s="68">
        <v>0.0</v>
      </c>
      <c r="AO112" s="68">
        <v>8.81</v>
      </c>
      <c r="AP112" s="68">
        <v>0.0</v>
      </c>
      <c r="AQ112" s="68">
        <v>0.0</v>
      </c>
      <c r="AR112" s="68">
        <v>0.0</v>
      </c>
      <c r="AS112" s="68">
        <v>0.0</v>
      </c>
      <c r="AT112" s="68">
        <v>0.0</v>
      </c>
      <c r="AU112" s="68">
        <v>0.0</v>
      </c>
      <c r="AV112" s="68">
        <v>0.0</v>
      </c>
      <c r="AW112" s="68">
        <v>0.0</v>
      </c>
      <c r="AX112" s="68">
        <v>0.0</v>
      </c>
      <c r="AY112" s="68">
        <v>0.0</v>
      </c>
      <c r="AZ112" s="68">
        <v>0.0</v>
      </c>
      <c r="BA112" s="68">
        <v>0.0</v>
      </c>
      <c r="BB112" s="68">
        <v>8.81</v>
      </c>
      <c r="BC112" s="68" t="s">
        <v>106</v>
      </c>
      <c r="BD112" s="68"/>
      <c r="BG112" s="70">
        <v>-8.6</v>
      </c>
      <c r="BH112" s="68" t="s">
        <v>107</v>
      </c>
      <c r="BI112" s="68" t="s">
        <v>108</v>
      </c>
      <c r="BJ112" s="68" t="s">
        <v>109</v>
      </c>
      <c r="BK112" s="68" t="s">
        <v>339</v>
      </c>
      <c r="BM112" s="68"/>
      <c r="BN112" s="70" t="s">
        <v>111</v>
      </c>
      <c r="BO112" s="68" t="s">
        <v>112</v>
      </c>
      <c r="BP112" s="68" t="s">
        <v>113</v>
      </c>
      <c r="BQ112" s="68" t="s">
        <v>114</v>
      </c>
      <c r="BR112" s="68">
        <v>2.58</v>
      </c>
      <c r="BS112" s="68"/>
      <c r="BW112" s="64" t="str">
        <f>if(OR(F112="SALE",F112="REFUNDED"),IFERROR(Vlookup(I112,'Listing SKU - Fill SKU Mapping'!A:C,3,false),"Map"),"")</f>
        <v>Keystone</v>
      </c>
      <c r="BX112" s="64" t="str">
        <f>IF(OR(F112="SALE",F112="REFUNDED")=TRUE,iferror(Vlookup(I112,'Listing SKU - Fill SKU Mapping'!A:B,2,false),"Map"),"")</f>
        <v>54216BLK</v>
      </c>
      <c r="BY112" s="64">
        <f>IF(OR(F112="SALE",F112="REFUNDED")=TRUE,iferror(Vlookup(I112,'Listing SKU - Fill SKU Mapping'!A:D,4,false),"Map"),"")</f>
        <v>33.14</v>
      </c>
      <c r="BZ112" s="66">
        <f t="shared" si="1"/>
        <v>11.5</v>
      </c>
      <c r="CA112" s="66">
        <f t="shared" si="2"/>
        <v>44.64</v>
      </c>
      <c r="CB112" s="66">
        <f t="shared" si="3"/>
        <v>35.32</v>
      </c>
      <c r="CC112" s="64" t="str">
        <f>if(F112="REFUNDED",iferror(Vlookup(I112,'Listing SKU - Fill SKU Mapping'!A:B,2,false),"Map"),"")</f>
        <v/>
      </c>
      <c r="CD112" s="64" t="str">
        <f>if(F112="REFUNDED",iferror(Vlookup(I112,'Listing SKU - Fill SKU Mapping'!A:C,3,false),"Map"),"")</f>
        <v/>
      </c>
      <c r="CE112" s="64" t="str">
        <f t="shared" si="4"/>
        <v>2025</v>
      </c>
      <c r="CF112" s="64" t="str">
        <f t="shared" si="5"/>
        <v>July</v>
      </c>
      <c r="CG112" s="64" t="str">
        <f t="shared" si="6"/>
        <v/>
      </c>
    </row>
    <row r="113">
      <c r="A113" s="55">
        <v>2.0001E14</v>
      </c>
      <c r="B113" s="56">
        <v>1.0</v>
      </c>
      <c r="C113" s="57">
        <v>1.0902E14</v>
      </c>
      <c r="D113" s="58">
        <v>1.0</v>
      </c>
      <c r="F113" s="59" t="s">
        <v>100</v>
      </c>
      <c r="G113" s="60">
        <v>45838.0</v>
      </c>
      <c r="H113" s="58">
        <v>1.0</v>
      </c>
      <c r="I113" s="58" t="s">
        <v>120</v>
      </c>
      <c r="J113" s="61">
        <v>4.67129945498E11</v>
      </c>
      <c r="K113" s="63"/>
      <c r="L113" s="63"/>
      <c r="M113" s="63"/>
      <c r="N113" s="63"/>
      <c r="O113" s="63"/>
      <c r="P113" s="63"/>
      <c r="Q113" s="63"/>
      <c r="R113" s="63"/>
      <c r="S113" s="63"/>
      <c r="T113" s="58" t="s">
        <v>105</v>
      </c>
      <c r="U113" s="59">
        <v>73.5</v>
      </c>
      <c r="V113" s="59">
        <v>70.66</v>
      </c>
      <c r="W113" s="58">
        <v>5.32</v>
      </c>
      <c r="X113" s="58">
        <v>7.0</v>
      </c>
      <c r="Y113" s="68">
        <v>67.9</v>
      </c>
      <c r="Z113" s="69">
        <v>0.0</v>
      </c>
      <c r="AA113" s="68">
        <v>0.0</v>
      </c>
      <c r="AB113" s="68">
        <v>0.0</v>
      </c>
      <c r="AC113" s="68">
        <v>0.0</v>
      </c>
      <c r="AD113" s="68">
        <v>0.0</v>
      </c>
      <c r="AE113" s="68">
        <v>0.0</v>
      </c>
      <c r="AF113" s="68">
        <v>0.0</v>
      </c>
      <c r="AG113" s="68">
        <v>0.0</v>
      </c>
      <c r="AH113" s="68">
        <v>0.0</v>
      </c>
      <c r="AI113" s="68">
        <v>0.0</v>
      </c>
      <c r="AJ113" s="68">
        <v>0.0</v>
      </c>
      <c r="AK113" s="68">
        <v>0.0</v>
      </c>
      <c r="AL113" s="68">
        <v>0.0</v>
      </c>
      <c r="AM113" s="68">
        <v>0.0</v>
      </c>
      <c r="AN113" s="68">
        <v>0.0</v>
      </c>
      <c r="AO113" s="68">
        <v>5.6</v>
      </c>
      <c r="AP113" s="68">
        <v>0.0</v>
      </c>
      <c r="AQ113" s="68">
        <v>0.0</v>
      </c>
      <c r="AR113" s="68">
        <v>0.0</v>
      </c>
      <c r="AS113" s="68">
        <v>0.0</v>
      </c>
      <c r="AT113" s="68">
        <v>0.0</v>
      </c>
      <c r="AU113" s="68">
        <v>0.0</v>
      </c>
      <c r="AV113" s="68">
        <v>0.0</v>
      </c>
      <c r="AW113" s="68">
        <v>0.0</v>
      </c>
      <c r="AX113" s="68">
        <v>0.0</v>
      </c>
      <c r="AY113" s="68">
        <v>0.0</v>
      </c>
      <c r="AZ113" s="68">
        <v>0.0</v>
      </c>
      <c r="BA113" s="68">
        <v>0.0</v>
      </c>
      <c r="BB113" s="68">
        <v>5.6</v>
      </c>
      <c r="BC113" s="68" t="s">
        <v>106</v>
      </c>
      <c r="BD113" s="68"/>
      <c r="BF113" s="70">
        <v>75.98</v>
      </c>
      <c r="BG113" s="68">
        <v>-7.6</v>
      </c>
      <c r="BH113" s="68" t="s">
        <v>107</v>
      </c>
      <c r="BI113" s="68" t="s">
        <v>108</v>
      </c>
      <c r="BJ113" s="68" t="s">
        <v>109</v>
      </c>
      <c r="BK113" s="68" t="s">
        <v>333</v>
      </c>
      <c r="BM113" s="68"/>
      <c r="BN113" s="70" t="s">
        <v>111</v>
      </c>
      <c r="BO113" s="68" t="s">
        <v>112</v>
      </c>
      <c r="BP113" s="68" t="s">
        <v>113</v>
      </c>
      <c r="BQ113" s="68" t="s">
        <v>317</v>
      </c>
      <c r="BR113" s="68">
        <v>2.28</v>
      </c>
      <c r="BS113" s="68"/>
      <c r="BT113" s="70">
        <v>-8.08</v>
      </c>
      <c r="BU113" s="68" t="s">
        <v>318</v>
      </c>
      <c r="BW113" s="64" t="str">
        <f>if(OR(F113="SALE",F113="REFUNDED"),IFERROR(Vlookup(I113,'Listing SKU - Fill SKU Mapping'!A:C,3,false),"Map"),"")</f>
        <v>Keystone</v>
      </c>
      <c r="BX113" s="64" t="str">
        <f>IF(OR(F113="SALE",F113="REFUNDED")=TRUE,iferror(Vlookup(I113,'Listing SKU - Fill SKU Mapping'!A:B,2,false),"Map"),"")</f>
        <v>51917S</v>
      </c>
      <c r="BY113" s="64">
        <f>IF(OR(F113="SALE",F113="REFUNDED")=TRUE,iferror(Vlookup(I113,'Listing SKU - Fill SKU Mapping'!A:D,4,false),"Map"),"")</f>
        <v>27.22</v>
      </c>
      <c r="BZ113" s="66">
        <f t="shared" si="1"/>
        <v>11.5</v>
      </c>
      <c r="CA113" s="66">
        <f t="shared" si="2"/>
        <v>38.72</v>
      </c>
      <c r="CB113" s="66">
        <f t="shared" si="3"/>
        <v>31.94</v>
      </c>
      <c r="CC113" s="64" t="str">
        <f>if(F113="REFUNDED",iferror(Vlookup(I113,'Listing SKU - Fill SKU Mapping'!A:B,2,false),"Map"),"")</f>
        <v/>
      </c>
      <c r="CD113" s="64" t="str">
        <f>if(F113="REFUNDED",iferror(Vlookup(I113,'Listing SKU - Fill SKU Mapping'!A:C,3,false),"Map"),"")</f>
        <v/>
      </c>
      <c r="CE113" s="64" t="str">
        <f t="shared" si="4"/>
        <v>2025</v>
      </c>
      <c r="CF113" s="64" t="str">
        <f t="shared" si="5"/>
        <v>June</v>
      </c>
      <c r="CG113" s="64" t="str">
        <f t="shared" si="6"/>
        <v/>
      </c>
    </row>
    <row r="114">
      <c r="A114" s="55">
        <v>2.0001E14</v>
      </c>
      <c r="B114" s="56">
        <v>1.0</v>
      </c>
      <c r="C114" s="57">
        <v>1.0902E14</v>
      </c>
      <c r="D114" s="58">
        <v>1.0</v>
      </c>
      <c r="F114" s="59" t="s">
        <v>128</v>
      </c>
      <c r="G114" s="60">
        <v>45836.0</v>
      </c>
      <c r="H114" s="58">
        <v>1.0</v>
      </c>
      <c r="I114" s="58" t="s">
        <v>279</v>
      </c>
      <c r="J114" s="61">
        <v>4.67129950768E11</v>
      </c>
      <c r="K114" s="63"/>
      <c r="L114" s="63"/>
      <c r="M114" s="63"/>
      <c r="N114" s="63"/>
      <c r="O114" s="63"/>
      <c r="P114" s="63"/>
      <c r="Q114" s="63"/>
      <c r="R114" s="63"/>
      <c r="S114" s="63"/>
      <c r="U114" s="59">
        <v>-90.79</v>
      </c>
      <c r="V114" s="59">
        <v>-79.96</v>
      </c>
      <c r="W114" s="58">
        <v>-6.02</v>
      </c>
      <c r="X114" s="58">
        <v>0.0</v>
      </c>
      <c r="Y114" s="68">
        <v>0.0</v>
      </c>
      <c r="Z114" s="69">
        <v>-85.98</v>
      </c>
      <c r="AA114" s="68">
        <v>0.0</v>
      </c>
      <c r="AB114" s="68">
        <v>0.0</v>
      </c>
      <c r="AC114" s="68">
        <v>0.0</v>
      </c>
      <c r="AD114" s="68">
        <v>0.0</v>
      </c>
      <c r="AE114" s="68">
        <v>0.0</v>
      </c>
      <c r="AF114" s="68">
        <v>0.0</v>
      </c>
      <c r="AG114" s="68">
        <v>0.0</v>
      </c>
      <c r="AH114" s="68">
        <v>0.0</v>
      </c>
      <c r="AI114" s="68">
        <v>0.0</v>
      </c>
      <c r="AJ114" s="68">
        <v>0.0</v>
      </c>
      <c r="AK114" s="68">
        <v>0.0</v>
      </c>
      <c r="AL114" s="68">
        <v>0.0</v>
      </c>
      <c r="AM114" s="68">
        <v>0.0</v>
      </c>
      <c r="AN114" s="68">
        <v>0.0</v>
      </c>
      <c r="AO114" s="68">
        <v>0.0</v>
      </c>
      <c r="AP114" s="68">
        <v>0.0</v>
      </c>
      <c r="AQ114" s="68">
        <v>0.0</v>
      </c>
      <c r="AR114" s="68">
        <v>0.0</v>
      </c>
      <c r="AS114" s="68">
        <v>0.0</v>
      </c>
      <c r="AT114" s="68">
        <v>-4.81</v>
      </c>
      <c r="AU114" s="68">
        <v>0.0</v>
      </c>
      <c r="AV114" s="68">
        <v>0.0</v>
      </c>
      <c r="AW114" s="68">
        <v>0.0</v>
      </c>
      <c r="AX114" s="68">
        <v>0.0</v>
      </c>
      <c r="AY114" s="68">
        <v>0.0</v>
      </c>
      <c r="AZ114" s="68">
        <v>0.0</v>
      </c>
      <c r="BA114" s="68">
        <v>0.0</v>
      </c>
      <c r="BB114" s="68">
        <v>-4.81</v>
      </c>
      <c r="BC114" s="68" t="s">
        <v>106</v>
      </c>
      <c r="BD114" s="68" t="s">
        <v>156</v>
      </c>
      <c r="BE114" s="68">
        <v>5010.0</v>
      </c>
      <c r="BF114" s="68"/>
      <c r="BH114" s="70" t="s">
        <v>107</v>
      </c>
      <c r="BI114" s="68" t="s">
        <v>108</v>
      </c>
      <c r="BK114" s="68"/>
      <c r="BL114" s="70">
        <v>1018.0</v>
      </c>
      <c r="BM114" s="68" t="s">
        <v>157</v>
      </c>
      <c r="BN114" s="68" t="s">
        <v>111</v>
      </c>
      <c r="BO114" s="68" t="s">
        <v>112</v>
      </c>
      <c r="BQ114" s="68"/>
      <c r="BW114" s="64" t="str">
        <f>if(OR(F114="SALE",F114="REFUNDED"),IFERROR(Vlookup(I114,'Listing SKU - Fill SKU Mapping'!A:C,3,false),"Map"),"")</f>
        <v>Keystone</v>
      </c>
      <c r="BX114" s="64" t="str">
        <f>IF(OR(F114="SALE",F114="REFUNDED")=TRUE,iferror(Vlookup(I114,'Listing SKU - Fill SKU Mapping'!A:B,2,false),"Map"),"")</f>
        <v>43517S</v>
      </c>
      <c r="BY114" s="64">
        <f>IF(OR(F114="SALE",F114="REFUNDED")=TRUE,iferror(Vlookup(I114,'Listing SKU - Fill SKU Mapping'!A:D,4,false),"Map"),"")</f>
        <v>33.53</v>
      </c>
      <c r="BZ114" s="66">
        <f t="shared" si="1"/>
        <v>11.5</v>
      </c>
      <c r="CA114" s="66">
        <f t="shared" si="2"/>
        <v>45.03</v>
      </c>
      <c r="CB114" s="64" t="str">
        <f t="shared" si="3"/>
        <v/>
      </c>
      <c r="CC114" s="64" t="str">
        <f>if(F114="REFUNDED",iferror(Vlookup(I114,'Listing SKU - Fill SKU Mapping'!A:B,2,false),"Map"),"")</f>
        <v>43517S</v>
      </c>
      <c r="CD114" s="64" t="str">
        <f>if(F114="REFUNDED",iferror(Vlookup(I114,'Listing SKU - Fill SKU Mapping'!A:C,3,false),"Map"),"")</f>
        <v>Keystone</v>
      </c>
      <c r="CE114" s="64" t="str">
        <f t="shared" si="4"/>
        <v>2025</v>
      </c>
      <c r="CF114" s="64" t="str">
        <f t="shared" si="5"/>
        <v>June</v>
      </c>
      <c r="CG114" s="64" t="str">
        <f t="shared" si="6"/>
        <v/>
      </c>
    </row>
    <row r="115">
      <c r="A115" s="55">
        <v>2.0001E14</v>
      </c>
      <c r="B115" s="56">
        <v>1.0</v>
      </c>
      <c r="C115" s="57">
        <v>1.0902E14</v>
      </c>
      <c r="D115" s="58">
        <v>1.0</v>
      </c>
      <c r="F115" s="59" t="s">
        <v>100</v>
      </c>
      <c r="G115" s="60">
        <v>45845.0</v>
      </c>
      <c r="H115" s="58">
        <v>1.0</v>
      </c>
      <c r="I115" s="58" t="s">
        <v>340</v>
      </c>
      <c r="J115" s="61">
        <v>4.60776239842E11</v>
      </c>
      <c r="K115" s="63"/>
      <c r="L115" s="63"/>
      <c r="M115" s="63"/>
      <c r="N115" s="63"/>
      <c r="O115" s="63"/>
      <c r="P115" s="63"/>
      <c r="Q115" s="63"/>
      <c r="R115" s="63"/>
      <c r="S115" s="63"/>
      <c r="T115" s="58" t="s">
        <v>105</v>
      </c>
      <c r="U115" s="59">
        <v>129.69</v>
      </c>
      <c r="V115" s="59">
        <v>110.65</v>
      </c>
      <c r="W115" s="58">
        <v>8.33</v>
      </c>
      <c r="X115" s="58">
        <v>7.0</v>
      </c>
      <c r="Y115" s="68">
        <v>118.98</v>
      </c>
      <c r="Z115" s="69">
        <v>0.0</v>
      </c>
      <c r="AA115" s="68">
        <v>0.0</v>
      </c>
      <c r="AB115" s="68">
        <v>0.0</v>
      </c>
      <c r="AC115" s="68">
        <v>0.0</v>
      </c>
      <c r="AD115" s="68">
        <v>0.0</v>
      </c>
      <c r="AE115" s="68">
        <v>0.0</v>
      </c>
      <c r="AF115" s="68">
        <v>0.0</v>
      </c>
      <c r="AG115" s="68">
        <v>0.0</v>
      </c>
      <c r="AH115" s="68">
        <v>0.0</v>
      </c>
      <c r="AI115" s="68">
        <v>0.0</v>
      </c>
      <c r="AJ115" s="68">
        <v>0.0</v>
      </c>
      <c r="AK115" s="68">
        <v>0.0</v>
      </c>
      <c r="AL115" s="68">
        <v>0.0</v>
      </c>
      <c r="AM115" s="68">
        <v>0.0</v>
      </c>
      <c r="AN115" s="68">
        <v>0.0</v>
      </c>
      <c r="AO115" s="68">
        <v>10.71</v>
      </c>
      <c r="AP115" s="68">
        <v>0.0</v>
      </c>
      <c r="AQ115" s="68">
        <v>0.0</v>
      </c>
      <c r="AR115" s="68">
        <v>0.0</v>
      </c>
      <c r="AS115" s="68">
        <v>0.0</v>
      </c>
      <c r="AT115" s="68">
        <v>0.0</v>
      </c>
      <c r="AU115" s="68">
        <v>0.0</v>
      </c>
      <c r="AV115" s="68">
        <v>0.0</v>
      </c>
      <c r="AW115" s="68">
        <v>0.0</v>
      </c>
      <c r="AX115" s="68">
        <v>0.0</v>
      </c>
      <c r="AY115" s="68">
        <v>0.0</v>
      </c>
      <c r="AZ115" s="68">
        <v>0.0</v>
      </c>
      <c r="BA115" s="68">
        <v>0.0</v>
      </c>
      <c r="BB115" s="68">
        <v>10.71</v>
      </c>
      <c r="BC115" s="68" t="s">
        <v>106</v>
      </c>
      <c r="BD115" s="68"/>
      <c r="BG115" s="70">
        <v>-11.9</v>
      </c>
      <c r="BH115" s="68" t="s">
        <v>107</v>
      </c>
      <c r="BI115" s="68" t="s">
        <v>108</v>
      </c>
      <c r="BJ115" s="68" t="s">
        <v>109</v>
      </c>
      <c r="BK115" s="68" t="s">
        <v>336</v>
      </c>
      <c r="BM115" s="68"/>
      <c r="BN115" s="70" t="s">
        <v>111</v>
      </c>
      <c r="BO115" s="68" t="s">
        <v>112</v>
      </c>
      <c r="BP115" s="68" t="s">
        <v>113</v>
      </c>
      <c r="BQ115" s="68" t="s">
        <v>114</v>
      </c>
      <c r="BR115" s="68">
        <v>3.57</v>
      </c>
      <c r="BS115" s="68"/>
      <c r="BW115" s="64" t="str">
        <f>if(OR(F115="SALE",F115="REFUNDED"),IFERROR(Vlookup(I115,'Listing SKU - Fill SKU Mapping'!A:C,3,false),"Map"),"")</f>
        <v>Keystone</v>
      </c>
      <c r="BX115" s="64" t="str">
        <f>IF(OR(F115="SALE",F115="REFUNDED")=TRUE,iferror(Vlookup(I115,'Listing SKU - Fill SKU Mapping'!A:B,2,false),"Map"),"")</f>
        <v>IMP97BLK</v>
      </c>
      <c r="BY115" s="64">
        <f>IF(OR(F115="SALE",F115="REFUNDED")=TRUE,iferror(Vlookup(I115,'Listing SKU - Fill SKU Mapping'!A:D,4,false),"Map"),"")</f>
        <v>56.81</v>
      </c>
      <c r="BZ115" s="66">
        <f t="shared" si="1"/>
        <v>11.5</v>
      </c>
      <c r="CA115" s="66">
        <f t="shared" si="2"/>
        <v>68.31</v>
      </c>
      <c r="CB115" s="66">
        <f t="shared" si="3"/>
        <v>42.34</v>
      </c>
      <c r="CC115" s="64" t="str">
        <f>if(F115="REFUNDED",iferror(Vlookup(I115,'Listing SKU - Fill SKU Mapping'!A:B,2,false),"Map"),"")</f>
        <v/>
      </c>
      <c r="CD115" s="64" t="str">
        <f>if(F115="REFUNDED",iferror(Vlookup(I115,'Listing SKU - Fill SKU Mapping'!A:C,3,false),"Map"),"")</f>
        <v/>
      </c>
      <c r="CE115" s="64" t="str">
        <f t="shared" si="4"/>
        <v>2025</v>
      </c>
      <c r="CF115" s="64" t="str">
        <f t="shared" si="5"/>
        <v>July</v>
      </c>
      <c r="CG115" s="64" t="str">
        <f t="shared" si="6"/>
        <v/>
      </c>
    </row>
    <row r="116">
      <c r="A116" s="55">
        <v>2.0001E14</v>
      </c>
      <c r="B116" s="56">
        <v>1.0</v>
      </c>
      <c r="C116" s="57">
        <v>1.0902E14</v>
      </c>
      <c r="D116" s="58">
        <v>1.0</v>
      </c>
      <c r="F116" s="59" t="s">
        <v>128</v>
      </c>
      <c r="G116" s="60">
        <v>45849.0</v>
      </c>
      <c r="H116" s="58">
        <v>1.0</v>
      </c>
      <c r="I116" s="58" t="s">
        <v>340</v>
      </c>
      <c r="J116" s="61">
        <v>4.60776239842E11</v>
      </c>
      <c r="K116" s="63"/>
      <c r="L116" s="63"/>
      <c r="M116" s="63"/>
      <c r="N116" s="63"/>
      <c r="O116" s="63"/>
      <c r="P116" s="63"/>
      <c r="Q116" s="63"/>
      <c r="R116" s="63"/>
      <c r="S116" s="63"/>
      <c r="U116" s="59">
        <v>-129.69</v>
      </c>
      <c r="V116" s="59">
        <v>-110.65</v>
      </c>
      <c r="W116" s="58">
        <v>-8.33</v>
      </c>
      <c r="X116" s="58">
        <v>0.0</v>
      </c>
      <c r="Y116" s="68">
        <v>0.0</v>
      </c>
      <c r="Z116" s="69">
        <v>-118.98</v>
      </c>
      <c r="AA116" s="68">
        <v>0.0</v>
      </c>
      <c r="AB116" s="68">
        <v>0.0</v>
      </c>
      <c r="AC116" s="68">
        <v>0.0</v>
      </c>
      <c r="AD116" s="68">
        <v>0.0</v>
      </c>
      <c r="AE116" s="68">
        <v>0.0</v>
      </c>
      <c r="AF116" s="68">
        <v>0.0</v>
      </c>
      <c r="AG116" s="68">
        <v>0.0</v>
      </c>
      <c r="AH116" s="68">
        <v>0.0</v>
      </c>
      <c r="AI116" s="68">
        <v>0.0</v>
      </c>
      <c r="AJ116" s="68">
        <v>0.0</v>
      </c>
      <c r="AK116" s="68">
        <v>0.0</v>
      </c>
      <c r="AL116" s="68">
        <v>0.0</v>
      </c>
      <c r="AM116" s="68">
        <v>0.0</v>
      </c>
      <c r="AN116" s="68">
        <v>0.0</v>
      </c>
      <c r="AO116" s="68">
        <v>0.0</v>
      </c>
      <c r="AP116" s="68">
        <v>0.0</v>
      </c>
      <c r="AQ116" s="68">
        <v>0.0</v>
      </c>
      <c r="AR116" s="68">
        <v>0.0</v>
      </c>
      <c r="AS116" s="68">
        <v>0.0</v>
      </c>
      <c r="AT116" s="68">
        <v>-10.71</v>
      </c>
      <c r="AU116" s="68">
        <v>0.0</v>
      </c>
      <c r="AV116" s="68">
        <v>0.0</v>
      </c>
      <c r="AW116" s="68">
        <v>0.0</v>
      </c>
      <c r="AX116" s="68">
        <v>0.0</v>
      </c>
      <c r="AY116" s="68">
        <v>0.0</v>
      </c>
      <c r="AZ116" s="68">
        <v>0.0</v>
      </c>
      <c r="BA116" s="68">
        <v>0.0</v>
      </c>
      <c r="BB116" s="68">
        <v>-10.71</v>
      </c>
      <c r="BC116" s="68" t="s">
        <v>106</v>
      </c>
      <c r="BD116" s="68" t="s">
        <v>156</v>
      </c>
      <c r="BE116" s="68">
        <v>5010.0</v>
      </c>
      <c r="BF116" s="68"/>
      <c r="BH116" s="70" t="s">
        <v>107</v>
      </c>
      <c r="BI116" s="68" t="s">
        <v>108</v>
      </c>
      <c r="BK116" s="68"/>
      <c r="BL116" s="70">
        <v>1018.0</v>
      </c>
      <c r="BM116" s="68" t="s">
        <v>157</v>
      </c>
      <c r="BN116" s="68" t="s">
        <v>111</v>
      </c>
      <c r="BO116" s="68" t="s">
        <v>112</v>
      </c>
      <c r="BQ116" s="68"/>
      <c r="BW116" s="64" t="str">
        <f>if(OR(F116="SALE",F116="REFUNDED"),IFERROR(Vlookup(I116,'Listing SKU - Fill SKU Mapping'!A:C,3,false),"Map"),"")</f>
        <v>Keystone</v>
      </c>
      <c r="BX116" s="64" t="str">
        <f>IF(OR(F116="SALE",F116="REFUNDED")=TRUE,iferror(Vlookup(I116,'Listing SKU - Fill SKU Mapping'!A:B,2,false),"Map"),"")</f>
        <v>IMP97BLK</v>
      </c>
      <c r="BY116" s="64">
        <f>IF(OR(F116="SALE",F116="REFUNDED")=TRUE,iferror(Vlookup(I116,'Listing SKU - Fill SKU Mapping'!A:D,4,false),"Map"),"")</f>
        <v>56.81</v>
      </c>
      <c r="BZ116" s="66">
        <f t="shared" si="1"/>
        <v>11.5</v>
      </c>
      <c r="CA116" s="66">
        <f t="shared" si="2"/>
        <v>68.31</v>
      </c>
      <c r="CB116" s="64" t="str">
        <f t="shared" si="3"/>
        <v/>
      </c>
      <c r="CC116" s="64" t="str">
        <f>if(F116="REFUNDED",iferror(Vlookup(I116,'Listing SKU - Fill SKU Mapping'!A:B,2,false),"Map"),"")</f>
        <v>IMP97BLK</v>
      </c>
      <c r="CD116" s="64" t="str">
        <f>if(F116="REFUNDED",iferror(Vlookup(I116,'Listing SKU - Fill SKU Mapping'!A:C,3,false),"Map"),"")</f>
        <v>Keystone</v>
      </c>
      <c r="CE116" s="64" t="str">
        <f t="shared" si="4"/>
        <v>2025</v>
      </c>
      <c r="CF116" s="64" t="str">
        <f t="shared" si="5"/>
        <v>July</v>
      </c>
      <c r="CG116" s="64" t="str">
        <f t="shared" si="6"/>
        <v/>
      </c>
    </row>
    <row r="117">
      <c r="A117" s="55">
        <v>2.0001E14</v>
      </c>
      <c r="B117" s="56">
        <v>1.0</v>
      </c>
      <c r="C117" s="57">
        <v>1.0902E14</v>
      </c>
      <c r="D117" s="58">
        <v>1.0</v>
      </c>
      <c r="F117" s="59" t="s">
        <v>100</v>
      </c>
      <c r="G117" s="60">
        <v>45838.0</v>
      </c>
      <c r="H117" s="58">
        <v>1.0</v>
      </c>
      <c r="I117" s="58" t="s">
        <v>341</v>
      </c>
      <c r="J117" s="61">
        <v>4.66885049457E11</v>
      </c>
      <c r="K117" s="63"/>
      <c r="L117" s="63"/>
      <c r="M117" s="63"/>
      <c r="N117" s="63"/>
      <c r="O117" s="63"/>
      <c r="P117" s="63"/>
      <c r="Q117" s="63"/>
      <c r="R117" s="63"/>
      <c r="S117" s="63"/>
      <c r="T117" s="58" t="s">
        <v>105</v>
      </c>
      <c r="U117" s="59">
        <v>122.24</v>
      </c>
      <c r="V117" s="59">
        <v>117.16</v>
      </c>
      <c r="W117" s="58">
        <v>8.82</v>
      </c>
      <c r="X117" s="58">
        <v>7.0</v>
      </c>
      <c r="Y117" s="68">
        <v>113.98</v>
      </c>
      <c r="Z117" s="69">
        <v>0.0</v>
      </c>
      <c r="AA117" s="68">
        <v>0.0</v>
      </c>
      <c r="AB117" s="68">
        <v>0.0</v>
      </c>
      <c r="AC117" s="68">
        <v>0.0</v>
      </c>
      <c r="AD117" s="68">
        <v>0.0</v>
      </c>
      <c r="AE117" s="68">
        <v>0.0</v>
      </c>
      <c r="AF117" s="68">
        <v>0.0</v>
      </c>
      <c r="AG117" s="68">
        <v>0.0</v>
      </c>
      <c r="AH117" s="68">
        <v>0.0</v>
      </c>
      <c r="AI117" s="68">
        <v>0.0</v>
      </c>
      <c r="AJ117" s="68">
        <v>0.0</v>
      </c>
      <c r="AK117" s="68">
        <v>0.0</v>
      </c>
      <c r="AL117" s="68">
        <v>0.0</v>
      </c>
      <c r="AM117" s="68">
        <v>0.0</v>
      </c>
      <c r="AN117" s="68">
        <v>0.0</v>
      </c>
      <c r="AO117" s="68">
        <v>8.26</v>
      </c>
      <c r="AP117" s="68">
        <v>0.0</v>
      </c>
      <c r="AQ117" s="68">
        <v>0.0</v>
      </c>
      <c r="AR117" s="68">
        <v>0.0</v>
      </c>
      <c r="AS117" s="68">
        <v>0.0</v>
      </c>
      <c r="AT117" s="68">
        <v>0.0</v>
      </c>
      <c r="AU117" s="68">
        <v>0.0</v>
      </c>
      <c r="AV117" s="68">
        <v>0.0</v>
      </c>
      <c r="AW117" s="68">
        <v>0.0</v>
      </c>
      <c r="AX117" s="68">
        <v>0.0</v>
      </c>
      <c r="AY117" s="68">
        <v>0.0</v>
      </c>
      <c r="AZ117" s="68">
        <v>0.0</v>
      </c>
      <c r="BA117" s="68">
        <v>0.0</v>
      </c>
      <c r="BB117" s="68">
        <v>8.26</v>
      </c>
      <c r="BC117" s="68" t="s">
        <v>106</v>
      </c>
      <c r="BD117" s="68"/>
      <c r="BF117" s="70">
        <v>125.98</v>
      </c>
      <c r="BG117" s="68">
        <v>-12.6</v>
      </c>
      <c r="BH117" s="68" t="s">
        <v>107</v>
      </c>
      <c r="BI117" s="68" t="s">
        <v>108</v>
      </c>
      <c r="BJ117" s="68" t="s">
        <v>109</v>
      </c>
      <c r="BK117" s="68" t="s">
        <v>316</v>
      </c>
      <c r="BM117" s="68"/>
      <c r="BN117" s="70" t="s">
        <v>111</v>
      </c>
      <c r="BO117" s="68" t="s">
        <v>112</v>
      </c>
      <c r="BP117" s="68" t="s">
        <v>113</v>
      </c>
      <c r="BQ117" s="68" t="s">
        <v>317</v>
      </c>
      <c r="BR117" s="68">
        <v>3.78</v>
      </c>
      <c r="BS117" s="68"/>
      <c r="BT117" s="70">
        <v>-12.0</v>
      </c>
      <c r="BU117" s="68" t="s">
        <v>318</v>
      </c>
      <c r="BW117" s="64" t="str">
        <f>if(OR(F117="SALE",F117="REFUNDED"),IFERROR(Vlookup(I117,'Listing SKU - Fill SKU Mapping'!A:C,3,false),"Map"),"")</f>
        <v>Keystone</v>
      </c>
      <c r="BX117" s="64" t="str">
        <f>IF(OR(F117="SALE",F117="REFUNDED")=TRUE,iferror(Vlookup(I117,'Listing SKU - Fill SKU Mapping'!A:B,2,false),"Map"),"")</f>
        <v>55017BLK</v>
      </c>
      <c r="BY117" s="64">
        <f>IF(OR(F117="SALE",F117="REFUNDED")=TRUE,iferror(Vlookup(I117,'Listing SKU - Fill SKU Mapping'!A:D,4,false),"Map"),"")</f>
        <v>58.38</v>
      </c>
      <c r="BZ117" s="66">
        <f t="shared" si="1"/>
        <v>11.5</v>
      </c>
      <c r="CA117" s="66">
        <f t="shared" si="2"/>
        <v>69.88</v>
      </c>
      <c r="CB117" s="66">
        <f t="shared" si="3"/>
        <v>47.28</v>
      </c>
      <c r="CC117" s="64" t="str">
        <f>if(F117="REFUNDED",iferror(Vlookup(I117,'Listing SKU - Fill SKU Mapping'!A:B,2,false),"Map"),"")</f>
        <v/>
      </c>
      <c r="CD117" s="64" t="str">
        <f>if(F117="REFUNDED",iferror(Vlookup(I117,'Listing SKU - Fill SKU Mapping'!A:C,3,false),"Map"),"")</f>
        <v/>
      </c>
      <c r="CE117" s="64" t="str">
        <f t="shared" si="4"/>
        <v>2025</v>
      </c>
      <c r="CF117" s="64" t="str">
        <f t="shared" si="5"/>
        <v>June</v>
      </c>
      <c r="CG117" s="64" t="str">
        <f t="shared" si="6"/>
        <v/>
      </c>
    </row>
    <row r="118">
      <c r="A118" s="55">
        <v>2.0001E14</v>
      </c>
      <c r="B118" s="56">
        <v>1.0</v>
      </c>
      <c r="C118" s="57">
        <v>1.0902E14</v>
      </c>
      <c r="D118" s="58">
        <v>1.0</v>
      </c>
      <c r="F118" s="59" t="s">
        <v>100</v>
      </c>
      <c r="G118" s="60">
        <v>45840.0</v>
      </c>
      <c r="H118" s="58">
        <v>1.0</v>
      </c>
      <c r="I118" s="58" t="s">
        <v>342</v>
      </c>
      <c r="J118" s="61">
        <v>4.67129958634E11</v>
      </c>
      <c r="K118" s="63"/>
      <c r="L118" s="63"/>
      <c r="M118" s="63"/>
      <c r="N118" s="63"/>
      <c r="O118" s="63"/>
      <c r="P118" s="63"/>
      <c r="Q118" s="63"/>
      <c r="R118" s="63"/>
      <c r="S118" s="63"/>
      <c r="T118" s="58" t="s">
        <v>105</v>
      </c>
      <c r="U118" s="59">
        <v>92.0</v>
      </c>
      <c r="V118" s="59">
        <v>79.96</v>
      </c>
      <c r="W118" s="58">
        <v>6.02</v>
      </c>
      <c r="X118" s="58">
        <v>7.0</v>
      </c>
      <c r="Y118" s="68">
        <v>85.98</v>
      </c>
      <c r="Z118" s="69">
        <v>0.0</v>
      </c>
      <c r="AA118" s="68">
        <v>0.0</v>
      </c>
      <c r="AB118" s="68">
        <v>0.0</v>
      </c>
      <c r="AC118" s="68">
        <v>0.0</v>
      </c>
      <c r="AD118" s="68">
        <v>0.0</v>
      </c>
      <c r="AE118" s="68">
        <v>0.0</v>
      </c>
      <c r="AF118" s="68">
        <v>0.0</v>
      </c>
      <c r="AG118" s="68">
        <v>0.0</v>
      </c>
      <c r="AH118" s="68">
        <v>0.0</v>
      </c>
      <c r="AI118" s="68">
        <v>0.0</v>
      </c>
      <c r="AJ118" s="68">
        <v>0.0</v>
      </c>
      <c r="AK118" s="68">
        <v>0.0</v>
      </c>
      <c r="AL118" s="68">
        <v>0.0</v>
      </c>
      <c r="AM118" s="68">
        <v>0.0</v>
      </c>
      <c r="AN118" s="68">
        <v>0.0</v>
      </c>
      <c r="AO118" s="68">
        <v>6.02</v>
      </c>
      <c r="AP118" s="68">
        <v>0.0</v>
      </c>
      <c r="AQ118" s="68">
        <v>0.0</v>
      </c>
      <c r="AR118" s="68">
        <v>0.0</v>
      </c>
      <c r="AS118" s="68">
        <v>0.0</v>
      </c>
      <c r="AT118" s="68">
        <v>0.0</v>
      </c>
      <c r="AU118" s="68">
        <v>0.0</v>
      </c>
      <c r="AV118" s="68">
        <v>0.0</v>
      </c>
      <c r="AW118" s="68">
        <v>0.0</v>
      </c>
      <c r="AX118" s="68">
        <v>0.0</v>
      </c>
      <c r="AY118" s="68">
        <v>0.0</v>
      </c>
      <c r="AZ118" s="68">
        <v>0.0</v>
      </c>
      <c r="BA118" s="68">
        <v>0.0</v>
      </c>
      <c r="BB118" s="68">
        <v>6.02</v>
      </c>
      <c r="BC118" s="68" t="s">
        <v>106</v>
      </c>
      <c r="BD118" s="68"/>
      <c r="BG118" s="70">
        <v>-8.6</v>
      </c>
      <c r="BH118" s="68" t="s">
        <v>107</v>
      </c>
      <c r="BI118" s="68" t="s">
        <v>108</v>
      </c>
      <c r="BJ118" s="68" t="s">
        <v>109</v>
      </c>
      <c r="BK118" s="68" t="s">
        <v>316</v>
      </c>
      <c r="BM118" s="68"/>
      <c r="BN118" s="70" t="s">
        <v>111</v>
      </c>
      <c r="BO118" s="68" t="s">
        <v>112</v>
      </c>
      <c r="BP118" s="68" t="s">
        <v>113</v>
      </c>
      <c r="BQ118" s="68" t="s">
        <v>114</v>
      </c>
      <c r="BR118" s="68">
        <v>2.58</v>
      </c>
      <c r="BS118" s="68"/>
      <c r="BW118" s="64" t="str">
        <f>if(OR(F118="SALE",F118="REFUNDED"),IFERROR(Vlookup(I118,'Listing SKU - Fill SKU Mapping'!A:C,3,false),"Map"),"")</f>
        <v>Keystone</v>
      </c>
      <c r="BX118" s="64" t="str">
        <f>IF(OR(F118="SALE",F118="REFUNDED")=TRUE,iferror(Vlookup(I118,'Listing SKU - Fill SKU Mapping'!A:B,2,false),"Map"),"")</f>
        <v>47016S</v>
      </c>
      <c r="BY118" s="64">
        <f>IF(OR(F118="SALE",F118="REFUNDED")=TRUE,iferror(Vlookup(I118,'Listing SKU - Fill SKU Mapping'!A:D,4,false),"Map"),"")</f>
        <v>33.53</v>
      </c>
      <c r="BZ118" s="66">
        <f t="shared" si="1"/>
        <v>11.5</v>
      </c>
      <c r="CA118" s="66">
        <f t="shared" si="2"/>
        <v>45.03</v>
      </c>
      <c r="CB118" s="66">
        <f t="shared" si="3"/>
        <v>34.93</v>
      </c>
      <c r="CC118" s="64" t="str">
        <f>if(F118="REFUNDED",iferror(Vlookup(I118,'Listing SKU - Fill SKU Mapping'!A:B,2,false),"Map"),"")</f>
        <v/>
      </c>
      <c r="CD118" s="64" t="str">
        <f>if(F118="REFUNDED",iferror(Vlookup(I118,'Listing SKU - Fill SKU Mapping'!A:C,3,false),"Map"),"")</f>
        <v/>
      </c>
      <c r="CE118" s="64" t="str">
        <f t="shared" si="4"/>
        <v>2025</v>
      </c>
      <c r="CF118" s="64" t="str">
        <f t="shared" si="5"/>
        <v>July</v>
      </c>
      <c r="CG118" s="64" t="str">
        <f t="shared" si="6"/>
        <v/>
      </c>
    </row>
    <row r="119">
      <c r="A119" s="55">
        <v>2.0001E14</v>
      </c>
      <c r="B119" s="56">
        <v>1.0</v>
      </c>
      <c r="C119" s="57">
        <v>1.0902E14</v>
      </c>
      <c r="D119" s="58">
        <v>1.0</v>
      </c>
      <c r="F119" s="59" t="s">
        <v>100</v>
      </c>
      <c r="G119" s="60">
        <v>45839.0</v>
      </c>
      <c r="H119" s="58">
        <v>1.0</v>
      </c>
      <c r="I119" s="58" t="s">
        <v>330</v>
      </c>
      <c r="J119" s="61">
        <v>4.67129958757E11</v>
      </c>
      <c r="K119" s="63"/>
      <c r="L119" s="63"/>
      <c r="M119" s="63"/>
      <c r="N119" s="63"/>
      <c r="O119" s="63"/>
      <c r="P119" s="63"/>
      <c r="Q119" s="63"/>
      <c r="R119" s="63"/>
      <c r="S119" s="63"/>
      <c r="T119" s="58" t="s">
        <v>105</v>
      </c>
      <c r="U119" s="59">
        <v>87.02</v>
      </c>
      <c r="V119" s="59">
        <v>85.54</v>
      </c>
      <c r="W119" s="58">
        <v>6.44</v>
      </c>
      <c r="X119" s="58">
        <v>7.0</v>
      </c>
      <c r="Y119" s="68">
        <v>81.9</v>
      </c>
      <c r="Z119" s="69">
        <v>0.0</v>
      </c>
      <c r="AA119" s="68">
        <v>0.0</v>
      </c>
      <c r="AB119" s="68">
        <v>0.0</v>
      </c>
      <c r="AC119" s="68">
        <v>0.0</v>
      </c>
      <c r="AD119" s="68">
        <v>0.0</v>
      </c>
      <c r="AE119" s="68">
        <v>0.0</v>
      </c>
      <c r="AF119" s="68">
        <v>0.0</v>
      </c>
      <c r="AG119" s="68">
        <v>0.0</v>
      </c>
      <c r="AH119" s="68">
        <v>0.0</v>
      </c>
      <c r="AI119" s="68">
        <v>0.0</v>
      </c>
      <c r="AJ119" s="68">
        <v>0.0</v>
      </c>
      <c r="AK119" s="68">
        <v>0.0</v>
      </c>
      <c r="AL119" s="68">
        <v>0.0</v>
      </c>
      <c r="AM119" s="68">
        <v>0.0</v>
      </c>
      <c r="AN119" s="68">
        <v>0.0</v>
      </c>
      <c r="AO119" s="68">
        <v>5.12</v>
      </c>
      <c r="AP119" s="68">
        <v>0.0</v>
      </c>
      <c r="AQ119" s="68">
        <v>0.0</v>
      </c>
      <c r="AR119" s="68">
        <v>0.0</v>
      </c>
      <c r="AS119" s="68">
        <v>0.0</v>
      </c>
      <c r="AT119" s="68">
        <v>0.0</v>
      </c>
      <c r="AU119" s="68">
        <v>0.0</v>
      </c>
      <c r="AV119" s="68">
        <v>0.0</v>
      </c>
      <c r="AW119" s="68">
        <v>0.0</v>
      </c>
      <c r="AX119" s="68">
        <v>0.0</v>
      </c>
      <c r="AY119" s="68">
        <v>0.0</v>
      </c>
      <c r="AZ119" s="68">
        <v>0.0</v>
      </c>
      <c r="BA119" s="68">
        <v>0.0</v>
      </c>
      <c r="BB119" s="68">
        <v>5.12</v>
      </c>
      <c r="BC119" s="68" t="s">
        <v>106</v>
      </c>
      <c r="BD119" s="68"/>
      <c r="BF119" s="70">
        <v>91.98</v>
      </c>
      <c r="BG119" s="68">
        <v>-9.2</v>
      </c>
      <c r="BH119" s="68" t="s">
        <v>107</v>
      </c>
      <c r="BI119" s="68" t="s">
        <v>108</v>
      </c>
      <c r="BJ119" s="68" t="s">
        <v>109</v>
      </c>
      <c r="BK119" s="68" t="s">
        <v>316</v>
      </c>
      <c r="BM119" s="68"/>
      <c r="BN119" s="70" t="s">
        <v>111</v>
      </c>
      <c r="BO119" s="68" t="s">
        <v>112</v>
      </c>
      <c r="BP119" s="68" t="s">
        <v>113</v>
      </c>
      <c r="BQ119" s="68" t="s">
        <v>317</v>
      </c>
      <c r="BR119" s="68">
        <v>2.76</v>
      </c>
      <c r="BS119" s="68"/>
      <c r="BT119" s="70">
        <v>-10.08</v>
      </c>
      <c r="BU119" s="68" t="s">
        <v>318</v>
      </c>
      <c r="BW119" s="64" t="str">
        <f>if(OR(F119="SALE",F119="REFUNDED"),IFERROR(Vlookup(I119,'Listing SKU - Fill SKU Mapping'!A:C,3,false),"Map"),"")</f>
        <v>Keystone</v>
      </c>
      <c r="BX119" s="64" t="str">
        <f>IF(OR(F119="SALE",F119="REFUNDED")=TRUE,iferror(Vlookup(I119,'Listing SKU - Fill SKU Mapping'!A:B,2,false),"Map"),"")</f>
        <v>51817SB</v>
      </c>
      <c r="BY119" s="64">
        <f>IF(OR(F119="SALE",F119="REFUNDED")=TRUE,iferror(Vlookup(I119,'Listing SKU - Fill SKU Mapping'!A:D,4,false),"Map"),"")</f>
        <v>37.08</v>
      </c>
      <c r="BZ119" s="66">
        <f t="shared" si="1"/>
        <v>11.5</v>
      </c>
      <c r="CA119" s="66">
        <f t="shared" si="2"/>
        <v>48.58</v>
      </c>
      <c r="CB119" s="66">
        <f t="shared" si="3"/>
        <v>36.96</v>
      </c>
      <c r="CC119" s="64" t="str">
        <f>if(F119="REFUNDED",iferror(Vlookup(I119,'Listing SKU - Fill SKU Mapping'!A:B,2,false),"Map"),"")</f>
        <v/>
      </c>
      <c r="CD119" s="64" t="str">
        <f>if(F119="REFUNDED",iferror(Vlookup(I119,'Listing SKU - Fill SKU Mapping'!A:C,3,false),"Map"),"")</f>
        <v/>
      </c>
      <c r="CE119" s="64" t="str">
        <f t="shared" si="4"/>
        <v>2025</v>
      </c>
      <c r="CF119" s="64" t="str">
        <f t="shared" si="5"/>
        <v>July</v>
      </c>
      <c r="CG119" s="64" t="str">
        <f t="shared" si="6"/>
        <v/>
      </c>
    </row>
    <row r="120">
      <c r="A120" s="55">
        <v>2.0001E14</v>
      </c>
      <c r="B120" s="56">
        <v>2.0</v>
      </c>
      <c r="C120" s="57">
        <v>1.0902E14</v>
      </c>
      <c r="D120" s="58">
        <v>2.0</v>
      </c>
      <c r="F120" s="59" t="s">
        <v>100</v>
      </c>
      <c r="G120" s="60">
        <v>45847.0</v>
      </c>
      <c r="H120" s="58">
        <v>1.0</v>
      </c>
      <c r="I120" s="58" t="s">
        <v>343</v>
      </c>
      <c r="J120" s="61">
        <v>4.60776238371E11</v>
      </c>
      <c r="K120" s="63"/>
      <c r="L120" s="63"/>
      <c r="M120" s="63"/>
      <c r="N120" s="63"/>
      <c r="O120" s="63"/>
      <c r="P120" s="63"/>
      <c r="Q120" s="63"/>
      <c r="R120" s="63"/>
      <c r="S120" s="63"/>
      <c r="T120" s="58" t="s">
        <v>105</v>
      </c>
      <c r="U120" s="59">
        <v>89.48</v>
      </c>
      <c r="V120" s="59">
        <v>75.31</v>
      </c>
      <c r="W120" s="58">
        <v>5.67</v>
      </c>
      <c r="X120" s="58">
        <v>7.0</v>
      </c>
      <c r="Y120" s="68">
        <v>80.98</v>
      </c>
      <c r="Z120" s="69">
        <v>0.0</v>
      </c>
      <c r="AA120" s="68">
        <v>0.0</v>
      </c>
      <c r="AB120" s="68">
        <v>0.0</v>
      </c>
      <c r="AC120" s="68">
        <v>0.0</v>
      </c>
      <c r="AD120" s="68">
        <v>0.0</v>
      </c>
      <c r="AE120" s="68">
        <v>0.0</v>
      </c>
      <c r="AF120" s="68">
        <v>0.0</v>
      </c>
      <c r="AG120" s="68">
        <v>0.0</v>
      </c>
      <c r="AH120" s="68">
        <v>0.0</v>
      </c>
      <c r="AI120" s="68">
        <v>0.0</v>
      </c>
      <c r="AJ120" s="68">
        <v>0.0</v>
      </c>
      <c r="AK120" s="68">
        <v>0.0</v>
      </c>
      <c r="AL120" s="68">
        <v>0.0</v>
      </c>
      <c r="AM120" s="68">
        <v>0.0</v>
      </c>
      <c r="AN120" s="68">
        <v>0.0</v>
      </c>
      <c r="AO120" s="68">
        <v>8.5</v>
      </c>
      <c r="AP120" s="68">
        <v>0.0</v>
      </c>
      <c r="AQ120" s="68">
        <v>0.0</v>
      </c>
      <c r="AR120" s="68">
        <v>0.0</v>
      </c>
      <c r="AS120" s="68">
        <v>0.0</v>
      </c>
      <c r="AT120" s="68">
        <v>0.0</v>
      </c>
      <c r="AU120" s="68">
        <v>0.0</v>
      </c>
      <c r="AV120" s="68">
        <v>0.0</v>
      </c>
      <c r="AW120" s="68">
        <v>0.0</v>
      </c>
      <c r="AX120" s="68">
        <v>0.0</v>
      </c>
      <c r="AY120" s="68">
        <v>0.0</v>
      </c>
      <c r="AZ120" s="68">
        <v>0.0</v>
      </c>
      <c r="BA120" s="68">
        <v>0.0</v>
      </c>
      <c r="BB120" s="68">
        <v>8.5</v>
      </c>
      <c r="BC120" s="68" t="s">
        <v>106</v>
      </c>
      <c r="BD120" s="68"/>
      <c r="BG120" s="70">
        <v>-8.1</v>
      </c>
      <c r="BH120" s="68" t="s">
        <v>107</v>
      </c>
      <c r="BI120" s="68" t="s">
        <v>108</v>
      </c>
      <c r="BJ120" s="68" t="s">
        <v>109</v>
      </c>
      <c r="BK120" s="68" t="s">
        <v>336</v>
      </c>
      <c r="BM120" s="68"/>
      <c r="BN120" s="70" t="s">
        <v>111</v>
      </c>
      <c r="BO120" s="68" t="s">
        <v>112</v>
      </c>
      <c r="BP120" s="68" t="s">
        <v>113</v>
      </c>
      <c r="BQ120" s="68" t="s">
        <v>114</v>
      </c>
      <c r="BR120" s="68">
        <v>2.43</v>
      </c>
      <c r="BS120" s="68"/>
      <c r="BW120" s="64" t="str">
        <f>if(OR(F120="SALE",F120="REFUNDED"),IFERROR(Vlookup(I120,'Listing SKU - Fill SKU Mapping'!A:C,3,false),"Map"),"")</f>
        <v>Keystone</v>
      </c>
      <c r="BX120" s="64" t="str">
        <f>IF(OR(F120="SALE",F120="REFUNDED")=TRUE,iferror(Vlookup(I120,'Listing SKU - Fill SKU Mapping'!A:B,2,false),"Map"),"")</f>
        <v>IMP386BLK</v>
      </c>
      <c r="BY120" s="64">
        <f>IF(OR(F120="SALE",F120="REFUNDED")=TRUE,iferror(Vlookup(I120,'Listing SKU - Fill SKU Mapping'!A:D,4,false),"Map"),"")</f>
        <v>32.35</v>
      </c>
      <c r="BZ120" s="66">
        <f t="shared" si="1"/>
        <v>11.5</v>
      </c>
      <c r="CA120" s="66">
        <f t="shared" si="2"/>
        <v>43.85</v>
      </c>
      <c r="CB120" s="66">
        <f t="shared" si="3"/>
        <v>31.46</v>
      </c>
      <c r="CC120" s="64" t="str">
        <f>if(F120="REFUNDED",iferror(Vlookup(I120,'Listing SKU - Fill SKU Mapping'!A:B,2,false),"Map"),"")</f>
        <v/>
      </c>
      <c r="CD120" s="64" t="str">
        <f>if(F120="REFUNDED",iferror(Vlookup(I120,'Listing SKU - Fill SKU Mapping'!A:C,3,false),"Map"),"")</f>
        <v/>
      </c>
      <c r="CE120" s="64" t="str">
        <f t="shared" si="4"/>
        <v>2025</v>
      </c>
      <c r="CF120" s="64" t="str">
        <f t="shared" si="5"/>
        <v>July</v>
      </c>
      <c r="CG120" s="64" t="str">
        <f t="shared" si="6"/>
        <v/>
      </c>
    </row>
    <row r="121">
      <c r="A121" s="55">
        <v>2.0001E14</v>
      </c>
      <c r="B121" s="56">
        <v>1.0</v>
      </c>
      <c r="C121" s="57">
        <v>1.0902E14</v>
      </c>
      <c r="D121" s="58">
        <v>1.0</v>
      </c>
      <c r="F121" s="59" t="s">
        <v>100</v>
      </c>
      <c r="G121" s="60">
        <v>45844.0</v>
      </c>
      <c r="H121" s="58">
        <v>1.0</v>
      </c>
      <c r="I121" s="58" t="s">
        <v>344</v>
      </c>
      <c r="J121" s="61">
        <v>4.60776230153E11</v>
      </c>
      <c r="K121" s="63"/>
      <c r="L121" s="63"/>
      <c r="M121" s="63"/>
      <c r="N121" s="63"/>
      <c r="O121" s="63"/>
      <c r="P121" s="63"/>
      <c r="Q121" s="63"/>
      <c r="R121" s="63"/>
      <c r="S121" s="63"/>
      <c r="T121" s="58" t="s">
        <v>105</v>
      </c>
      <c r="U121" s="59">
        <v>133.54</v>
      </c>
      <c r="V121" s="59">
        <v>117.16</v>
      </c>
      <c r="W121" s="58">
        <v>8.82</v>
      </c>
      <c r="X121" s="58">
        <v>7.0</v>
      </c>
      <c r="Y121" s="68">
        <v>125.98</v>
      </c>
      <c r="Z121" s="69">
        <v>0.0</v>
      </c>
      <c r="AA121" s="68">
        <v>0.0</v>
      </c>
      <c r="AB121" s="68">
        <v>0.0</v>
      </c>
      <c r="AC121" s="68">
        <v>0.0</v>
      </c>
      <c r="AD121" s="68">
        <v>0.0</v>
      </c>
      <c r="AE121" s="68">
        <v>0.0</v>
      </c>
      <c r="AF121" s="68">
        <v>0.0</v>
      </c>
      <c r="AG121" s="68">
        <v>0.0</v>
      </c>
      <c r="AH121" s="68">
        <v>0.0</v>
      </c>
      <c r="AI121" s="68">
        <v>0.0</v>
      </c>
      <c r="AJ121" s="68">
        <v>0.0</v>
      </c>
      <c r="AK121" s="68">
        <v>0.0</v>
      </c>
      <c r="AL121" s="68">
        <v>0.0</v>
      </c>
      <c r="AM121" s="68">
        <v>0.0</v>
      </c>
      <c r="AN121" s="68">
        <v>0.0</v>
      </c>
      <c r="AO121" s="68">
        <v>7.56</v>
      </c>
      <c r="AP121" s="68">
        <v>0.0</v>
      </c>
      <c r="AQ121" s="68">
        <v>0.0</v>
      </c>
      <c r="AR121" s="68">
        <v>0.0</v>
      </c>
      <c r="AS121" s="68">
        <v>0.0</v>
      </c>
      <c r="AT121" s="68">
        <v>0.0</v>
      </c>
      <c r="AU121" s="68">
        <v>0.0</v>
      </c>
      <c r="AV121" s="68">
        <v>0.0</v>
      </c>
      <c r="AW121" s="68">
        <v>0.0</v>
      </c>
      <c r="AX121" s="68">
        <v>0.0</v>
      </c>
      <c r="AY121" s="68">
        <v>0.0</v>
      </c>
      <c r="AZ121" s="68">
        <v>0.0</v>
      </c>
      <c r="BA121" s="68">
        <v>0.0</v>
      </c>
      <c r="BB121" s="68">
        <v>7.56</v>
      </c>
      <c r="BC121" s="68" t="s">
        <v>106</v>
      </c>
      <c r="BD121" s="68"/>
      <c r="BG121" s="70">
        <v>-12.6</v>
      </c>
      <c r="BH121" s="68" t="s">
        <v>107</v>
      </c>
      <c r="BI121" s="68" t="s">
        <v>108</v>
      </c>
      <c r="BJ121" s="68" t="s">
        <v>109</v>
      </c>
      <c r="BK121" s="68" t="s">
        <v>336</v>
      </c>
      <c r="BM121" s="68"/>
      <c r="BN121" s="70" t="s">
        <v>111</v>
      </c>
      <c r="BO121" s="68" t="s">
        <v>112</v>
      </c>
      <c r="BP121" s="68" t="s">
        <v>113</v>
      </c>
      <c r="BQ121" s="68" t="s">
        <v>114</v>
      </c>
      <c r="BR121" s="68">
        <v>3.78</v>
      </c>
      <c r="BS121" s="68"/>
      <c r="BW121" s="64" t="str">
        <f>if(OR(F121="SALE",F121="REFUNDED"),IFERROR(Vlookup(I121,'Listing SKU - Fill SKU Mapping'!A:C,3,false),"Map"),"")</f>
        <v>Keystone</v>
      </c>
      <c r="BX121" s="64" t="str">
        <f>IF(OR(F121="SALE",F121="REFUNDED")=TRUE,iferror(Vlookup(I121,'Listing SKU - Fill SKU Mapping'!A:B,2,false),"Map"),"")</f>
        <v>IMP414X</v>
      </c>
      <c r="BY121" s="64">
        <f>IF(OR(F121="SALE",F121="REFUNDED")=TRUE,iferror(Vlookup(I121,'Listing SKU - Fill SKU Mapping'!A:D,4,false),"Map"),"")</f>
        <v>61.14</v>
      </c>
      <c r="BZ121" s="66">
        <f t="shared" si="1"/>
        <v>11.5</v>
      </c>
      <c r="CA121" s="66">
        <f t="shared" si="2"/>
        <v>72.64</v>
      </c>
      <c r="CB121" s="66">
        <f t="shared" si="3"/>
        <v>44.52</v>
      </c>
      <c r="CC121" s="64" t="str">
        <f>if(F121="REFUNDED",iferror(Vlookup(I121,'Listing SKU - Fill SKU Mapping'!A:B,2,false),"Map"),"")</f>
        <v/>
      </c>
      <c r="CD121" s="64" t="str">
        <f>if(F121="REFUNDED",iferror(Vlookup(I121,'Listing SKU - Fill SKU Mapping'!A:C,3,false),"Map"),"")</f>
        <v/>
      </c>
      <c r="CE121" s="64" t="str">
        <f t="shared" si="4"/>
        <v>2025</v>
      </c>
      <c r="CF121" s="64" t="str">
        <f t="shared" si="5"/>
        <v>July</v>
      </c>
      <c r="CG121" s="64" t="str">
        <f t="shared" si="6"/>
        <v/>
      </c>
    </row>
    <row r="122">
      <c r="A122" s="55">
        <v>2.0001E14</v>
      </c>
      <c r="B122" s="56">
        <v>1.0</v>
      </c>
      <c r="C122" s="57">
        <v>1.2902E14</v>
      </c>
      <c r="D122" s="58">
        <v>1.0</v>
      </c>
      <c r="F122" s="59" t="s">
        <v>100</v>
      </c>
      <c r="G122" s="60">
        <v>45862.0</v>
      </c>
      <c r="H122" s="58">
        <v>1.0</v>
      </c>
      <c r="I122" s="58" t="s">
        <v>345</v>
      </c>
      <c r="J122" s="61">
        <v>4.67129928385E11</v>
      </c>
      <c r="K122" s="63"/>
      <c r="L122" s="63"/>
      <c r="M122" s="63"/>
      <c r="N122" s="63"/>
      <c r="O122" s="63"/>
      <c r="P122" s="63"/>
      <c r="Q122" s="63"/>
      <c r="R122" s="63"/>
      <c r="S122" s="63"/>
      <c r="T122" s="58" t="s">
        <v>105</v>
      </c>
      <c r="U122" s="59">
        <v>92.17</v>
      </c>
      <c r="V122" s="59">
        <v>78.1</v>
      </c>
      <c r="W122" s="58">
        <v>5.88</v>
      </c>
      <c r="X122" s="58">
        <v>7.0</v>
      </c>
      <c r="Y122" s="68">
        <v>83.98</v>
      </c>
      <c r="Z122" s="69">
        <v>0.0</v>
      </c>
      <c r="AA122" s="68">
        <v>0.0</v>
      </c>
      <c r="AB122" s="68">
        <v>0.0</v>
      </c>
      <c r="AC122" s="68">
        <v>0.0</v>
      </c>
      <c r="AD122" s="68">
        <v>0.0</v>
      </c>
      <c r="AE122" s="68">
        <v>0.0</v>
      </c>
      <c r="AF122" s="68">
        <v>0.0</v>
      </c>
      <c r="AG122" s="68">
        <v>0.0</v>
      </c>
      <c r="AH122" s="68">
        <v>0.0</v>
      </c>
      <c r="AI122" s="68">
        <v>0.0</v>
      </c>
      <c r="AJ122" s="68">
        <v>0.0</v>
      </c>
      <c r="AK122" s="68">
        <v>0.0</v>
      </c>
      <c r="AL122" s="68">
        <v>0.0</v>
      </c>
      <c r="AM122" s="68">
        <v>0.0</v>
      </c>
      <c r="AN122" s="68">
        <v>0.0</v>
      </c>
      <c r="AO122" s="68">
        <v>8.19</v>
      </c>
      <c r="AP122" s="68">
        <v>0.0</v>
      </c>
      <c r="AQ122" s="68">
        <v>0.0</v>
      </c>
      <c r="AR122" s="68">
        <v>0.0</v>
      </c>
      <c r="AS122" s="68">
        <v>0.0</v>
      </c>
      <c r="AT122" s="68">
        <v>0.0</v>
      </c>
      <c r="AU122" s="68">
        <v>0.0</v>
      </c>
      <c r="AV122" s="68">
        <v>0.0</v>
      </c>
      <c r="AW122" s="68">
        <v>0.0</v>
      </c>
      <c r="AX122" s="68">
        <v>0.0</v>
      </c>
      <c r="AY122" s="68">
        <v>0.0</v>
      </c>
      <c r="AZ122" s="68">
        <v>0.0</v>
      </c>
      <c r="BA122" s="68">
        <v>0.0</v>
      </c>
      <c r="BB122" s="68">
        <v>8.19</v>
      </c>
      <c r="BC122" s="68" t="s">
        <v>106</v>
      </c>
      <c r="BD122" s="68"/>
      <c r="BG122" s="70">
        <v>-8.4</v>
      </c>
      <c r="BH122" s="68" t="s">
        <v>107</v>
      </c>
      <c r="BI122" s="68" t="s">
        <v>108</v>
      </c>
      <c r="BJ122" s="68" t="s">
        <v>109</v>
      </c>
      <c r="BK122" s="68" t="s">
        <v>346</v>
      </c>
      <c r="BM122" s="68"/>
      <c r="BN122" s="70" t="s">
        <v>111</v>
      </c>
      <c r="BO122" s="68" t="s">
        <v>112</v>
      </c>
      <c r="BP122" s="68" t="s">
        <v>113</v>
      </c>
      <c r="BQ122" s="68" t="s">
        <v>114</v>
      </c>
      <c r="BR122" s="68">
        <v>2.52</v>
      </c>
      <c r="BS122" s="68"/>
      <c r="BW122" s="64" t="str">
        <f>if(OR(F122="SALE",F122="REFUNDED"),IFERROR(Vlookup(I122,'Listing SKU - Fill SKU Mapping'!A:C,3,false),"Map"),"")</f>
        <v>Keystone</v>
      </c>
      <c r="BX122" s="64" t="str">
        <f>IF(OR(F122="SALE",F122="REFUNDED")=TRUE,iferror(Vlookup(I122,'Listing SKU - Fill SKU Mapping'!A:B,2,false),"Map"),"")</f>
        <v>52116S</v>
      </c>
      <c r="BY122" s="64">
        <f>IF(OR(F122="SALE",F122="REFUNDED")=TRUE,iferror(Vlookup(I122,'Listing SKU - Fill SKU Mapping'!A:D,4,false),"Map"),"")</f>
        <v>32.35</v>
      </c>
      <c r="BZ122" s="66">
        <f t="shared" si="1"/>
        <v>11.5</v>
      </c>
      <c r="CA122" s="66">
        <f t="shared" si="2"/>
        <v>43.85</v>
      </c>
      <c r="CB122" s="66">
        <f t="shared" si="3"/>
        <v>34.25</v>
      </c>
      <c r="CC122" s="64" t="str">
        <f>if(F122="REFUNDED",iferror(Vlookup(I122,'Listing SKU - Fill SKU Mapping'!A:B,2,false),"Map"),"")</f>
        <v/>
      </c>
      <c r="CD122" s="64" t="str">
        <f>if(F122="REFUNDED",iferror(Vlookup(I122,'Listing SKU - Fill SKU Mapping'!A:C,3,false),"Map"),"")</f>
        <v/>
      </c>
      <c r="CE122" s="64" t="str">
        <f t="shared" si="4"/>
        <v>2025</v>
      </c>
      <c r="CF122" s="64" t="str">
        <f t="shared" si="5"/>
        <v>July</v>
      </c>
      <c r="CG122" s="64" t="str">
        <f t="shared" si="6"/>
        <v/>
      </c>
    </row>
    <row r="123">
      <c r="A123" s="55">
        <v>2.0001E14</v>
      </c>
      <c r="B123" s="56">
        <v>2.0</v>
      </c>
      <c r="C123" s="57">
        <v>1.2902E14</v>
      </c>
      <c r="D123" s="58">
        <v>2.0</v>
      </c>
      <c r="F123" s="59" t="s">
        <v>100</v>
      </c>
      <c r="G123" s="60">
        <v>45859.0</v>
      </c>
      <c r="H123" s="58">
        <v>1.0</v>
      </c>
      <c r="I123" s="58" t="s">
        <v>347</v>
      </c>
      <c r="J123" s="61">
        <v>4.67129950577E11</v>
      </c>
      <c r="K123" s="63"/>
      <c r="L123" s="63"/>
      <c r="M123" s="63"/>
      <c r="N123" s="63"/>
      <c r="O123" s="63"/>
      <c r="P123" s="63"/>
      <c r="Q123" s="63"/>
      <c r="R123" s="63"/>
      <c r="S123" s="63"/>
      <c r="T123" s="58" t="s">
        <v>105</v>
      </c>
      <c r="U123" s="59">
        <v>84.51</v>
      </c>
      <c r="V123" s="59">
        <v>73.45</v>
      </c>
      <c r="W123" s="58">
        <v>5.53</v>
      </c>
      <c r="X123" s="58">
        <v>7.0</v>
      </c>
      <c r="Y123" s="68">
        <v>78.98</v>
      </c>
      <c r="Z123" s="69">
        <v>0.0</v>
      </c>
      <c r="AA123" s="68">
        <v>0.0</v>
      </c>
      <c r="AB123" s="68">
        <v>0.0</v>
      </c>
      <c r="AC123" s="68">
        <v>0.0</v>
      </c>
      <c r="AD123" s="68">
        <v>0.0</v>
      </c>
      <c r="AE123" s="68">
        <v>0.0</v>
      </c>
      <c r="AF123" s="68">
        <v>0.0</v>
      </c>
      <c r="AG123" s="68">
        <v>0.0</v>
      </c>
      <c r="AH123" s="68">
        <v>0.0</v>
      </c>
      <c r="AI123" s="68">
        <v>0.0</v>
      </c>
      <c r="AJ123" s="68">
        <v>0.0</v>
      </c>
      <c r="AK123" s="68">
        <v>0.0</v>
      </c>
      <c r="AL123" s="68">
        <v>0.0</v>
      </c>
      <c r="AM123" s="68">
        <v>0.0</v>
      </c>
      <c r="AN123" s="68">
        <v>0.0</v>
      </c>
      <c r="AO123" s="68">
        <v>5.53</v>
      </c>
      <c r="AP123" s="68">
        <v>0.0</v>
      </c>
      <c r="AQ123" s="68">
        <v>0.0</v>
      </c>
      <c r="AR123" s="68">
        <v>0.0</v>
      </c>
      <c r="AS123" s="68">
        <v>0.0</v>
      </c>
      <c r="AT123" s="68">
        <v>0.0</v>
      </c>
      <c r="AU123" s="68">
        <v>0.0</v>
      </c>
      <c r="AV123" s="68">
        <v>0.0</v>
      </c>
      <c r="AW123" s="68">
        <v>0.0</v>
      </c>
      <c r="AX123" s="68">
        <v>0.0</v>
      </c>
      <c r="AY123" s="68">
        <v>0.0</v>
      </c>
      <c r="AZ123" s="68">
        <v>0.0</v>
      </c>
      <c r="BA123" s="68">
        <v>0.0</v>
      </c>
      <c r="BB123" s="68">
        <v>5.53</v>
      </c>
      <c r="BC123" s="68" t="s">
        <v>106</v>
      </c>
      <c r="BD123" s="68"/>
      <c r="BG123" s="70">
        <v>-7.9</v>
      </c>
      <c r="BH123" s="68" t="s">
        <v>107</v>
      </c>
      <c r="BI123" s="68" t="s">
        <v>108</v>
      </c>
      <c r="BJ123" s="68" t="s">
        <v>109</v>
      </c>
      <c r="BK123" s="68" t="s">
        <v>346</v>
      </c>
      <c r="BM123" s="68"/>
      <c r="BN123" s="70" t="s">
        <v>111</v>
      </c>
      <c r="BO123" s="68" t="s">
        <v>112</v>
      </c>
      <c r="BP123" s="68" t="s">
        <v>113</v>
      </c>
      <c r="BQ123" s="68" t="s">
        <v>114</v>
      </c>
      <c r="BR123" s="68">
        <v>2.37</v>
      </c>
      <c r="BS123" s="68"/>
      <c r="BW123" s="64" t="str">
        <f>if(OR(F123="SALE",F123="REFUNDED"),IFERROR(Vlookup(I123,'Listing SKU - Fill SKU Mapping'!A:C,3,false),"Map"),"")</f>
        <v>Keystone</v>
      </c>
      <c r="BX123" s="64" t="str">
        <f>IF(OR(F123="SALE",F123="REFUNDED")=TRUE,iferror(Vlookup(I123,'Listing SKU - Fill SKU Mapping'!A:B,2,false),"Map"),"")</f>
        <v>51015S</v>
      </c>
      <c r="BY123" s="64">
        <f>IF(OR(F123="SALE",F123="REFUNDED")=TRUE,iferror(Vlookup(I123,'Listing SKU - Fill SKU Mapping'!A:D,4,false),"Map"),"")</f>
        <v>28.8</v>
      </c>
      <c r="BZ123" s="66">
        <f t="shared" si="1"/>
        <v>11.5</v>
      </c>
      <c r="CA123" s="66">
        <f t="shared" si="2"/>
        <v>40.3</v>
      </c>
      <c r="CB123" s="66">
        <f t="shared" si="3"/>
        <v>33.15</v>
      </c>
      <c r="CC123" s="64" t="str">
        <f>if(F123="REFUNDED",iferror(Vlookup(I123,'Listing SKU - Fill SKU Mapping'!A:B,2,false),"Map"),"")</f>
        <v/>
      </c>
      <c r="CD123" s="64" t="str">
        <f>if(F123="REFUNDED",iferror(Vlookup(I123,'Listing SKU - Fill SKU Mapping'!A:C,3,false),"Map"),"")</f>
        <v/>
      </c>
      <c r="CE123" s="64" t="str">
        <f t="shared" si="4"/>
        <v>2025</v>
      </c>
      <c r="CF123" s="64" t="str">
        <f t="shared" si="5"/>
        <v>July</v>
      </c>
      <c r="CG123" s="64" t="str">
        <f t="shared" si="6"/>
        <v/>
      </c>
    </row>
    <row r="124">
      <c r="A124" s="55">
        <v>2.0001E14</v>
      </c>
      <c r="B124" s="56">
        <v>1.0</v>
      </c>
      <c r="C124" s="57">
        <v>1.2902E14</v>
      </c>
      <c r="D124" s="58">
        <v>1.0</v>
      </c>
      <c r="F124" s="59" t="s">
        <v>100</v>
      </c>
      <c r="G124" s="60">
        <v>45859.0</v>
      </c>
      <c r="H124" s="58">
        <v>1.0</v>
      </c>
      <c r="I124" s="58" t="s">
        <v>305</v>
      </c>
      <c r="J124" s="61">
        <v>4.67129944255E11</v>
      </c>
      <c r="K124" s="63"/>
      <c r="L124" s="63"/>
      <c r="M124" s="63"/>
      <c r="N124" s="63"/>
      <c r="O124" s="63"/>
      <c r="P124" s="63"/>
      <c r="Q124" s="63"/>
      <c r="R124" s="63"/>
      <c r="S124" s="63"/>
      <c r="T124" s="58" t="s">
        <v>105</v>
      </c>
      <c r="U124" s="59">
        <v>87.31</v>
      </c>
      <c r="V124" s="59">
        <v>76.24</v>
      </c>
      <c r="W124" s="58">
        <v>5.74</v>
      </c>
      <c r="X124" s="58">
        <v>7.0</v>
      </c>
      <c r="Y124" s="68">
        <v>81.98</v>
      </c>
      <c r="Z124" s="69">
        <v>0.0</v>
      </c>
      <c r="AA124" s="68">
        <v>0.0</v>
      </c>
      <c r="AB124" s="68">
        <v>0.0</v>
      </c>
      <c r="AC124" s="68">
        <v>0.0</v>
      </c>
      <c r="AD124" s="68">
        <v>0.0</v>
      </c>
      <c r="AE124" s="68">
        <v>0.0</v>
      </c>
      <c r="AF124" s="68">
        <v>0.0</v>
      </c>
      <c r="AG124" s="68">
        <v>0.0</v>
      </c>
      <c r="AH124" s="68">
        <v>0.0</v>
      </c>
      <c r="AI124" s="68">
        <v>0.0</v>
      </c>
      <c r="AJ124" s="68">
        <v>0.0</v>
      </c>
      <c r="AK124" s="68">
        <v>0.0</v>
      </c>
      <c r="AL124" s="68">
        <v>0.0</v>
      </c>
      <c r="AM124" s="68">
        <v>0.0</v>
      </c>
      <c r="AN124" s="68">
        <v>0.0</v>
      </c>
      <c r="AO124" s="68">
        <v>5.33</v>
      </c>
      <c r="AP124" s="68">
        <v>0.0</v>
      </c>
      <c r="AQ124" s="68">
        <v>0.0</v>
      </c>
      <c r="AR124" s="68">
        <v>0.0</v>
      </c>
      <c r="AS124" s="68">
        <v>0.0</v>
      </c>
      <c r="AT124" s="68">
        <v>0.0</v>
      </c>
      <c r="AU124" s="68">
        <v>0.0</v>
      </c>
      <c r="AV124" s="68">
        <v>0.0</v>
      </c>
      <c r="AW124" s="68">
        <v>0.0</v>
      </c>
      <c r="AX124" s="68">
        <v>0.0</v>
      </c>
      <c r="AY124" s="68">
        <v>0.0</v>
      </c>
      <c r="AZ124" s="68">
        <v>0.0</v>
      </c>
      <c r="BA124" s="68">
        <v>0.0</v>
      </c>
      <c r="BB124" s="68">
        <v>5.33</v>
      </c>
      <c r="BC124" s="68" t="s">
        <v>106</v>
      </c>
      <c r="BD124" s="68"/>
      <c r="BG124" s="70">
        <v>-8.2</v>
      </c>
      <c r="BH124" s="68" t="s">
        <v>107</v>
      </c>
      <c r="BI124" s="68" t="s">
        <v>108</v>
      </c>
      <c r="BJ124" s="68" t="s">
        <v>109</v>
      </c>
      <c r="BK124" s="68" t="s">
        <v>333</v>
      </c>
      <c r="BM124" s="68"/>
      <c r="BN124" s="70" t="s">
        <v>111</v>
      </c>
      <c r="BO124" s="68" t="s">
        <v>112</v>
      </c>
      <c r="BP124" s="68" t="s">
        <v>113</v>
      </c>
      <c r="BQ124" s="68" t="s">
        <v>348</v>
      </c>
      <c r="BR124" s="68">
        <v>2.46</v>
      </c>
      <c r="BS124" s="68"/>
      <c r="BW124" s="64" t="str">
        <f>if(OR(F124="SALE",F124="REFUNDED"),IFERROR(Vlookup(I124,'Listing SKU - Fill SKU Mapping'!A:C,3,false),"Map"),"")</f>
        <v>Keystone</v>
      </c>
      <c r="BX124" s="64" t="str">
        <f>IF(OR(F124="SALE",F124="REFUNDED")=TRUE,iferror(Vlookup(I124,'Listing SKU - Fill SKU Mapping'!A:B,2,false),"Map"),"")</f>
        <v>45116S</v>
      </c>
      <c r="BY124" s="64">
        <f>IF(OR(F124="SALE",F124="REFUNDED")=TRUE,iferror(Vlookup(I124,'Listing SKU - Fill SKU Mapping'!A:D,4,false),"Map"),"")</f>
        <v>30.77</v>
      </c>
      <c r="BZ124" s="66">
        <f t="shared" si="1"/>
        <v>11.5</v>
      </c>
      <c r="CA124" s="66">
        <f t="shared" si="2"/>
        <v>42.27</v>
      </c>
      <c r="CB124" s="66">
        <f t="shared" si="3"/>
        <v>33.97</v>
      </c>
      <c r="CC124" s="64" t="str">
        <f>if(F124="REFUNDED",iferror(Vlookup(I124,'Listing SKU - Fill SKU Mapping'!A:B,2,false),"Map"),"")</f>
        <v/>
      </c>
      <c r="CD124" s="64" t="str">
        <f>if(F124="REFUNDED",iferror(Vlookup(I124,'Listing SKU - Fill SKU Mapping'!A:C,3,false),"Map"),"")</f>
        <v/>
      </c>
      <c r="CE124" s="64" t="str">
        <f t="shared" si="4"/>
        <v>2025</v>
      </c>
      <c r="CF124" s="64" t="str">
        <f t="shared" si="5"/>
        <v>July</v>
      </c>
      <c r="CG124" s="64" t="str">
        <f t="shared" si="6"/>
        <v/>
      </c>
    </row>
    <row r="125">
      <c r="A125" s="55">
        <v>2.0001E14</v>
      </c>
      <c r="B125" s="56">
        <v>2.0</v>
      </c>
      <c r="C125" s="57">
        <v>1.2902E14</v>
      </c>
      <c r="D125" s="58">
        <v>2.0</v>
      </c>
      <c r="F125" s="59" t="s">
        <v>100</v>
      </c>
      <c r="G125" s="60">
        <v>45859.0</v>
      </c>
      <c r="H125" s="58">
        <v>1.0</v>
      </c>
      <c r="I125" s="58" t="s">
        <v>349</v>
      </c>
      <c r="J125" s="61">
        <v>4.60776237428E11</v>
      </c>
      <c r="K125" s="63"/>
      <c r="L125" s="63"/>
      <c r="M125" s="63"/>
      <c r="N125" s="63"/>
      <c r="O125" s="63"/>
      <c r="P125" s="63"/>
      <c r="Q125" s="63"/>
      <c r="R125" s="63"/>
      <c r="S125" s="63"/>
      <c r="T125" s="58" t="s">
        <v>105</v>
      </c>
      <c r="U125" s="59">
        <v>87.43</v>
      </c>
      <c r="V125" s="59">
        <v>82.75</v>
      </c>
      <c r="W125" s="58">
        <v>6.23</v>
      </c>
      <c r="X125" s="58">
        <v>7.0</v>
      </c>
      <c r="Y125" s="68">
        <v>81.9</v>
      </c>
      <c r="Z125" s="69">
        <v>0.0</v>
      </c>
      <c r="AA125" s="68">
        <v>0.0</v>
      </c>
      <c r="AB125" s="68">
        <v>0.0</v>
      </c>
      <c r="AC125" s="68">
        <v>0.0</v>
      </c>
      <c r="AD125" s="68">
        <v>0.0</v>
      </c>
      <c r="AE125" s="68">
        <v>0.0</v>
      </c>
      <c r="AF125" s="68">
        <v>0.0</v>
      </c>
      <c r="AG125" s="68">
        <v>0.0</v>
      </c>
      <c r="AH125" s="68">
        <v>0.0</v>
      </c>
      <c r="AI125" s="68">
        <v>0.0</v>
      </c>
      <c r="AJ125" s="68">
        <v>0.0</v>
      </c>
      <c r="AK125" s="68">
        <v>0.0</v>
      </c>
      <c r="AL125" s="68">
        <v>0.0</v>
      </c>
      <c r="AM125" s="68">
        <v>0.0</v>
      </c>
      <c r="AN125" s="68">
        <v>0.0</v>
      </c>
      <c r="AO125" s="68">
        <v>5.53</v>
      </c>
      <c r="AP125" s="68">
        <v>0.0</v>
      </c>
      <c r="AQ125" s="68">
        <v>0.0</v>
      </c>
      <c r="AR125" s="68">
        <v>0.0</v>
      </c>
      <c r="AS125" s="68">
        <v>0.0</v>
      </c>
      <c r="AT125" s="68">
        <v>0.0</v>
      </c>
      <c r="AU125" s="68">
        <v>0.0</v>
      </c>
      <c r="AV125" s="68">
        <v>0.0</v>
      </c>
      <c r="AW125" s="68">
        <v>0.0</v>
      </c>
      <c r="AX125" s="68">
        <v>0.0</v>
      </c>
      <c r="AY125" s="68">
        <v>0.0</v>
      </c>
      <c r="AZ125" s="68">
        <v>0.0</v>
      </c>
      <c r="BA125" s="68">
        <v>0.0</v>
      </c>
      <c r="BB125" s="68">
        <v>5.53</v>
      </c>
      <c r="BC125" s="68" t="s">
        <v>106</v>
      </c>
      <c r="BD125" s="68"/>
      <c r="BF125" s="70">
        <v>88.98</v>
      </c>
      <c r="BG125" s="68">
        <v>-8.9</v>
      </c>
      <c r="BH125" s="68" t="s">
        <v>107</v>
      </c>
      <c r="BI125" s="68" t="s">
        <v>108</v>
      </c>
      <c r="BJ125" s="68" t="s">
        <v>109</v>
      </c>
      <c r="BK125" s="68" t="s">
        <v>346</v>
      </c>
      <c r="BM125" s="68"/>
      <c r="BN125" s="70" t="s">
        <v>111</v>
      </c>
      <c r="BO125" s="68" t="s">
        <v>112</v>
      </c>
      <c r="BP125" s="68" t="s">
        <v>113</v>
      </c>
      <c r="BQ125" s="68" t="s">
        <v>317</v>
      </c>
      <c r="BR125" s="68">
        <v>2.67</v>
      </c>
      <c r="BS125" s="68"/>
      <c r="BT125" s="70">
        <v>-7.08</v>
      </c>
      <c r="BU125" s="68" t="s">
        <v>318</v>
      </c>
      <c r="BW125" s="64" t="str">
        <f>if(OR(F125="SALE",F125="REFUNDED"),IFERROR(Vlookup(I125,'Listing SKU - Fill SKU Mapping'!A:C,3,false),"Map"),"")</f>
        <v>Keystone</v>
      </c>
      <c r="BX125" s="64" t="str">
        <f>IF(OR(F125="SALE",F125="REFUNDED")=TRUE,iferror(Vlookup(I125,'Listing SKU - Fill SKU Mapping'!A:B,2,false),"Map"),"")</f>
        <v>IMP66X</v>
      </c>
      <c r="BY125" s="64">
        <f>IF(OR(F125="SALE",F125="REFUNDED")=TRUE,iferror(Vlookup(I125,'Listing SKU - Fill SKU Mapping'!A:D,4,false),"Map"),"")</f>
        <v>37.08</v>
      </c>
      <c r="BZ125" s="66">
        <f t="shared" si="1"/>
        <v>11.5</v>
      </c>
      <c r="CA125" s="66">
        <f t="shared" si="2"/>
        <v>48.58</v>
      </c>
      <c r="CB125" s="66">
        <f t="shared" si="3"/>
        <v>34.17</v>
      </c>
      <c r="CC125" s="64" t="str">
        <f>if(F125="REFUNDED",iferror(Vlookup(I125,'Listing SKU - Fill SKU Mapping'!A:B,2,false),"Map"),"")</f>
        <v/>
      </c>
      <c r="CD125" s="64" t="str">
        <f>if(F125="REFUNDED",iferror(Vlookup(I125,'Listing SKU - Fill SKU Mapping'!A:C,3,false),"Map"),"")</f>
        <v/>
      </c>
      <c r="CE125" s="64" t="str">
        <f t="shared" si="4"/>
        <v>2025</v>
      </c>
      <c r="CF125" s="64" t="str">
        <f t="shared" si="5"/>
        <v>July</v>
      </c>
      <c r="CG125" s="64" t="str">
        <f t="shared" si="6"/>
        <v/>
      </c>
    </row>
    <row r="126">
      <c r="A126" s="55">
        <v>2.0001E14</v>
      </c>
      <c r="B126" s="56">
        <v>1.0</v>
      </c>
      <c r="C126" s="57">
        <v>1.0902E14</v>
      </c>
      <c r="D126" s="58">
        <v>1.0</v>
      </c>
      <c r="F126" s="59" t="s">
        <v>100</v>
      </c>
      <c r="G126" s="60">
        <v>45855.0</v>
      </c>
      <c r="H126" s="58">
        <v>1.0</v>
      </c>
      <c r="I126" s="58" t="s">
        <v>350</v>
      </c>
      <c r="J126" s="61">
        <v>4.671299282E11</v>
      </c>
      <c r="K126" s="63"/>
      <c r="L126" s="63"/>
      <c r="M126" s="63"/>
      <c r="N126" s="63"/>
      <c r="O126" s="63"/>
      <c r="P126" s="63"/>
      <c r="Q126" s="63"/>
      <c r="R126" s="63"/>
      <c r="S126" s="63"/>
      <c r="T126" s="58" t="s">
        <v>105</v>
      </c>
      <c r="U126" s="59">
        <v>111.26</v>
      </c>
      <c r="V126" s="59">
        <v>96.7</v>
      </c>
      <c r="W126" s="58">
        <v>7.28</v>
      </c>
      <c r="X126" s="58">
        <v>7.0</v>
      </c>
      <c r="Y126" s="68">
        <v>103.98</v>
      </c>
      <c r="Z126" s="69">
        <v>0.0</v>
      </c>
      <c r="AA126" s="68">
        <v>0.0</v>
      </c>
      <c r="AB126" s="68">
        <v>0.0</v>
      </c>
      <c r="AC126" s="68">
        <v>0.0</v>
      </c>
      <c r="AD126" s="68">
        <v>0.0</v>
      </c>
      <c r="AE126" s="68">
        <v>0.0</v>
      </c>
      <c r="AF126" s="68">
        <v>0.0</v>
      </c>
      <c r="AG126" s="68">
        <v>0.0</v>
      </c>
      <c r="AH126" s="68">
        <v>0.0</v>
      </c>
      <c r="AI126" s="68">
        <v>0.0</v>
      </c>
      <c r="AJ126" s="68">
        <v>0.0</v>
      </c>
      <c r="AK126" s="68">
        <v>0.0</v>
      </c>
      <c r="AL126" s="68">
        <v>0.0</v>
      </c>
      <c r="AM126" s="68">
        <v>0.0</v>
      </c>
      <c r="AN126" s="68">
        <v>0.0</v>
      </c>
      <c r="AO126" s="68">
        <v>7.28</v>
      </c>
      <c r="AP126" s="68">
        <v>0.0</v>
      </c>
      <c r="AQ126" s="68">
        <v>0.0</v>
      </c>
      <c r="AR126" s="68">
        <v>0.0</v>
      </c>
      <c r="AS126" s="68">
        <v>0.0</v>
      </c>
      <c r="AT126" s="68">
        <v>0.0</v>
      </c>
      <c r="AU126" s="68">
        <v>0.0</v>
      </c>
      <c r="AV126" s="68">
        <v>0.0</v>
      </c>
      <c r="AW126" s="68">
        <v>0.0</v>
      </c>
      <c r="AX126" s="68">
        <v>0.0</v>
      </c>
      <c r="AY126" s="68">
        <v>0.0</v>
      </c>
      <c r="AZ126" s="68">
        <v>0.0</v>
      </c>
      <c r="BA126" s="68">
        <v>0.0</v>
      </c>
      <c r="BB126" s="68">
        <v>7.28</v>
      </c>
      <c r="BC126" s="68" t="s">
        <v>106</v>
      </c>
      <c r="BD126" s="68"/>
      <c r="BG126" s="70">
        <v>-10.4</v>
      </c>
      <c r="BH126" s="68" t="s">
        <v>107</v>
      </c>
      <c r="BI126" s="68" t="s">
        <v>108</v>
      </c>
      <c r="BJ126" s="68" t="s">
        <v>109</v>
      </c>
      <c r="BK126" s="68" t="s">
        <v>339</v>
      </c>
      <c r="BM126" s="68"/>
      <c r="BN126" s="70" t="s">
        <v>111</v>
      </c>
      <c r="BO126" s="68" t="s">
        <v>112</v>
      </c>
      <c r="BP126" s="68" t="s">
        <v>113</v>
      </c>
      <c r="BQ126" s="68" t="s">
        <v>114</v>
      </c>
      <c r="BR126" s="68">
        <v>3.12</v>
      </c>
      <c r="BS126" s="68"/>
      <c r="BW126" s="64" t="str">
        <f>if(OR(F126="SALE",F126="REFUNDED"),IFERROR(Vlookup(I126,'Listing SKU - Fill SKU Mapping'!A:C,3,false),"Map"),"")</f>
        <v>Keystone</v>
      </c>
      <c r="BX126" s="64" t="str">
        <f>IF(OR(F126="SALE",F126="REFUNDED")=TRUE,iferror(Vlookup(I126,'Listing SKU - Fill SKU Mapping'!A:B,2,false),"Map"),"")</f>
        <v>47117C</v>
      </c>
      <c r="BY126" s="64">
        <f>IF(OR(F126="SALE",F126="REFUNDED")=TRUE,iferror(Vlookup(I126,'Listing SKU - Fill SKU Mapping'!A:D,4,false),"Map"),"")</f>
        <v>44.18</v>
      </c>
      <c r="BZ126" s="66">
        <f t="shared" si="1"/>
        <v>11.5</v>
      </c>
      <c r="CA126" s="66">
        <f t="shared" si="2"/>
        <v>55.68</v>
      </c>
      <c r="CB126" s="66">
        <f t="shared" si="3"/>
        <v>41.02</v>
      </c>
      <c r="CC126" s="64" t="str">
        <f>if(F126="REFUNDED",iferror(Vlookup(I126,'Listing SKU - Fill SKU Mapping'!A:B,2,false),"Map"),"")</f>
        <v/>
      </c>
      <c r="CD126" s="64" t="str">
        <f>if(F126="REFUNDED",iferror(Vlookup(I126,'Listing SKU - Fill SKU Mapping'!A:C,3,false),"Map"),"")</f>
        <v/>
      </c>
      <c r="CE126" s="64" t="str">
        <f t="shared" si="4"/>
        <v>2025</v>
      </c>
      <c r="CF126" s="64" t="str">
        <f t="shared" si="5"/>
        <v>July</v>
      </c>
      <c r="CG126" s="64" t="str">
        <f t="shared" si="6"/>
        <v/>
      </c>
    </row>
    <row r="127">
      <c r="A127" s="55">
        <v>2.0001E14</v>
      </c>
      <c r="B127" s="56">
        <v>3.0</v>
      </c>
      <c r="C127" s="57">
        <v>1.2902E14</v>
      </c>
      <c r="D127" s="58">
        <v>3.0</v>
      </c>
      <c r="F127" s="59" t="s">
        <v>100</v>
      </c>
      <c r="G127" s="60">
        <v>45856.0</v>
      </c>
      <c r="H127" s="58">
        <v>1.0</v>
      </c>
      <c r="I127" s="58" t="s">
        <v>351</v>
      </c>
      <c r="J127" s="61">
        <v>4.67129945542E11</v>
      </c>
      <c r="K127" s="63"/>
      <c r="L127" s="63"/>
      <c r="M127" s="63"/>
      <c r="N127" s="63"/>
      <c r="O127" s="63"/>
      <c r="P127" s="63"/>
      <c r="Q127" s="63"/>
      <c r="R127" s="63"/>
      <c r="S127" s="63"/>
      <c r="T127" s="58" t="s">
        <v>105</v>
      </c>
      <c r="U127" s="59">
        <v>105.17</v>
      </c>
      <c r="V127" s="59">
        <v>92.05</v>
      </c>
      <c r="W127" s="58">
        <v>6.93</v>
      </c>
      <c r="X127" s="58">
        <v>7.0</v>
      </c>
      <c r="Y127" s="68">
        <v>98.98</v>
      </c>
      <c r="Z127" s="69">
        <v>0.0</v>
      </c>
      <c r="AA127" s="68">
        <v>0.0</v>
      </c>
      <c r="AB127" s="68">
        <v>0.0</v>
      </c>
      <c r="AC127" s="68">
        <v>0.0</v>
      </c>
      <c r="AD127" s="68">
        <v>0.0</v>
      </c>
      <c r="AE127" s="68">
        <v>0.0</v>
      </c>
      <c r="AF127" s="68">
        <v>0.0</v>
      </c>
      <c r="AG127" s="68">
        <v>0.0</v>
      </c>
      <c r="AH127" s="68">
        <v>0.0</v>
      </c>
      <c r="AI127" s="68">
        <v>0.0</v>
      </c>
      <c r="AJ127" s="68">
        <v>0.0</v>
      </c>
      <c r="AK127" s="68">
        <v>0.0</v>
      </c>
      <c r="AL127" s="68">
        <v>0.0</v>
      </c>
      <c r="AM127" s="68">
        <v>0.0</v>
      </c>
      <c r="AN127" s="68">
        <v>0.0</v>
      </c>
      <c r="AO127" s="68">
        <v>6.19</v>
      </c>
      <c r="AP127" s="68">
        <v>0.0</v>
      </c>
      <c r="AQ127" s="68">
        <v>0.0</v>
      </c>
      <c r="AR127" s="68">
        <v>0.0</v>
      </c>
      <c r="AS127" s="68">
        <v>0.0</v>
      </c>
      <c r="AT127" s="68">
        <v>0.0</v>
      </c>
      <c r="AU127" s="68">
        <v>0.0</v>
      </c>
      <c r="AV127" s="68">
        <v>0.0</v>
      </c>
      <c r="AW127" s="68">
        <v>0.0</v>
      </c>
      <c r="AX127" s="68">
        <v>0.0</v>
      </c>
      <c r="AY127" s="68">
        <v>0.0</v>
      </c>
      <c r="AZ127" s="68">
        <v>0.0</v>
      </c>
      <c r="BA127" s="68">
        <v>0.0</v>
      </c>
      <c r="BB127" s="68">
        <v>6.19</v>
      </c>
      <c r="BC127" s="68" t="s">
        <v>106</v>
      </c>
      <c r="BD127" s="68"/>
      <c r="BG127" s="70">
        <v>-9.9</v>
      </c>
      <c r="BH127" s="68" t="s">
        <v>107</v>
      </c>
      <c r="BI127" s="68" t="s">
        <v>108</v>
      </c>
      <c r="BJ127" s="68" t="s">
        <v>109</v>
      </c>
      <c r="BK127" s="68" t="s">
        <v>346</v>
      </c>
      <c r="BM127" s="68"/>
      <c r="BN127" s="70" t="s">
        <v>111</v>
      </c>
      <c r="BO127" s="68" t="s">
        <v>112</v>
      </c>
      <c r="BP127" s="68" t="s">
        <v>113</v>
      </c>
      <c r="BQ127" s="68" t="s">
        <v>114</v>
      </c>
      <c r="BR127" s="68">
        <v>2.97</v>
      </c>
      <c r="BS127" s="68"/>
      <c r="BW127" s="64" t="str">
        <f>if(OR(F127="SALE",F127="REFUNDED"),IFERROR(Vlookup(I127,'Listing SKU - Fill SKU Mapping'!A:C,3,false),"Map"),"")</f>
        <v>Keystone</v>
      </c>
      <c r="BX127" s="64" t="str">
        <f>IF(OR(F127="SALE",F127="REFUNDED")=TRUE,iferror(Vlookup(I127,'Listing SKU - Fill SKU Mapping'!A:B,2,false),"Map"),"")</f>
        <v>52016SB</v>
      </c>
      <c r="BY127" s="64">
        <f>IF(OR(F127="SALE",F127="REFUNDED")=TRUE,iferror(Vlookup(I127,'Listing SKU - Fill SKU Mapping'!A:D,4,false),"Map"),"")</f>
        <v>41.42</v>
      </c>
      <c r="BZ127" s="66">
        <f t="shared" si="1"/>
        <v>11.5</v>
      </c>
      <c r="CA127" s="66">
        <f t="shared" si="2"/>
        <v>52.92</v>
      </c>
      <c r="CB127" s="66">
        <f t="shared" si="3"/>
        <v>39.13</v>
      </c>
      <c r="CC127" s="64" t="str">
        <f>if(F127="REFUNDED",iferror(Vlookup(I127,'Listing SKU - Fill SKU Mapping'!A:B,2,false),"Map"),"")</f>
        <v/>
      </c>
      <c r="CD127" s="64" t="str">
        <f>if(F127="REFUNDED",iferror(Vlookup(I127,'Listing SKU - Fill SKU Mapping'!A:C,3,false),"Map"),"")</f>
        <v/>
      </c>
      <c r="CE127" s="64" t="str">
        <f t="shared" si="4"/>
        <v>2025</v>
      </c>
      <c r="CF127" s="64" t="str">
        <f t="shared" si="5"/>
        <v>July</v>
      </c>
      <c r="CG127" s="64" t="str">
        <f t="shared" si="6"/>
        <v/>
      </c>
    </row>
    <row r="128">
      <c r="A128" s="55">
        <v>2.0001E14</v>
      </c>
      <c r="B128" s="56">
        <v>1.0</v>
      </c>
      <c r="C128" s="57">
        <v>1.2902E14</v>
      </c>
      <c r="D128" s="58">
        <v>1.0</v>
      </c>
      <c r="F128" s="59" t="s">
        <v>100</v>
      </c>
      <c r="G128" s="60">
        <v>45863.0</v>
      </c>
      <c r="H128" s="58">
        <v>1.0</v>
      </c>
      <c r="I128" s="58" t="s">
        <v>352</v>
      </c>
      <c r="J128" s="61">
        <v>4.60776230177E11</v>
      </c>
      <c r="K128" s="63"/>
      <c r="L128" s="63"/>
      <c r="M128" s="63"/>
      <c r="N128" s="63"/>
      <c r="O128" s="63"/>
      <c r="P128" s="63"/>
      <c r="Q128" s="63"/>
      <c r="R128" s="63"/>
      <c r="S128" s="63"/>
      <c r="T128" s="58" t="s">
        <v>105</v>
      </c>
      <c r="U128" s="59">
        <v>124.14</v>
      </c>
      <c r="V128" s="59">
        <v>105.07</v>
      </c>
      <c r="W128" s="58">
        <v>7.91</v>
      </c>
      <c r="X128" s="58">
        <v>7.0</v>
      </c>
      <c r="Y128" s="68">
        <v>112.98</v>
      </c>
      <c r="Z128" s="69">
        <v>0.0</v>
      </c>
      <c r="AA128" s="68">
        <v>0.0</v>
      </c>
      <c r="AB128" s="68">
        <v>0.0</v>
      </c>
      <c r="AC128" s="68">
        <v>0.0</v>
      </c>
      <c r="AD128" s="68">
        <v>0.0</v>
      </c>
      <c r="AE128" s="68">
        <v>0.0</v>
      </c>
      <c r="AF128" s="68">
        <v>0.0</v>
      </c>
      <c r="AG128" s="68">
        <v>0.0</v>
      </c>
      <c r="AH128" s="68">
        <v>0.0</v>
      </c>
      <c r="AI128" s="68">
        <v>0.0</v>
      </c>
      <c r="AJ128" s="68">
        <v>0.0</v>
      </c>
      <c r="AK128" s="68">
        <v>0.0</v>
      </c>
      <c r="AL128" s="68">
        <v>0.0</v>
      </c>
      <c r="AM128" s="68">
        <v>0.0</v>
      </c>
      <c r="AN128" s="68">
        <v>0.0</v>
      </c>
      <c r="AO128" s="68">
        <v>11.16</v>
      </c>
      <c r="AP128" s="68">
        <v>0.0</v>
      </c>
      <c r="AQ128" s="68">
        <v>0.0</v>
      </c>
      <c r="AR128" s="68">
        <v>0.0</v>
      </c>
      <c r="AS128" s="68">
        <v>0.0</v>
      </c>
      <c r="AT128" s="68">
        <v>0.0</v>
      </c>
      <c r="AU128" s="68">
        <v>0.0</v>
      </c>
      <c r="AV128" s="68">
        <v>0.0</v>
      </c>
      <c r="AW128" s="68">
        <v>0.0</v>
      </c>
      <c r="AX128" s="68">
        <v>0.0</v>
      </c>
      <c r="AY128" s="68">
        <v>0.0</v>
      </c>
      <c r="AZ128" s="68">
        <v>0.0</v>
      </c>
      <c r="BA128" s="68">
        <v>0.0</v>
      </c>
      <c r="BB128" s="68">
        <v>11.16</v>
      </c>
      <c r="BC128" s="68" t="s">
        <v>106</v>
      </c>
      <c r="BD128" s="68"/>
      <c r="BG128" s="70">
        <v>-11.3</v>
      </c>
      <c r="BH128" s="68" t="s">
        <v>107</v>
      </c>
      <c r="BI128" s="68" t="s">
        <v>108</v>
      </c>
      <c r="BJ128" s="68" t="s">
        <v>109</v>
      </c>
      <c r="BK128" s="68" t="s">
        <v>353</v>
      </c>
      <c r="BM128" s="68"/>
      <c r="BN128" s="70" t="s">
        <v>111</v>
      </c>
      <c r="BO128" s="68" t="s">
        <v>112</v>
      </c>
      <c r="BP128" s="68" t="s">
        <v>113</v>
      </c>
      <c r="BQ128" s="68" t="s">
        <v>114</v>
      </c>
      <c r="BR128" s="68">
        <v>3.39</v>
      </c>
      <c r="BS128" s="68"/>
      <c r="BW128" s="64" t="str">
        <f>if(OR(F128="SALE",F128="REFUNDED"),IFERROR(Vlookup(I128,'Listing SKU - Fill SKU Mapping'!A:C,3,false),"Map"),"")</f>
        <v>Keystone</v>
      </c>
      <c r="BX128" s="64" t="str">
        <f>IF(OR(F128="SALE",F128="REFUNDED")=TRUE,iferror(Vlookup(I128,'Listing SKU - Fill SKU Mapping'!A:B,2,false),"Map"),"")</f>
        <v>IMP434X</v>
      </c>
      <c r="BY128" s="64">
        <f>IF(OR(F128="SALE",F128="REFUNDED")=TRUE,iferror(Vlookup(I128,'Listing SKU - Fill SKU Mapping'!A:D,4,false),"Map"),"")</f>
        <v>52.47</v>
      </c>
      <c r="BZ128" s="66">
        <f t="shared" si="1"/>
        <v>11.5</v>
      </c>
      <c r="CA128" s="66">
        <f t="shared" si="2"/>
        <v>63.97</v>
      </c>
      <c r="CB128" s="66">
        <f t="shared" si="3"/>
        <v>41.1</v>
      </c>
      <c r="CC128" s="64" t="str">
        <f>if(F128="REFUNDED",iferror(Vlookup(I128,'Listing SKU - Fill SKU Mapping'!A:B,2,false),"Map"),"")</f>
        <v/>
      </c>
      <c r="CD128" s="64" t="str">
        <f>if(F128="REFUNDED",iferror(Vlookup(I128,'Listing SKU - Fill SKU Mapping'!A:C,3,false),"Map"),"")</f>
        <v/>
      </c>
      <c r="CE128" s="64" t="str">
        <f t="shared" si="4"/>
        <v>2025</v>
      </c>
      <c r="CF128" s="64" t="str">
        <f t="shared" si="5"/>
        <v>July</v>
      </c>
      <c r="CG128" s="64" t="str">
        <f t="shared" si="6"/>
        <v/>
      </c>
    </row>
    <row r="129">
      <c r="A129" s="55">
        <v>2.0001E14</v>
      </c>
      <c r="B129" s="56">
        <v>1.0</v>
      </c>
      <c r="C129" s="57">
        <v>1.0902E14</v>
      </c>
      <c r="D129" s="58">
        <v>1.0</v>
      </c>
      <c r="F129" s="59" t="s">
        <v>100</v>
      </c>
      <c r="G129" s="60">
        <v>45853.0</v>
      </c>
      <c r="H129" s="58">
        <v>4.0</v>
      </c>
      <c r="I129" s="58" t="s">
        <v>354</v>
      </c>
      <c r="J129" s="61">
        <v>4.6712995803E11</v>
      </c>
      <c r="K129" s="63"/>
      <c r="L129" s="63"/>
      <c r="M129" s="63"/>
      <c r="N129" s="63"/>
      <c r="O129" s="63"/>
      <c r="P129" s="63"/>
      <c r="Q129" s="63"/>
      <c r="R129" s="63"/>
      <c r="S129" s="63"/>
      <c r="T129" s="58" t="s">
        <v>105</v>
      </c>
      <c r="U129" s="59">
        <v>489.44</v>
      </c>
      <c r="V129" s="59">
        <v>476.09</v>
      </c>
      <c r="W129" s="58">
        <v>35.83</v>
      </c>
      <c r="X129" s="58">
        <v>7.0</v>
      </c>
      <c r="Y129" s="68">
        <v>463.92</v>
      </c>
      <c r="Z129" s="69">
        <v>0.0</v>
      </c>
      <c r="AA129" s="68">
        <v>0.0</v>
      </c>
      <c r="AB129" s="68">
        <v>0.0</v>
      </c>
      <c r="AC129" s="68">
        <v>0.0</v>
      </c>
      <c r="AD129" s="68">
        <v>0.0</v>
      </c>
      <c r="AE129" s="68">
        <v>0.0</v>
      </c>
      <c r="AF129" s="68">
        <v>0.0</v>
      </c>
      <c r="AG129" s="68">
        <v>0.0</v>
      </c>
      <c r="AH129" s="68">
        <v>0.0</v>
      </c>
      <c r="AI129" s="68">
        <v>0.0</v>
      </c>
      <c r="AJ129" s="68">
        <v>0.0</v>
      </c>
      <c r="AK129" s="68">
        <v>0.0</v>
      </c>
      <c r="AL129" s="68">
        <v>0.0</v>
      </c>
      <c r="AM129" s="68">
        <v>0.0</v>
      </c>
      <c r="AN129" s="68">
        <v>0.0</v>
      </c>
      <c r="AO129" s="68">
        <v>25.52</v>
      </c>
      <c r="AP129" s="68">
        <v>0.0</v>
      </c>
      <c r="AQ129" s="68">
        <v>0.0</v>
      </c>
      <c r="AR129" s="68">
        <v>0.0</v>
      </c>
      <c r="AS129" s="68">
        <v>0.0</v>
      </c>
      <c r="AT129" s="68">
        <v>0.0</v>
      </c>
      <c r="AU129" s="68">
        <v>0.0</v>
      </c>
      <c r="AV129" s="68">
        <v>0.0</v>
      </c>
      <c r="AW129" s="68">
        <v>0.0</v>
      </c>
      <c r="AX129" s="68">
        <v>0.0</v>
      </c>
      <c r="AY129" s="68">
        <v>0.0</v>
      </c>
      <c r="AZ129" s="68">
        <v>0.0</v>
      </c>
      <c r="BA129" s="68">
        <v>0.0</v>
      </c>
      <c r="BB129" s="68">
        <v>25.52</v>
      </c>
      <c r="BC129" s="68" t="s">
        <v>106</v>
      </c>
      <c r="BD129" s="68"/>
      <c r="BF129" s="70">
        <v>511.92</v>
      </c>
      <c r="BG129" s="68">
        <v>-51.19</v>
      </c>
      <c r="BH129" s="68" t="s">
        <v>107</v>
      </c>
      <c r="BI129" s="68" t="s">
        <v>108</v>
      </c>
      <c r="BJ129" s="68" t="s">
        <v>109</v>
      </c>
      <c r="BK129" s="68" t="s">
        <v>339</v>
      </c>
      <c r="BM129" s="68"/>
      <c r="BN129" s="70" t="s">
        <v>111</v>
      </c>
      <c r="BO129" s="68" t="s">
        <v>112</v>
      </c>
      <c r="BP129" s="68" t="s">
        <v>113</v>
      </c>
      <c r="BQ129" s="68" t="s">
        <v>317</v>
      </c>
      <c r="BR129" s="68">
        <v>15.36</v>
      </c>
      <c r="BS129" s="68"/>
      <c r="BT129" s="70">
        <v>-48.0</v>
      </c>
      <c r="BU129" s="68" t="s">
        <v>318</v>
      </c>
      <c r="BW129" s="64" t="str">
        <f>if(OR(F129="SALE",F129="REFUNDED"),IFERROR(Vlookup(I129,'Listing SKU - Fill SKU Mapping'!A:C,3,false),"Map"),"")</f>
        <v>Keystone</v>
      </c>
      <c r="BX129" s="64" t="str">
        <f>IF(OR(F129="SALE",F129="REFUNDED")=TRUE,iferror(Vlookup(I129,'Listing SKU - Fill SKU Mapping'!A:B,2,false),"Map"),"")</f>
        <v>43118BLK</v>
      </c>
      <c r="BY129" s="64">
        <f>IF(OR(F129="SALE",F129="REFUNDED")=TRUE,iferror(Vlookup(I129,'Listing SKU - Fill SKU Mapping'!A:D,4,false),"Map"),"")</f>
        <v>59.17</v>
      </c>
      <c r="BZ129" s="66">
        <f t="shared" si="1"/>
        <v>11.5</v>
      </c>
      <c r="CA129" s="66">
        <f t="shared" si="2"/>
        <v>70.67</v>
      </c>
      <c r="CB129" s="66">
        <f t="shared" si="3"/>
        <v>405.42</v>
      </c>
      <c r="CC129" s="64" t="str">
        <f>if(F129="REFUNDED",iferror(Vlookup(I129,'Listing SKU - Fill SKU Mapping'!A:B,2,false),"Map"),"")</f>
        <v/>
      </c>
      <c r="CD129" s="64" t="str">
        <f>if(F129="REFUNDED",iferror(Vlookup(I129,'Listing SKU - Fill SKU Mapping'!A:C,3,false),"Map"),"")</f>
        <v/>
      </c>
      <c r="CE129" s="64" t="str">
        <f t="shared" si="4"/>
        <v>2025</v>
      </c>
      <c r="CF129" s="64" t="str">
        <f t="shared" si="5"/>
        <v>July</v>
      </c>
      <c r="CG129" s="64" t="str">
        <f t="shared" si="6"/>
        <v/>
      </c>
    </row>
    <row r="130">
      <c r="A130" s="55">
        <v>2.0001E14</v>
      </c>
      <c r="B130" s="56">
        <v>11.0</v>
      </c>
      <c r="C130" s="57">
        <v>1.0902E14</v>
      </c>
      <c r="D130" s="58">
        <v>11.0</v>
      </c>
      <c r="F130" s="59" t="s">
        <v>100</v>
      </c>
      <c r="G130" s="60">
        <v>45854.0</v>
      </c>
      <c r="H130" s="58">
        <v>1.0</v>
      </c>
      <c r="I130" s="58" t="s">
        <v>355</v>
      </c>
      <c r="J130" s="61">
        <v>4.67129922918E11</v>
      </c>
      <c r="K130" s="63"/>
      <c r="L130" s="63"/>
      <c r="M130" s="63"/>
      <c r="N130" s="63"/>
      <c r="O130" s="63"/>
      <c r="P130" s="63"/>
      <c r="Q130" s="63"/>
      <c r="R130" s="63"/>
      <c r="S130" s="63"/>
      <c r="T130" s="58" t="s">
        <v>105</v>
      </c>
      <c r="U130" s="59">
        <v>87.16</v>
      </c>
      <c r="V130" s="59">
        <v>84.61</v>
      </c>
      <c r="W130" s="58">
        <v>6.37</v>
      </c>
      <c r="X130" s="58">
        <v>7.0</v>
      </c>
      <c r="Y130" s="68">
        <v>80.9</v>
      </c>
      <c r="Z130" s="69">
        <v>0.0</v>
      </c>
      <c r="AA130" s="68">
        <v>0.0</v>
      </c>
      <c r="AB130" s="68">
        <v>0.0</v>
      </c>
      <c r="AC130" s="68">
        <v>0.0</v>
      </c>
      <c r="AD130" s="68">
        <v>0.0</v>
      </c>
      <c r="AE130" s="68">
        <v>0.0</v>
      </c>
      <c r="AF130" s="68">
        <v>0.0</v>
      </c>
      <c r="AG130" s="68">
        <v>0.0</v>
      </c>
      <c r="AH130" s="68">
        <v>0.0</v>
      </c>
      <c r="AI130" s="68">
        <v>0.0</v>
      </c>
      <c r="AJ130" s="68">
        <v>0.0</v>
      </c>
      <c r="AK130" s="68">
        <v>0.0</v>
      </c>
      <c r="AL130" s="68">
        <v>0.0</v>
      </c>
      <c r="AM130" s="68">
        <v>0.0</v>
      </c>
      <c r="AN130" s="68">
        <v>0.0</v>
      </c>
      <c r="AO130" s="68">
        <v>6.26</v>
      </c>
      <c r="AP130" s="68">
        <v>0.0</v>
      </c>
      <c r="AQ130" s="68">
        <v>0.0</v>
      </c>
      <c r="AR130" s="68">
        <v>0.0</v>
      </c>
      <c r="AS130" s="68">
        <v>0.0</v>
      </c>
      <c r="AT130" s="68">
        <v>0.0</v>
      </c>
      <c r="AU130" s="68">
        <v>0.0</v>
      </c>
      <c r="AV130" s="68">
        <v>0.0</v>
      </c>
      <c r="AW130" s="68">
        <v>0.0</v>
      </c>
      <c r="AX130" s="68">
        <v>0.0</v>
      </c>
      <c r="AY130" s="68">
        <v>0.0</v>
      </c>
      <c r="AZ130" s="68">
        <v>0.0</v>
      </c>
      <c r="BA130" s="68">
        <v>0.0</v>
      </c>
      <c r="BB130" s="68">
        <v>6.26</v>
      </c>
      <c r="BC130" s="68" t="s">
        <v>106</v>
      </c>
      <c r="BD130" s="68"/>
      <c r="BF130" s="70">
        <v>90.98</v>
      </c>
      <c r="BG130" s="68">
        <v>-9.1</v>
      </c>
      <c r="BH130" s="68" t="s">
        <v>107</v>
      </c>
      <c r="BI130" s="68" t="s">
        <v>108</v>
      </c>
      <c r="BJ130" s="68" t="s">
        <v>109</v>
      </c>
      <c r="BK130" s="68" t="s">
        <v>333</v>
      </c>
      <c r="BM130" s="68"/>
      <c r="BN130" s="70" t="s">
        <v>111</v>
      </c>
      <c r="BO130" s="68" t="s">
        <v>112</v>
      </c>
      <c r="BP130" s="68" t="s">
        <v>113</v>
      </c>
      <c r="BQ130" s="68" t="s">
        <v>317</v>
      </c>
      <c r="BR130" s="68">
        <v>2.73</v>
      </c>
      <c r="BS130" s="68"/>
      <c r="BT130" s="70">
        <v>-10.08</v>
      </c>
      <c r="BU130" s="68" t="s">
        <v>318</v>
      </c>
      <c r="BW130" s="64" t="str">
        <f>if(OR(F130="SALE",F130="REFUNDED"),IFERROR(Vlookup(I130,'Listing SKU - Fill SKU Mapping'!A:C,3,false),"Map"),"")</f>
        <v>Keystone</v>
      </c>
      <c r="BX130" s="64" t="str">
        <f>IF(OR(F130="SALE",F130="REFUNDED")=TRUE,iferror(Vlookup(I130,'Listing SKU - Fill SKU Mapping'!A:B,2,false),"Map"),"")</f>
        <v>45717S</v>
      </c>
      <c r="BY130" s="64">
        <f>IF(OR(F130="SALE",F130="REFUNDED")=TRUE,iferror(Vlookup(I130,'Listing SKU - Fill SKU Mapping'!A:D,4,false),"Map"),"")</f>
        <v>36.69</v>
      </c>
      <c r="BZ130" s="66">
        <f t="shared" si="1"/>
        <v>11.5</v>
      </c>
      <c r="CA130" s="66">
        <f t="shared" si="2"/>
        <v>48.19</v>
      </c>
      <c r="CB130" s="66">
        <f t="shared" si="3"/>
        <v>36.42</v>
      </c>
      <c r="CC130" s="64" t="str">
        <f>if(F130="REFUNDED",iferror(Vlookup(I130,'Listing SKU - Fill SKU Mapping'!A:B,2,false),"Map"),"")</f>
        <v/>
      </c>
      <c r="CD130" s="64" t="str">
        <f>if(F130="REFUNDED",iferror(Vlookup(I130,'Listing SKU - Fill SKU Mapping'!A:C,3,false),"Map"),"")</f>
        <v/>
      </c>
      <c r="CE130" s="64" t="str">
        <f t="shared" si="4"/>
        <v>2025</v>
      </c>
      <c r="CF130" s="64" t="str">
        <f t="shared" si="5"/>
        <v>July</v>
      </c>
      <c r="CG130" s="64" t="str">
        <f t="shared" si="6"/>
        <v/>
      </c>
    </row>
    <row r="131">
      <c r="A131" s="55">
        <v>2.0001E14</v>
      </c>
      <c r="B131" s="56">
        <v>1.0</v>
      </c>
      <c r="C131" s="57">
        <v>1.0902E14</v>
      </c>
      <c r="D131" s="58">
        <v>1.0</v>
      </c>
      <c r="F131" s="59" t="s">
        <v>128</v>
      </c>
      <c r="G131" s="60">
        <v>45855.0</v>
      </c>
      <c r="H131" s="58">
        <v>1.0</v>
      </c>
      <c r="I131" s="58" t="s">
        <v>338</v>
      </c>
      <c r="J131" s="61">
        <v>4.6712993485E11</v>
      </c>
      <c r="K131" s="63"/>
      <c r="L131" s="63"/>
      <c r="M131" s="63"/>
      <c r="N131" s="63"/>
      <c r="O131" s="63"/>
      <c r="P131" s="63"/>
      <c r="Q131" s="63"/>
      <c r="R131" s="63"/>
      <c r="S131" s="63"/>
      <c r="U131" s="59">
        <v>-94.79</v>
      </c>
      <c r="V131" s="59">
        <v>-79.96</v>
      </c>
      <c r="W131" s="58">
        <v>-6.02</v>
      </c>
      <c r="X131" s="58">
        <v>0.0</v>
      </c>
      <c r="Y131" s="68">
        <v>0.0</v>
      </c>
      <c r="Z131" s="69">
        <v>-85.98</v>
      </c>
      <c r="AA131" s="68">
        <v>0.0</v>
      </c>
      <c r="AB131" s="68">
        <v>0.0</v>
      </c>
      <c r="AC131" s="68">
        <v>0.0</v>
      </c>
      <c r="AD131" s="68">
        <v>0.0</v>
      </c>
      <c r="AE131" s="68">
        <v>0.0</v>
      </c>
      <c r="AF131" s="68">
        <v>0.0</v>
      </c>
      <c r="AG131" s="68">
        <v>0.0</v>
      </c>
      <c r="AH131" s="68">
        <v>0.0</v>
      </c>
      <c r="AI131" s="68">
        <v>0.0</v>
      </c>
      <c r="AJ131" s="68">
        <v>0.0</v>
      </c>
      <c r="AK131" s="68">
        <v>0.0</v>
      </c>
      <c r="AL131" s="68">
        <v>0.0</v>
      </c>
      <c r="AM131" s="68">
        <v>0.0</v>
      </c>
      <c r="AN131" s="68">
        <v>0.0</v>
      </c>
      <c r="AO131" s="68">
        <v>0.0</v>
      </c>
      <c r="AP131" s="68">
        <v>0.0</v>
      </c>
      <c r="AQ131" s="68">
        <v>0.0</v>
      </c>
      <c r="AR131" s="68">
        <v>0.0</v>
      </c>
      <c r="AS131" s="68">
        <v>0.0</v>
      </c>
      <c r="AT131" s="68">
        <v>-8.81</v>
      </c>
      <c r="AU131" s="68">
        <v>0.0</v>
      </c>
      <c r="AV131" s="68">
        <v>0.0</v>
      </c>
      <c r="AW131" s="68">
        <v>0.0</v>
      </c>
      <c r="AX131" s="68">
        <v>0.0</v>
      </c>
      <c r="AY131" s="68">
        <v>0.0</v>
      </c>
      <c r="AZ131" s="68">
        <v>0.0</v>
      </c>
      <c r="BA131" s="68">
        <v>0.0</v>
      </c>
      <c r="BB131" s="68">
        <v>-8.81</v>
      </c>
      <c r="BC131" s="68" t="s">
        <v>106</v>
      </c>
      <c r="BD131" s="68" t="s">
        <v>156</v>
      </c>
      <c r="BE131" s="68">
        <v>5010.0</v>
      </c>
      <c r="BF131" s="68"/>
      <c r="BH131" s="70" t="s">
        <v>107</v>
      </c>
      <c r="BI131" s="68" t="s">
        <v>108</v>
      </c>
      <c r="BK131" s="68"/>
      <c r="BL131" s="70">
        <v>1010.0</v>
      </c>
      <c r="BM131" s="68" t="s">
        <v>204</v>
      </c>
      <c r="BN131" s="68" t="s">
        <v>111</v>
      </c>
      <c r="BO131" s="68" t="s">
        <v>112</v>
      </c>
      <c r="BQ131" s="68"/>
      <c r="BW131" s="64" t="str">
        <f>if(OR(F131="SALE",F131="REFUNDED"),IFERROR(Vlookup(I131,'Listing SKU - Fill SKU Mapping'!A:C,3,false),"Map"),"")</f>
        <v>Keystone</v>
      </c>
      <c r="BX131" s="64" t="str">
        <f>IF(OR(F131="SALE",F131="REFUNDED")=TRUE,iferror(Vlookup(I131,'Listing SKU - Fill SKU Mapping'!A:B,2,false),"Map"),"")</f>
        <v>54216BLK</v>
      </c>
      <c r="BY131" s="64">
        <f>IF(OR(F131="SALE",F131="REFUNDED")=TRUE,iferror(Vlookup(I131,'Listing SKU - Fill SKU Mapping'!A:D,4,false),"Map"),"")</f>
        <v>33.14</v>
      </c>
      <c r="BZ131" s="66">
        <f t="shared" si="1"/>
        <v>11.5</v>
      </c>
      <c r="CA131" s="66">
        <f t="shared" si="2"/>
        <v>44.64</v>
      </c>
      <c r="CB131" s="64" t="str">
        <f t="shared" si="3"/>
        <v/>
      </c>
      <c r="CC131" s="64" t="str">
        <f>if(F131="REFUNDED",iferror(Vlookup(I131,'Listing SKU - Fill SKU Mapping'!A:B,2,false),"Map"),"")</f>
        <v>54216BLK</v>
      </c>
      <c r="CD131" s="64" t="str">
        <f>if(F131="REFUNDED",iferror(Vlookup(I131,'Listing SKU - Fill SKU Mapping'!A:C,3,false),"Map"),"")</f>
        <v>Keystone</v>
      </c>
      <c r="CE131" s="64" t="str">
        <f t="shared" si="4"/>
        <v>2025</v>
      </c>
      <c r="CF131" s="64" t="str">
        <f t="shared" si="5"/>
        <v>July</v>
      </c>
      <c r="CG131" s="64" t="str">
        <f t="shared" si="6"/>
        <v/>
      </c>
    </row>
    <row r="132">
      <c r="A132" s="55">
        <v>2.0001E14</v>
      </c>
      <c r="B132" s="56">
        <v>1.0</v>
      </c>
      <c r="C132" s="57">
        <v>1.0902E14</v>
      </c>
      <c r="D132" s="58">
        <v>1.0</v>
      </c>
      <c r="F132" s="59" t="s">
        <v>100</v>
      </c>
      <c r="G132" s="60">
        <v>45852.0</v>
      </c>
      <c r="H132" s="58">
        <v>1.0</v>
      </c>
      <c r="I132" s="58" t="s">
        <v>356</v>
      </c>
      <c r="J132" s="61">
        <v>4.60776239804E11</v>
      </c>
      <c r="K132" s="63"/>
      <c r="L132" s="63"/>
      <c r="M132" s="63"/>
      <c r="N132" s="63"/>
      <c r="O132" s="63"/>
      <c r="P132" s="63"/>
      <c r="Q132" s="63"/>
      <c r="R132" s="63"/>
      <c r="S132" s="63"/>
      <c r="T132" s="58" t="s">
        <v>105</v>
      </c>
      <c r="U132" s="59">
        <v>119.86</v>
      </c>
      <c r="V132" s="59">
        <v>103.21</v>
      </c>
      <c r="W132" s="58">
        <v>7.77</v>
      </c>
      <c r="X132" s="58">
        <v>7.0</v>
      </c>
      <c r="Y132" s="68">
        <v>110.98</v>
      </c>
      <c r="Z132" s="69">
        <v>0.0</v>
      </c>
      <c r="AA132" s="68">
        <v>0.0</v>
      </c>
      <c r="AB132" s="68">
        <v>0.0</v>
      </c>
      <c r="AC132" s="68">
        <v>0.0</v>
      </c>
      <c r="AD132" s="68">
        <v>0.0</v>
      </c>
      <c r="AE132" s="68">
        <v>0.0</v>
      </c>
      <c r="AF132" s="68">
        <v>0.0</v>
      </c>
      <c r="AG132" s="68">
        <v>0.0</v>
      </c>
      <c r="AH132" s="68">
        <v>0.0</v>
      </c>
      <c r="AI132" s="68">
        <v>0.0</v>
      </c>
      <c r="AJ132" s="68">
        <v>0.0</v>
      </c>
      <c r="AK132" s="68">
        <v>0.0</v>
      </c>
      <c r="AL132" s="68">
        <v>0.0</v>
      </c>
      <c r="AM132" s="68">
        <v>0.0</v>
      </c>
      <c r="AN132" s="68">
        <v>0.0</v>
      </c>
      <c r="AO132" s="68">
        <v>8.88</v>
      </c>
      <c r="AP132" s="68">
        <v>0.0</v>
      </c>
      <c r="AQ132" s="68">
        <v>0.0</v>
      </c>
      <c r="AR132" s="68">
        <v>0.0</v>
      </c>
      <c r="AS132" s="68">
        <v>0.0</v>
      </c>
      <c r="AT132" s="68">
        <v>0.0</v>
      </c>
      <c r="AU132" s="68">
        <v>0.0</v>
      </c>
      <c r="AV132" s="68">
        <v>0.0</v>
      </c>
      <c r="AW132" s="68">
        <v>0.0</v>
      </c>
      <c r="AX132" s="68">
        <v>0.0</v>
      </c>
      <c r="AY132" s="68">
        <v>0.0</v>
      </c>
      <c r="AZ132" s="68">
        <v>0.0</v>
      </c>
      <c r="BA132" s="68">
        <v>0.0</v>
      </c>
      <c r="BB132" s="68">
        <v>8.88</v>
      </c>
      <c r="BC132" s="68" t="s">
        <v>106</v>
      </c>
      <c r="BD132" s="68"/>
      <c r="BG132" s="70">
        <v>-11.1</v>
      </c>
      <c r="BH132" s="68" t="s">
        <v>107</v>
      </c>
      <c r="BI132" s="68" t="s">
        <v>108</v>
      </c>
      <c r="BJ132" s="68" t="s">
        <v>109</v>
      </c>
      <c r="BK132" s="68" t="s">
        <v>339</v>
      </c>
      <c r="BM132" s="68"/>
      <c r="BN132" s="70" t="s">
        <v>111</v>
      </c>
      <c r="BO132" s="68" t="s">
        <v>112</v>
      </c>
      <c r="BP132" s="68" t="s">
        <v>113</v>
      </c>
      <c r="BQ132" s="68" t="s">
        <v>114</v>
      </c>
      <c r="BR132" s="68">
        <v>3.33</v>
      </c>
      <c r="BS132" s="68"/>
      <c r="BW132" s="64" t="str">
        <f>if(OR(F132="SALE",F132="REFUNDED"),IFERROR(Vlookup(I132,'Listing SKU - Fill SKU Mapping'!A:C,3,false),"Map"),"")</f>
        <v>Keystone</v>
      </c>
      <c r="BX132" s="64" t="str">
        <f>IF(OR(F132="SALE",F132="REFUNDED")=TRUE,iferror(Vlookup(I132,'Listing SKU - Fill SKU Mapping'!A:B,2,false),"Map"),"")</f>
        <v>IMP96BLK</v>
      </c>
      <c r="BY132" s="64">
        <f>IF(OR(F132="SALE",F132="REFUNDED")=TRUE,iferror(Vlookup(I132,'Listing SKU - Fill SKU Mapping'!A:D,4,false),"Map"),"")</f>
        <v>51.28</v>
      </c>
      <c r="BZ132" s="66">
        <f t="shared" si="1"/>
        <v>11.5</v>
      </c>
      <c r="CA132" s="66">
        <f t="shared" si="2"/>
        <v>62.78</v>
      </c>
      <c r="CB132" s="66">
        <f t="shared" si="3"/>
        <v>40.43</v>
      </c>
      <c r="CC132" s="64" t="str">
        <f>if(F132="REFUNDED",iferror(Vlookup(I132,'Listing SKU - Fill SKU Mapping'!A:B,2,false),"Map"),"")</f>
        <v/>
      </c>
      <c r="CD132" s="64" t="str">
        <f>if(F132="REFUNDED",iferror(Vlookup(I132,'Listing SKU - Fill SKU Mapping'!A:C,3,false),"Map"),"")</f>
        <v/>
      </c>
      <c r="CE132" s="64" t="str">
        <f t="shared" si="4"/>
        <v>2025</v>
      </c>
      <c r="CF132" s="64" t="str">
        <f t="shared" si="5"/>
        <v>July</v>
      </c>
      <c r="CG132" s="64" t="str">
        <f t="shared" si="6"/>
        <v/>
      </c>
    </row>
    <row r="133">
      <c r="A133" s="55">
        <v>2.0001E14</v>
      </c>
      <c r="B133" s="56">
        <v>1.0</v>
      </c>
      <c r="C133" s="57">
        <v>1.2902E14</v>
      </c>
      <c r="D133" s="58">
        <v>1.0</v>
      </c>
      <c r="F133" s="59" t="s">
        <v>100</v>
      </c>
      <c r="G133" s="60">
        <v>45859.0</v>
      </c>
      <c r="H133" s="58">
        <v>1.0</v>
      </c>
      <c r="I133" s="58" t="s">
        <v>357</v>
      </c>
      <c r="J133" s="61">
        <v>4.66885096215E11</v>
      </c>
      <c r="K133" s="63"/>
      <c r="L133" s="63"/>
      <c r="M133" s="63"/>
      <c r="N133" s="63"/>
      <c r="O133" s="63"/>
      <c r="P133" s="63"/>
      <c r="Q133" s="63"/>
      <c r="R133" s="63"/>
      <c r="S133" s="63"/>
      <c r="T133" s="58" t="s">
        <v>105</v>
      </c>
      <c r="U133" s="59">
        <v>113.4</v>
      </c>
      <c r="V133" s="59">
        <v>110.65</v>
      </c>
      <c r="W133" s="58">
        <v>8.33</v>
      </c>
      <c r="X133" s="58">
        <v>7.0</v>
      </c>
      <c r="Y133" s="68">
        <v>106.98</v>
      </c>
      <c r="Z133" s="69">
        <v>0.0</v>
      </c>
      <c r="AA133" s="68">
        <v>0.0</v>
      </c>
      <c r="AB133" s="68">
        <v>0.0</v>
      </c>
      <c r="AC133" s="68">
        <v>0.0</v>
      </c>
      <c r="AD133" s="68">
        <v>0.0</v>
      </c>
      <c r="AE133" s="68">
        <v>0.0</v>
      </c>
      <c r="AF133" s="68">
        <v>0.0</v>
      </c>
      <c r="AG133" s="68">
        <v>0.0</v>
      </c>
      <c r="AH133" s="68">
        <v>0.0</v>
      </c>
      <c r="AI133" s="68">
        <v>0.0</v>
      </c>
      <c r="AJ133" s="68">
        <v>0.0</v>
      </c>
      <c r="AK133" s="68">
        <v>0.0</v>
      </c>
      <c r="AL133" s="68">
        <v>0.0</v>
      </c>
      <c r="AM133" s="68">
        <v>0.0</v>
      </c>
      <c r="AN133" s="68">
        <v>0.0</v>
      </c>
      <c r="AO133" s="68">
        <v>6.42</v>
      </c>
      <c r="AP133" s="68">
        <v>0.0</v>
      </c>
      <c r="AQ133" s="68">
        <v>0.0</v>
      </c>
      <c r="AR133" s="68">
        <v>0.0</v>
      </c>
      <c r="AS133" s="68">
        <v>0.0</v>
      </c>
      <c r="AT133" s="68">
        <v>0.0</v>
      </c>
      <c r="AU133" s="68">
        <v>0.0</v>
      </c>
      <c r="AV133" s="68">
        <v>0.0</v>
      </c>
      <c r="AW133" s="68">
        <v>0.0</v>
      </c>
      <c r="AX133" s="68">
        <v>0.0</v>
      </c>
      <c r="AY133" s="68">
        <v>0.0</v>
      </c>
      <c r="AZ133" s="68">
        <v>0.0</v>
      </c>
      <c r="BA133" s="68">
        <v>0.0</v>
      </c>
      <c r="BB133" s="68">
        <v>6.42</v>
      </c>
      <c r="BC133" s="68" t="s">
        <v>106</v>
      </c>
      <c r="BD133" s="68"/>
      <c r="BF133" s="70">
        <v>118.98</v>
      </c>
      <c r="BG133" s="68">
        <v>-11.9</v>
      </c>
      <c r="BH133" s="68" t="s">
        <v>107</v>
      </c>
      <c r="BI133" s="68" t="s">
        <v>108</v>
      </c>
      <c r="BJ133" s="68" t="s">
        <v>109</v>
      </c>
      <c r="BK133" s="68" t="s">
        <v>346</v>
      </c>
      <c r="BM133" s="68"/>
      <c r="BN133" s="70" t="s">
        <v>111</v>
      </c>
      <c r="BO133" s="68" t="s">
        <v>112</v>
      </c>
      <c r="BP133" s="68" t="s">
        <v>113</v>
      </c>
      <c r="BQ133" s="68" t="s">
        <v>317</v>
      </c>
      <c r="BR133" s="68">
        <v>3.57</v>
      </c>
      <c r="BS133" s="68"/>
      <c r="BT133" s="70">
        <v>-12.0</v>
      </c>
      <c r="BU133" s="68" t="s">
        <v>318</v>
      </c>
      <c r="BW133" s="64" t="str">
        <f>if(OR(F133="SALE",F133="REFUNDED"),IFERROR(Vlookup(I133,'Listing SKU - Fill SKU Mapping'!A:C,3,false),"Map"),"")</f>
        <v>Keystone</v>
      </c>
      <c r="BX133" s="64" t="str">
        <f>IF(OR(F133="SALE",F133="REFUNDED")=TRUE,iferror(Vlookup(I133,'Listing SKU - Fill SKU Mapping'!A:B,2,false),"Map"),"")</f>
        <v>55815C</v>
      </c>
      <c r="BY133" s="64">
        <f>IF(OR(F133="SALE",F133="REFUNDED")=TRUE,iferror(Vlookup(I133,'Listing SKU - Fill SKU Mapping'!A:D,4,false),"Map"),"")</f>
        <v>53.65</v>
      </c>
      <c r="BZ133" s="66">
        <f t="shared" si="1"/>
        <v>11.5</v>
      </c>
      <c r="CA133" s="66">
        <f t="shared" si="2"/>
        <v>65.15</v>
      </c>
      <c r="CB133" s="66">
        <f t="shared" si="3"/>
        <v>45.5</v>
      </c>
      <c r="CC133" s="64" t="str">
        <f>if(F133="REFUNDED",iferror(Vlookup(I133,'Listing SKU - Fill SKU Mapping'!A:B,2,false),"Map"),"")</f>
        <v/>
      </c>
      <c r="CD133" s="64" t="str">
        <f>if(F133="REFUNDED",iferror(Vlookup(I133,'Listing SKU - Fill SKU Mapping'!A:C,3,false),"Map"),"")</f>
        <v/>
      </c>
      <c r="CE133" s="64" t="str">
        <f t="shared" si="4"/>
        <v>2025</v>
      </c>
      <c r="CF133" s="64" t="str">
        <f t="shared" si="5"/>
        <v>July</v>
      </c>
      <c r="CG133" s="64" t="str">
        <f t="shared" si="6"/>
        <v/>
      </c>
    </row>
    <row r="134">
      <c r="A134" s="55">
        <v>2.0001E14</v>
      </c>
      <c r="B134" s="56">
        <v>1.0</v>
      </c>
      <c r="C134" s="57">
        <v>1.0902E14</v>
      </c>
      <c r="D134" s="58">
        <v>1.0</v>
      </c>
      <c r="F134" s="59" t="s">
        <v>128</v>
      </c>
      <c r="G134" s="60">
        <v>45848.0</v>
      </c>
      <c r="H134" s="58">
        <v>1.0</v>
      </c>
      <c r="I134" s="58" t="s">
        <v>321</v>
      </c>
      <c r="J134" s="61">
        <v>4.60776235141E11</v>
      </c>
      <c r="K134" s="63"/>
      <c r="L134" s="63"/>
      <c r="M134" s="63"/>
      <c r="N134" s="63"/>
      <c r="O134" s="63"/>
      <c r="P134" s="63"/>
      <c r="Q134" s="63"/>
      <c r="R134" s="63"/>
      <c r="S134" s="63"/>
      <c r="U134" s="59">
        <v>-124.1</v>
      </c>
      <c r="V134" s="59">
        <v>-107.86</v>
      </c>
      <c r="W134" s="58">
        <v>-8.12</v>
      </c>
      <c r="X134" s="58">
        <v>0.0</v>
      </c>
      <c r="Y134" s="68">
        <v>0.0</v>
      </c>
      <c r="Z134" s="69">
        <v>-115.98</v>
      </c>
      <c r="AA134" s="68">
        <v>0.0</v>
      </c>
      <c r="AB134" s="68">
        <v>0.0</v>
      </c>
      <c r="AC134" s="68">
        <v>0.0</v>
      </c>
      <c r="AD134" s="68">
        <v>0.0</v>
      </c>
      <c r="AE134" s="68">
        <v>0.0</v>
      </c>
      <c r="AF134" s="68">
        <v>0.0</v>
      </c>
      <c r="AG134" s="68">
        <v>0.0</v>
      </c>
      <c r="AH134" s="68">
        <v>0.0</v>
      </c>
      <c r="AI134" s="68">
        <v>0.0</v>
      </c>
      <c r="AJ134" s="68">
        <v>0.0</v>
      </c>
      <c r="AK134" s="68">
        <v>0.0</v>
      </c>
      <c r="AL134" s="68">
        <v>0.0</v>
      </c>
      <c r="AM134" s="68">
        <v>0.0</v>
      </c>
      <c r="AN134" s="68">
        <v>0.0</v>
      </c>
      <c r="AO134" s="68">
        <v>0.0</v>
      </c>
      <c r="AP134" s="68">
        <v>0.0</v>
      </c>
      <c r="AQ134" s="68">
        <v>0.0</v>
      </c>
      <c r="AR134" s="68">
        <v>0.0</v>
      </c>
      <c r="AS134" s="68">
        <v>0.0</v>
      </c>
      <c r="AT134" s="68">
        <v>-8.12</v>
      </c>
      <c r="AU134" s="68">
        <v>0.0</v>
      </c>
      <c r="AV134" s="68">
        <v>0.0</v>
      </c>
      <c r="AW134" s="68">
        <v>0.0</v>
      </c>
      <c r="AX134" s="68">
        <v>0.0</v>
      </c>
      <c r="AY134" s="68">
        <v>0.0</v>
      </c>
      <c r="AZ134" s="68">
        <v>0.0</v>
      </c>
      <c r="BA134" s="68">
        <v>0.0</v>
      </c>
      <c r="BB134" s="68">
        <v>-8.12</v>
      </c>
      <c r="BC134" s="68" t="s">
        <v>106</v>
      </c>
      <c r="BD134" s="68" t="s">
        <v>156</v>
      </c>
      <c r="BE134" s="68">
        <v>5010.0</v>
      </c>
      <c r="BF134" s="68"/>
      <c r="BH134" s="70" t="s">
        <v>107</v>
      </c>
      <c r="BI134" s="68" t="s">
        <v>108</v>
      </c>
      <c r="BK134" s="68"/>
      <c r="BL134" s="70">
        <v>1000.0</v>
      </c>
      <c r="BM134" s="68" t="s">
        <v>130</v>
      </c>
      <c r="BN134" s="68" t="s">
        <v>111</v>
      </c>
      <c r="BO134" s="68" t="s">
        <v>112</v>
      </c>
      <c r="BQ134" s="68"/>
      <c r="BW134" s="64" t="str">
        <f>if(OR(F134="SALE",F134="REFUNDED"),IFERROR(Vlookup(I134,'Listing SKU - Fill SKU Mapping'!A:C,3,false),"Map"),"")</f>
        <v>Keystone</v>
      </c>
      <c r="BX134" s="64" t="str">
        <f>IF(OR(F134="SALE",F134="REFUNDED")=TRUE,iferror(Vlookup(I134,'Listing SKU - Fill SKU Mapping'!A:B,2,false),"Map"),"")</f>
        <v>IMP64GBLK</v>
      </c>
      <c r="BY134" s="64">
        <f>IF(OR(F134="SALE",F134="REFUNDED")=TRUE,iferror(Vlookup(I134,'Listing SKU - Fill SKU Mapping'!A:D,4,false),"Map"),"")</f>
        <v>54.44</v>
      </c>
      <c r="BZ134" s="66">
        <f t="shared" si="1"/>
        <v>11.5</v>
      </c>
      <c r="CA134" s="66">
        <f t="shared" si="2"/>
        <v>65.94</v>
      </c>
      <c r="CB134" s="64" t="str">
        <f t="shared" si="3"/>
        <v/>
      </c>
      <c r="CC134" s="64" t="str">
        <f>if(F134="REFUNDED",iferror(Vlookup(I134,'Listing SKU - Fill SKU Mapping'!A:B,2,false),"Map"),"")</f>
        <v>IMP64GBLK</v>
      </c>
      <c r="CD134" s="64" t="str">
        <f>if(F134="REFUNDED",iferror(Vlookup(I134,'Listing SKU - Fill SKU Mapping'!A:C,3,false),"Map"),"")</f>
        <v>Keystone</v>
      </c>
      <c r="CE134" s="64" t="str">
        <f t="shared" si="4"/>
        <v>2025</v>
      </c>
      <c r="CF134" s="64" t="str">
        <f t="shared" si="5"/>
        <v>July</v>
      </c>
      <c r="CG134" s="64" t="str">
        <f t="shared" si="6"/>
        <v/>
      </c>
    </row>
    <row r="135">
      <c r="A135" s="55">
        <v>2.0001E14</v>
      </c>
      <c r="B135" s="56">
        <v>1.0</v>
      </c>
      <c r="C135" s="57">
        <v>1.2902E14</v>
      </c>
      <c r="D135" s="58">
        <v>1.0</v>
      </c>
      <c r="F135" s="59" t="s">
        <v>100</v>
      </c>
      <c r="G135" s="60">
        <v>45861.0</v>
      </c>
      <c r="H135" s="58">
        <v>1.0</v>
      </c>
      <c r="I135" s="58" t="s">
        <v>220</v>
      </c>
      <c r="J135" s="61">
        <v>4.60776238135E11</v>
      </c>
      <c r="K135" s="63"/>
      <c r="L135" s="63"/>
      <c r="M135" s="63"/>
      <c r="N135" s="63"/>
      <c r="O135" s="63"/>
      <c r="P135" s="63"/>
      <c r="Q135" s="63"/>
      <c r="R135" s="63"/>
      <c r="S135" s="63"/>
      <c r="T135" s="58" t="s">
        <v>105</v>
      </c>
      <c r="U135" s="59">
        <v>107.29</v>
      </c>
      <c r="V135" s="59">
        <v>102.28</v>
      </c>
      <c r="W135" s="58">
        <v>7.7</v>
      </c>
      <c r="X135" s="58">
        <v>7.0</v>
      </c>
      <c r="Y135" s="68">
        <v>99.9</v>
      </c>
      <c r="Z135" s="69">
        <v>0.0</v>
      </c>
      <c r="AA135" s="68">
        <v>0.0</v>
      </c>
      <c r="AB135" s="68">
        <v>0.0</v>
      </c>
      <c r="AC135" s="68">
        <v>0.0</v>
      </c>
      <c r="AD135" s="68">
        <v>0.0</v>
      </c>
      <c r="AE135" s="68">
        <v>0.0</v>
      </c>
      <c r="AF135" s="68">
        <v>0.0</v>
      </c>
      <c r="AG135" s="68">
        <v>0.0</v>
      </c>
      <c r="AH135" s="68">
        <v>0.0</v>
      </c>
      <c r="AI135" s="68">
        <v>0.0</v>
      </c>
      <c r="AJ135" s="68">
        <v>0.0</v>
      </c>
      <c r="AK135" s="68">
        <v>0.0</v>
      </c>
      <c r="AL135" s="68">
        <v>0.0</v>
      </c>
      <c r="AM135" s="68">
        <v>0.0</v>
      </c>
      <c r="AN135" s="68">
        <v>0.0</v>
      </c>
      <c r="AO135" s="68">
        <v>7.39</v>
      </c>
      <c r="AP135" s="68">
        <v>0.0</v>
      </c>
      <c r="AQ135" s="68">
        <v>0.0</v>
      </c>
      <c r="AR135" s="68">
        <v>0.0</v>
      </c>
      <c r="AS135" s="68">
        <v>0.0</v>
      </c>
      <c r="AT135" s="68">
        <v>0.0</v>
      </c>
      <c r="AU135" s="68">
        <v>0.0</v>
      </c>
      <c r="AV135" s="68">
        <v>0.0</v>
      </c>
      <c r="AW135" s="68">
        <v>0.0</v>
      </c>
      <c r="AX135" s="68">
        <v>0.0</v>
      </c>
      <c r="AY135" s="68">
        <v>0.0</v>
      </c>
      <c r="AZ135" s="68">
        <v>0.0</v>
      </c>
      <c r="BA135" s="68">
        <v>0.0</v>
      </c>
      <c r="BB135" s="68">
        <v>7.39</v>
      </c>
      <c r="BC135" s="68" t="s">
        <v>106</v>
      </c>
      <c r="BD135" s="68"/>
      <c r="BF135" s="70">
        <v>109.98</v>
      </c>
      <c r="BG135" s="68">
        <v>-11.0</v>
      </c>
      <c r="BH135" s="68" t="s">
        <v>107</v>
      </c>
      <c r="BI135" s="68" t="s">
        <v>108</v>
      </c>
      <c r="BJ135" s="68" t="s">
        <v>109</v>
      </c>
      <c r="BK135" s="68" t="s">
        <v>346</v>
      </c>
      <c r="BM135" s="68"/>
      <c r="BN135" s="70" t="s">
        <v>111</v>
      </c>
      <c r="BO135" s="68" t="s">
        <v>112</v>
      </c>
      <c r="BP135" s="68" t="s">
        <v>113</v>
      </c>
      <c r="BQ135" s="68" t="s">
        <v>317</v>
      </c>
      <c r="BR135" s="68">
        <v>3.3</v>
      </c>
      <c r="BS135" s="68"/>
      <c r="BT135" s="70">
        <v>-10.08</v>
      </c>
      <c r="BU135" s="68" t="s">
        <v>318</v>
      </c>
      <c r="BW135" s="64" t="str">
        <f>if(OR(F135="SALE",F135="REFUNDED"),IFERROR(Vlookup(I135,'Listing SKU - Fill SKU Mapping'!A:C,3,false),"Map"),"")</f>
        <v>Keystone</v>
      </c>
      <c r="BX135" s="64" t="str">
        <f>IF(OR(F135="SALE",F135="REFUNDED")=TRUE,iferror(Vlookup(I135,'Listing SKU - Fill SKU Mapping'!A:B,2,false),"Map"),"")</f>
        <v>IMP409BLK</v>
      </c>
      <c r="BY135" s="64">
        <f>IF(OR(F135="SALE",F135="REFUNDED")=TRUE,iferror(Vlookup(I135,'Listing SKU - Fill SKU Mapping'!A:D,4,false),"Map"),"")</f>
        <v>50.49</v>
      </c>
      <c r="BZ135" s="66">
        <f t="shared" si="1"/>
        <v>11.5</v>
      </c>
      <c r="CA135" s="66">
        <f t="shared" si="2"/>
        <v>61.99</v>
      </c>
      <c r="CB135" s="66">
        <f t="shared" si="3"/>
        <v>40.29</v>
      </c>
      <c r="CC135" s="64" t="str">
        <f>if(F135="REFUNDED",iferror(Vlookup(I135,'Listing SKU - Fill SKU Mapping'!A:B,2,false),"Map"),"")</f>
        <v/>
      </c>
      <c r="CD135" s="64" t="str">
        <f>if(F135="REFUNDED",iferror(Vlookup(I135,'Listing SKU - Fill SKU Mapping'!A:C,3,false),"Map"),"")</f>
        <v/>
      </c>
      <c r="CE135" s="64" t="str">
        <f t="shared" si="4"/>
        <v>2025</v>
      </c>
      <c r="CF135" s="64" t="str">
        <f t="shared" si="5"/>
        <v>July</v>
      </c>
      <c r="CG135" s="64" t="str">
        <f t="shared" si="6"/>
        <v/>
      </c>
    </row>
    <row r="136">
      <c r="A136" s="55">
        <v>2.0001E14</v>
      </c>
      <c r="B136" s="56">
        <v>1.0</v>
      </c>
      <c r="C136" s="57">
        <v>1.0902E14</v>
      </c>
      <c r="D136" s="58">
        <v>1.0</v>
      </c>
      <c r="F136" s="59" t="s">
        <v>158</v>
      </c>
      <c r="G136" s="60">
        <v>45858.0</v>
      </c>
      <c r="H136" s="58">
        <v>1.0</v>
      </c>
      <c r="I136" s="58" t="s">
        <v>279</v>
      </c>
      <c r="J136" s="61">
        <v>4.67129950768E11</v>
      </c>
      <c r="K136" s="63"/>
      <c r="L136" s="63"/>
      <c r="M136" s="63"/>
      <c r="N136" s="63"/>
      <c r="O136" s="63"/>
      <c r="P136" s="63"/>
      <c r="Q136" s="63"/>
      <c r="R136" s="63"/>
      <c r="S136" s="63"/>
      <c r="T136" s="58" t="s">
        <v>105</v>
      </c>
      <c r="U136" s="59">
        <v>0.0</v>
      </c>
      <c r="V136" s="59">
        <v>-8.89</v>
      </c>
      <c r="W136" s="58">
        <v>0.0</v>
      </c>
      <c r="X136" s="58">
        <v>0.0</v>
      </c>
      <c r="Y136" s="70">
        <v>0.0</v>
      </c>
      <c r="Z136" s="69">
        <v>0.0</v>
      </c>
      <c r="AA136" s="68">
        <v>0.0</v>
      </c>
      <c r="AB136" s="68">
        <v>0.0</v>
      </c>
      <c r="AC136" s="68">
        <v>0.0</v>
      </c>
      <c r="AD136" s="68">
        <v>0.0</v>
      </c>
      <c r="AE136" s="68">
        <v>0.0</v>
      </c>
      <c r="AF136" s="68">
        <v>0.0</v>
      </c>
      <c r="AG136" s="68">
        <v>0.0</v>
      </c>
      <c r="AH136" s="68">
        <v>0.0</v>
      </c>
      <c r="AI136" s="68">
        <v>0.0</v>
      </c>
      <c r="AJ136" s="68">
        <v>0.0</v>
      </c>
      <c r="AK136" s="68">
        <v>0.0</v>
      </c>
      <c r="AL136" s="68">
        <v>0.0</v>
      </c>
      <c r="AM136" s="68">
        <v>0.0</v>
      </c>
      <c r="AN136" s="68">
        <v>0.0</v>
      </c>
      <c r="AO136" s="68">
        <v>0.0</v>
      </c>
      <c r="AP136" s="68">
        <v>0.0</v>
      </c>
      <c r="AQ136" s="68">
        <v>0.0</v>
      </c>
      <c r="AR136" s="68">
        <v>0.0</v>
      </c>
      <c r="AS136" s="68">
        <v>0.0</v>
      </c>
      <c r="AT136" s="68">
        <v>0.0</v>
      </c>
      <c r="AU136" s="68">
        <v>0.0</v>
      </c>
      <c r="AV136" s="68">
        <v>0.0</v>
      </c>
      <c r="AW136" s="68">
        <v>0.0</v>
      </c>
      <c r="AX136" s="68">
        <v>0.0</v>
      </c>
      <c r="AY136" s="68">
        <v>0.0</v>
      </c>
      <c r="AZ136" s="68">
        <v>0.0</v>
      </c>
      <c r="BA136" s="68">
        <v>0.0</v>
      </c>
      <c r="BB136" s="68">
        <v>0.0</v>
      </c>
      <c r="BC136" s="68" t="s">
        <v>106</v>
      </c>
      <c r="BD136" s="68" t="s">
        <v>163</v>
      </c>
      <c r="BE136" s="68">
        <v>5013.0</v>
      </c>
      <c r="BF136" s="68"/>
      <c r="BH136" s="70" t="s">
        <v>107</v>
      </c>
      <c r="BI136" s="68" t="s">
        <v>108</v>
      </c>
      <c r="BK136" s="68"/>
      <c r="BN136" s="70" t="s">
        <v>111</v>
      </c>
      <c r="BO136" s="68" t="s">
        <v>112</v>
      </c>
      <c r="BQ136" s="68"/>
      <c r="BW136" s="64" t="str">
        <f>if(OR(F136="SALE",F136="REFUNDED"),IFERROR(Vlookup(I136,'Listing SKU - Fill SKU Mapping'!A:C,3,false),"Map"),"")</f>
        <v/>
      </c>
      <c r="BX136" s="64" t="str">
        <f>IF(OR(F136="SALE",F136="REFUNDED")=TRUE,iferror(Vlookup(I136,'Listing SKU - Fill SKU Mapping'!A:B,2,false),"Map"),"")</f>
        <v/>
      </c>
      <c r="BY136" s="64" t="str">
        <f>IF(OR(F136="SALE",F136="REFUNDED")=TRUE,iferror(Vlookup(I136,'Listing SKU - Fill SKU Mapping'!A:D,4,false),"Map"),"")</f>
        <v/>
      </c>
      <c r="BZ136" s="66" t="str">
        <f t="shared" si="1"/>
        <v/>
      </c>
      <c r="CA136" s="64" t="str">
        <f t="shared" si="2"/>
        <v/>
      </c>
      <c r="CB136" s="64" t="str">
        <f t="shared" si="3"/>
        <v/>
      </c>
      <c r="CC136" s="64" t="str">
        <f>if(F136="REFUNDED",iferror(Vlookup(I136,'Listing SKU - Fill SKU Mapping'!A:B,2,false),"Map"),"")</f>
        <v/>
      </c>
      <c r="CD136" s="64" t="str">
        <f>if(F136="REFUNDED",iferror(Vlookup(I136,'Listing SKU - Fill SKU Mapping'!A:C,3,false),"Map"),"")</f>
        <v/>
      </c>
      <c r="CE136" s="64" t="str">
        <f t="shared" si="4"/>
        <v>2025</v>
      </c>
      <c r="CF136" s="64" t="str">
        <f t="shared" si="5"/>
        <v>July</v>
      </c>
      <c r="CG136" s="64" t="str">
        <f t="shared" si="6"/>
        <v/>
      </c>
    </row>
    <row r="137">
      <c r="A137" s="55">
        <v>2.0001E14</v>
      </c>
      <c r="B137" s="56">
        <v>3.0</v>
      </c>
      <c r="C137" s="57">
        <v>1.2902E14</v>
      </c>
      <c r="D137" s="58">
        <v>3.0</v>
      </c>
      <c r="F137" s="59" t="s">
        <v>100</v>
      </c>
      <c r="G137" s="60">
        <v>45862.0</v>
      </c>
      <c r="H137" s="58">
        <v>1.0</v>
      </c>
      <c r="I137" s="58" t="s">
        <v>311</v>
      </c>
      <c r="J137" s="61">
        <v>4.67129941919E11</v>
      </c>
      <c r="K137" s="63"/>
      <c r="L137" s="63"/>
      <c r="M137" s="63"/>
      <c r="N137" s="63"/>
      <c r="O137" s="63"/>
      <c r="P137" s="63"/>
      <c r="Q137" s="63"/>
      <c r="R137" s="63"/>
      <c r="S137" s="63"/>
      <c r="T137" s="58" t="s">
        <v>105</v>
      </c>
      <c r="U137" s="59">
        <v>82.08</v>
      </c>
      <c r="V137" s="59">
        <v>71.59</v>
      </c>
      <c r="W137" s="58">
        <v>5.39</v>
      </c>
      <c r="X137" s="58">
        <v>7.0</v>
      </c>
      <c r="Y137" s="68">
        <v>76.98</v>
      </c>
      <c r="Z137" s="69">
        <v>0.0</v>
      </c>
      <c r="AA137" s="68">
        <v>0.0</v>
      </c>
      <c r="AB137" s="68">
        <v>0.0</v>
      </c>
      <c r="AC137" s="68">
        <v>0.0</v>
      </c>
      <c r="AD137" s="68">
        <v>0.0</v>
      </c>
      <c r="AE137" s="68">
        <v>0.0</v>
      </c>
      <c r="AF137" s="68">
        <v>0.0</v>
      </c>
      <c r="AG137" s="68">
        <v>0.0</v>
      </c>
      <c r="AH137" s="68">
        <v>0.0</v>
      </c>
      <c r="AI137" s="68">
        <v>0.0</v>
      </c>
      <c r="AJ137" s="68">
        <v>0.0</v>
      </c>
      <c r="AK137" s="68">
        <v>0.0</v>
      </c>
      <c r="AL137" s="68">
        <v>0.0</v>
      </c>
      <c r="AM137" s="68">
        <v>0.0</v>
      </c>
      <c r="AN137" s="68">
        <v>0.0</v>
      </c>
      <c r="AO137" s="68">
        <v>5.1</v>
      </c>
      <c r="AP137" s="68">
        <v>0.0</v>
      </c>
      <c r="AQ137" s="68">
        <v>0.0</v>
      </c>
      <c r="AR137" s="68">
        <v>0.0</v>
      </c>
      <c r="AS137" s="68">
        <v>0.0</v>
      </c>
      <c r="AT137" s="68">
        <v>0.0</v>
      </c>
      <c r="AU137" s="68">
        <v>0.0</v>
      </c>
      <c r="AV137" s="68">
        <v>0.0</v>
      </c>
      <c r="AW137" s="68">
        <v>0.0</v>
      </c>
      <c r="AX137" s="68">
        <v>0.0</v>
      </c>
      <c r="AY137" s="68">
        <v>0.0</v>
      </c>
      <c r="AZ137" s="68">
        <v>0.0</v>
      </c>
      <c r="BA137" s="68">
        <v>0.0</v>
      </c>
      <c r="BB137" s="68">
        <v>5.1</v>
      </c>
      <c r="BC137" s="68" t="s">
        <v>106</v>
      </c>
      <c r="BD137" s="68"/>
      <c r="BG137" s="70">
        <v>-7.7</v>
      </c>
      <c r="BH137" s="68" t="s">
        <v>107</v>
      </c>
      <c r="BI137" s="68" t="s">
        <v>108</v>
      </c>
      <c r="BJ137" s="68" t="s">
        <v>109</v>
      </c>
      <c r="BK137" s="68" t="s">
        <v>346</v>
      </c>
      <c r="BM137" s="68"/>
      <c r="BN137" s="70" t="s">
        <v>111</v>
      </c>
      <c r="BO137" s="68" t="s">
        <v>112</v>
      </c>
      <c r="BP137" s="68" t="s">
        <v>113</v>
      </c>
      <c r="BQ137" s="68" t="s">
        <v>114</v>
      </c>
      <c r="BR137" s="68">
        <v>2.31</v>
      </c>
      <c r="BS137" s="68"/>
      <c r="BW137" s="64" t="str">
        <f>if(OR(F137="SALE",F137="REFUNDED"),IFERROR(Vlookup(I137,'Listing SKU - Fill SKU Mapping'!A:C,3,false),"Map"),"")</f>
        <v>Keystone</v>
      </c>
      <c r="BX137" s="64" t="str">
        <f>IF(OR(F137="SALE",F137="REFUNDED")=TRUE,iferror(Vlookup(I137,'Listing SKU - Fill SKU Mapping'!A:B,2,false),"Map"),"")</f>
        <v>51416S</v>
      </c>
      <c r="BY137" s="64">
        <f>IF(OR(F137="SALE",F137="REFUNDED")=TRUE,iferror(Vlookup(I137,'Listing SKU - Fill SKU Mapping'!A:D,4,false),"Map"),"")</f>
        <v>28.01</v>
      </c>
      <c r="BZ137" s="66">
        <f t="shared" si="1"/>
        <v>11.5</v>
      </c>
      <c r="CA137" s="66">
        <f t="shared" si="2"/>
        <v>39.51</v>
      </c>
      <c r="CB137" s="66">
        <f t="shared" si="3"/>
        <v>32.08</v>
      </c>
      <c r="CC137" s="64" t="str">
        <f>if(F137="REFUNDED",iferror(Vlookup(I137,'Listing SKU - Fill SKU Mapping'!A:B,2,false),"Map"),"")</f>
        <v/>
      </c>
      <c r="CD137" s="64" t="str">
        <f>if(F137="REFUNDED",iferror(Vlookup(I137,'Listing SKU - Fill SKU Mapping'!A:C,3,false),"Map"),"")</f>
        <v/>
      </c>
      <c r="CE137" s="64" t="str">
        <f t="shared" si="4"/>
        <v>2025</v>
      </c>
      <c r="CF137" s="64" t="str">
        <f t="shared" si="5"/>
        <v>July</v>
      </c>
      <c r="CG137" s="64" t="str">
        <f t="shared" si="6"/>
        <v/>
      </c>
    </row>
    <row r="138">
      <c r="A138" s="55">
        <v>2.0001E14</v>
      </c>
      <c r="B138" s="56">
        <v>1.0</v>
      </c>
      <c r="C138" s="57">
        <v>1.0902E14</v>
      </c>
      <c r="D138" s="58">
        <v>1.0</v>
      </c>
      <c r="F138" s="59" t="s">
        <v>100</v>
      </c>
      <c r="G138" s="60">
        <v>45853.0</v>
      </c>
      <c r="H138" s="58">
        <v>1.0</v>
      </c>
      <c r="I138" s="58" t="s">
        <v>358</v>
      </c>
      <c r="J138" s="61">
        <v>4.67129917587E11</v>
      </c>
      <c r="K138" s="63"/>
      <c r="L138" s="63"/>
      <c r="M138" s="63"/>
      <c r="N138" s="63"/>
      <c r="O138" s="63"/>
      <c r="P138" s="63"/>
      <c r="Q138" s="63"/>
      <c r="R138" s="63"/>
      <c r="S138" s="63"/>
      <c r="T138" s="58" t="s">
        <v>105</v>
      </c>
      <c r="U138" s="59">
        <v>83.7</v>
      </c>
      <c r="V138" s="59">
        <v>73.45</v>
      </c>
      <c r="W138" s="58">
        <v>5.53</v>
      </c>
      <c r="X138" s="58">
        <v>7.0</v>
      </c>
      <c r="Y138" s="68">
        <v>78.98</v>
      </c>
      <c r="Z138" s="69">
        <v>0.0</v>
      </c>
      <c r="AA138" s="68">
        <v>0.0</v>
      </c>
      <c r="AB138" s="68">
        <v>0.0</v>
      </c>
      <c r="AC138" s="68">
        <v>0.0</v>
      </c>
      <c r="AD138" s="68">
        <v>0.0</v>
      </c>
      <c r="AE138" s="68">
        <v>0.0</v>
      </c>
      <c r="AF138" s="68">
        <v>0.0</v>
      </c>
      <c r="AG138" s="68">
        <v>0.0</v>
      </c>
      <c r="AH138" s="68">
        <v>0.0</v>
      </c>
      <c r="AI138" s="68">
        <v>0.0</v>
      </c>
      <c r="AJ138" s="68">
        <v>0.0</v>
      </c>
      <c r="AK138" s="68">
        <v>0.0</v>
      </c>
      <c r="AL138" s="68">
        <v>0.0</v>
      </c>
      <c r="AM138" s="68">
        <v>0.0</v>
      </c>
      <c r="AN138" s="68">
        <v>0.0</v>
      </c>
      <c r="AO138" s="68">
        <v>4.72</v>
      </c>
      <c r="AP138" s="68">
        <v>0.0</v>
      </c>
      <c r="AQ138" s="68">
        <v>0.0</v>
      </c>
      <c r="AR138" s="68">
        <v>0.0</v>
      </c>
      <c r="AS138" s="68">
        <v>0.0</v>
      </c>
      <c r="AT138" s="68">
        <v>0.0</v>
      </c>
      <c r="AU138" s="68">
        <v>0.0</v>
      </c>
      <c r="AV138" s="68">
        <v>0.0</v>
      </c>
      <c r="AW138" s="68">
        <v>0.0</v>
      </c>
      <c r="AX138" s="68">
        <v>0.0</v>
      </c>
      <c r="AY138" s="68">
        <v>0.0</v>
      </c>
      <c r="AZ138" s="68">
        <v>0.0</v>
      </c>
      <c r="BA138" s="68">
        <v>0.0</v>
      </c>
      <c r="BB138" s="68">
        <v>4.72</v>
      </c>
      <c r="BC138" s="68" t="s">
        <v>106</v>
      </c>
      <c r="BD138" s="68"/>
      <c r="BG138" s="70">
        <v>-7.9</v>
      </c>
      <c r="BH138" s="68" t="s">
        <v>107</v>
      </c>
      <c r="BI138" s="68" t="s">
        <v>108</v>
      </c>
      <c r="BJ138" s="68" t="s">
        <v>109</v>
      </c>
      <c r="BK138" s="68" t="s">
        <v>339</v>
      </c>
      <c r="BM138" s="68"/>
      <c r="BN138" s="70" t="s">
        <v>111</v>
      </c>
      <c r="BO138" s="68" t="s">
        <v>112</v>
      </c>
      <c r="BP138" s="68" t="s">
        <v>113</v>
      </c>
      <c r="BQ138" s="68" t="s">
        <v>114</v>
      </c>
      <c r="BR138" s="68">
        <v>2.37</v>
      </c>
      <c r="BS138" s="68"/>
      <c r="BW138" s="64" t="str">
        <f>if(OR(F138="SALE",F138="REFUNDED"),IFERROR(Vlookup(I138,'Listing SKU - Fill SKU Mapping'!A:C,3,false),"Map"),"")</f>
        <v>Keystone</v>
      </c>
      <c r="BX138" s="64" t="str">
        <f>IF(OR(F138="SALE",F138="REFUNDED")=TRUE,iferror(Vlookup(I138,'Listing SKU - Fill SKU Mapping'!A:B,2,false),"Map"),"")</f>
        <v>54316S</v>
      </c>
      <c r="BY138" s="64">
        <f>IF(OR(F138="SALE",F138="REFUNDED")=TRUE,iferror(Vlookup(I138,'Listing SKU - Fill SKU Mapping'!A:D,4,false),"Map"),"")</f>
        <v>28.72</v>
      </c>
      <c r="BZ138" s="66">
        <f t="shared" si="1"/>
        <v>11.5</v>
      </c>
      <c r="CA138" s="66">
        <f t="shared" si="2"/>
        <v>40.22</v>
      </c>
      <c r="CB138" s="66">
        <f t="shared" si="3"/>
        <v>33.23</v>
      </c>
      <c r="CC138" s="64" t="str">
        <f>if(F138="REFUNDED",iferror(Vlookup(I138,'Listing SKU - Fill SKU Mapping'!A:B,2,false),"Map"),"")</f>
        <v/>
      </c>
      <c r="CD138" s="64" t="str">
        <f>if(F138="REFUNDED",iferror(Vlookup(I138,'Listing SKU - Fill SKU Mapping'!A:C,3,false),"Map"),"")</f>
        <v/>
      </c>
      <c r="CE138" s="64" t="str">
        <f t="shared" si="4"/>
        <v>2025</v>
      </c>
      <c r="CF138" s="64" t="str">
        <f t="shared" si="5"/>
        <v>July</v>
      </c>
      <c r="CG138" s="64" t="str">
        <f t="shared" si="6"/>
        <v/>
      </c>
    </row>
    <row r="139">
      <c r="A139" s="55">
        <v>2.0001E14</v>
      </c>
      <c r="B139" s="56">
        <v>1.0</v>
      </c>
      <c r="C139" s="57">
        <v>1.2902E14</v>
      </c>
      <c r="D139" s="58">
        <v>1.0</v>
      </c>
      <c r="F139" s="59" t="s">
        <v>100</v>
      </c>
      <c r="G139" s="60">
        <v>45863.0</v>
      </c>
      <c r="H139" s="58">
        <v>1.0</v>
      </c>
      <c r="I139" s="58" t="s">
        <v>159</v>
      </c>
      <c r="J139" s="61">
        <v>4.60776234854E11</v>
      </c>
      <c r="K139" s="63"/>
      <c r="L139" s="63"/>
      <c r="M139" s="63"/>
      <c r="N139" s="63"/>
      <c r="O139" s="63"/>
      <c r="P139" s="63"/>
      <c r="Q139" s="63"/>
      <c r="R139" s="63"/>
      <c r="S139" s="63"/>
      <c r="T139" s="58" t="s">
        <v>105</v>
      </c>
      <c r="U139" s="59">
        <v>107.15</v>
      </c>
      <c r="V139" s="59">
        <v>92.05</v>
      </c>
      <c r="W139" s="58">
        <v>6.93</v>
      </c>
      <c r="X139" s="58">
        <v>7.0</v>
      </c>
      <c r="Y139" s="68">
        <v>98.98</v>
      </c>
      <c r="Z139" s="69">
        <v>0.0</v>
      </c>
      <c r="AA139" s="68">
        <v>0.0</v>
      </c>
      <c r="AB139" s="68">
        <v>0.0</v>
      </c>
      <c r="AC139" s="68">
        <v>0.0</v>
      </c>
      <c r="AD139" s="68">
        <v>0.0</v>
      </c>
      <c r="AE139" s="68">
        <v>0.0</v>
      </c>
      <c r="AF139" s="68">
        <v>0.0</v>
      </c>
      <c r="AG139" s="68">
        <v>0.0</v>
      </c>
      <c r="AH139" s="68">
        <v>0.0</v>
      </c>
      <c r="AI139" s="68">
        <v>0.0</v>
      </c>
      <c r="AJ139" s="68">
        <v>0.0</v>
      </c>
      <c r="AK139" s="68">
        <v>0.0</v>
      </c>
      <c r="AL139" s="68">
        <v>0.0</v>
      </c>
      <c r="AM139" s="68">
        <v>0.0</v>
      </c>
      <c r="AN139" s="68">
        <v>0.0</v>
      </c>
      <c r="AO139" s="68">
        <v>8.17</v>
      </c>
      <c r="AP139" s="68">
        <v>0.0</v>
      </c>
      <c r="AQ139" s="68">
        <v>0.0</v>
      </c>
      <c r="AR139" s="68">
        <v>0.0</v>
      </c>
      <c r="AS139" s="68">
        <v>0.0</v>
      </c>
      <c r="AT139" s="68">
        <v>0.0</v>
      </c>
      <c r="AU139" s="68">
        <v>0.0</v>
      </c>
      <c r="AV139" s="68">
        <v>0.0</v>
      </c>
      <c r="AW139" s="68">
        <v>0.0</v>
      </c>
      <c r="AX139" s="68">
        <v>0.0</v>
      </c>
      <c r="AY139" s="68">
        <v>0.0</v>
      </c>
      <c r="AZ139" s="68">
        <v>0.0</v>
      </c>
      <c r="BA139" s="68">
        <v>0.0</v>
      </c>
      <c r="BB139" s="68">
        <v>8.17</v>
      </c>
      <c r="BC139" s="68" t="s">
        <v>106</v>
      </c>
      <c r="BD139" s="68"/>
      <c r="BG139" s="70">
        <v>-9.9</v>
      </c>
      <c r="BH139" s="68" t="s">
        <v>107</v>
      </c>
      <c r="BI139" s="68" t="s">
        <v>108</v>
      </c>
      <c r="BJ139" s="68" t="s">
        <v>109</v>
      </c>
      <c r="BK139" s="68" t="s">
        <v>353</v>
      </c>
      <c r="BM139" s="68"/>
      <c r="BN139" s="70" t="s">
        <v>111</v>
      </c>
      <c r="BO139" s="68" t="s">
        <v>112</v>
      </c>
      <c r="BP139" s="68" t="s">
        <v>113</v>
      </c>
      <c r="BQ139" s="68" t="s">
        <v>114</v>
      </c>
      <c r="BR139" s="68">
        <v>2.97</v>
      </c>
      <c r="BS139" s="68"/>
      <c r="BW139" s="64" t="str">
        <f>if(OR(F139="SALE",F139="REFUNDED"),IFERROR(Vlookup(I139,'Listing SKU - Fill SKU Mapping'!A:C,3,false),"Map"),"")</f>
        <v>Keystone</v>
      </c>
      <c r="BX139" s="64" t="str">
        <f>IF(OR(F139="SALE",F139="REFUNDED")=TRUE,iferror(Vlookup(I139,'Listing SKU - Fill SKU Mapping'!A:B,2,false),"Map"),"")</f>
        <v>IMP371BLK</v>
      </c>
      <c r="BY139" s="64">
        <f>IF(OR(F139="SALE",F139="REFUNDED")=TRUE,iferror(Vlookup(I139,'Listing SKU - Fill SKU Mapping'!A:D,4,false),"Map"),"")</f>
        <v>43.79</v>
      </c>
      <c r="BZ139" s="66">
        <f t="shared" si="1"/>
        <v>11.5</v>
      </c>
      <c r="CA139" s="66">
        <f t="shared" si="2"/>
        <v>55.29</v>
      </c>
      <c r="CB139" s="66">
        <f t="shared" si="3"/>
        <v>36.76</v>
      </c>
      <c r="CC139" s="64" t="str">
        <f>if(F139="REFUNDED",iferror(Vlookup(I139,'Listing SKU - Fill SKU Mapping'!A:B,2,false),"Map"),"")</f>
        <v/>
      </c>
      <c r="CD139" s="64" t="str">
        <f>if(F139="REFUNDED",iferror(Vlookup(I139,'Listing SKU - Fill SKU Mapping'!A:C,3,false),"Map"),"")</f>
        <v/>
      </c>
      <c r="CE139" s="64" t="str">
        <f t="shared" si="4"/>
        <v>2025</v>
      </c>
      <c r="CF139" s="64" t="str">
        <f t="shared" si="5"/>
        <v>July</v>
      </c>
      <c r="CG139" s="64" t="str">
        <f t="shared" si="6"/>
        <v/>
      </c>
    </row>
    <row r="140">
      <c r="A140" s="55">
        <v>2.0001E14</v>
      </c>
      <c r="B140" s="56">
        <v>1.0</v>
      </c>
      <c r="C140" s="57">
        <v>1.0902E14</v>
      </c>
      <c r="D140" s="58">
        <v>1.0</v>
      </c>
      <c r="F140" s="59" t="s">
        <v>100</v>
      </c>
      <c r="G140" s="60">
        <v>45852.0</v>
      </c>
      <c r="H140" s="58">
        <v>1.0</v>
      </c>
      <c r="I140" s="58" t="s">
        <v>328</v>
      </c>
      <c r="J140" s="61">
        <v>4.67129950621E11</v>
      </c>
      <c r="K140" s="63"/>
      <c r="L140" s="63"/>
      <c r="M140" s="63"/>
      <c r="N140" s="63"/>
      <c r="O140" s="63"/>
      <c r="P140" s="63"/>
      <c r="Q140" s="63"/>
      <c r="R140" s="63"/>
      <c r="S140" s="63"/>
      <c r="T140" s="58" t="s">
        <v>105</v>
      </c>
      <c r="U140" s="59">
        <v>80.37</v>
      </c>
      <c r="V140" s="59">
        <v>76.24</v>
      </c>
      <c r="W140" s="58">
        <v>5.74</v>
      </c>
      <c r="X140" s="58">
        <v>7.0</v>
      </c>
      <c r="Y140" s="68">
        <v>72.9</v>
      </c>
      <c r="Z140" s="69">
        <v>0.0</v>
      </c>
      <c r="AA140" s="68">
        <v>0.0</v>
      </c>
      <c r="AB140" s="68">
        <v>0.0</v>
      </c>
      <c r="AC140" s="68">
        <v>0.0</v>
      </c>
      <c r="AD140" s="68">
        <v>0.0</v>
      </c>
      <c r="AE140" s="68">
        <v>0.0</v>
      </c>
      <c r="AF140" s="68">
        <v>0.0</v>
      </c>
      <c r="AG140" s="68">
        <v>0.0</v>
      </c>
      <c r="AH140" s="68">
        <v>0.0</v>
      </c>
      <c r="AI140" s="68">
        <v>0.0</v>
      </c>
      <c r="AJ140" s="68">
        <v>0.0</v>
      </c>
      <c r="AK140" s="68">
        <v>0.0</v>
      </c>
      <c r="AL140" s="68">
        <v>0.0</v>
      </c>
      <c r="AM140" s="68">
        <v>0.0</v>
      </c>
      <c r="AN140" s="68">
        <v>0.0</v>
      </c>
      <c r="AO140" s="68">
        <v>7.47</v>
      </c>
      <c r="AP140" s="68">
        <v>0.0</v>
      </c>
      <c r="AQ140" s="68">
        <v>0.0</v>
      </c>
      <c r="AR140" s="68">
        <v>0.0</v>
      </c>
      <c r="AS140" s="68">
        <v>0.0</v>
      </c>
      <c r="AT140" s="68">
        <v>0.0</v>
      </c>
      <c r="AU140" s="68">
        <v>0.0</v>
      </c>
      <c r="AV140" s="68">
        <v>0.0</v>
      </c>
      <c r="AW140" s="68">
        <v>0.0</v>
      </c>
      <c r="AX140" s="68">
        <v>0.0</v>
      </c>
      <c r="AY140" s="68">
        <v>0.0</v>
      </c>
      <c r="AZ140" s="68">
        <v>0.0</v>
      </c>
      <c r="BA140" s="68">
        <v>0.0</v>
      </c>
      <c r="BB140" s="68">
        <v>7.47</v>
      </c>
      <c r="BC140" s="68" t="s">
        <v>106</v>
      </c>
      <c r="BD140" s="68"/>
      <c r="BF140" s="70">
        <v>81.98</v>
      </c>
      <c r="BG140" s="68">
        <v>-8.2</v>
      </c>
      <c r="BH140" s="68" t="s">
        <v>107</v>
      </c>
      <c r="BI140" s="68" t="s">
        <v>108</v>
      </c>
      <c r="BJ140" s="68" t="s">
        <v>109</v>
      </c>
      <c r="BK140" s="68" t="s">
        <v>333</v>
      </c>
      <c r="BM140" s="68"/>
      <c r="BN140" s="70" t="s">
        <v>111</v>
      </c>
      <c r="BO140" s="68" t="s">
        <v>112</v>
      </c>
      <c r="BP140" s="68" t="s">
        <v>113</v>
      </c>
      <c r="BQ140" s="68" t="s">
        <v>317</v>
      </c>
      <c r="BR140" s="68">
        <v>2.46</v>
      </c>
      <c r="BS140" s="68"/>
      <c r="BT140" s="70">
        <v>-9.08</v>
      </c>
      <c r="BU140" s="68" t="s">
        <v>318</v>
      </c>
      <c r="BW140" s="64" t="str">
        <f>if(OR(F140="SALE",F140="REFUNDED"),IFERROR(Vlookup(I140,'Listing SKU - Fill SKU Mapping'!A:C,3,false),"Map"),"")</f>
        <v>Keystone</v>
      </c>
      <c r="BX140" s="64" t="str">
        <f>IF(OR(F140="SALE",F140="REFUNDED")=TRUE,iferror(Vlookup(I140,'Listing SKU - Fill SKU Mapping'!A:B,2,false),"Map"),"")</f>
        <v>52316S</v>
      </c>
      <c r="BY140" s="64">
        <f>IF(OR(F140="SALE",F140="REFUNDED")=TRUE,iferror(Vlookup(I140,'Listing SKU - Fill SKU Mapping'!A:D,4,false),"Map"),"")</f>
        <v>30.77</v>
      </c>
      <c r="BZ140" s="66">
        <f t="shared" si="1"/>
        <v>11.5</v>
      </c>
      <c r="CA140" s="66">
        <f t="shared" si="2"/>
        <v>42.27</v>
      </c>
      <c r="CB140" s="66">
        <f t="shared" si="3"/>
        <v>33.97</v>
      </c>
      <c r="CC140" s="64" t="str">
        <f>if(F140="REFUNDED",iferror(Vlookup(I140,'Listing SKU - Fill SKU Mapping'!A:B,2,false),"Map"),"")</f>
        <v/>
      </c>
      <c r="CD140" s="64" t="str">
        <f>if(F140="REFUNDED",iferror(Vlookup(I140,'Listing SKU - Fill SKU Mapping'!A:C,3,false),"Map"),"")</f>
        <v/>
      </c>
      <c r="CE140" s="64" t="str">
        <f t="shared" si="4"/>
        <v>2025</v>
      </c>
      <c r="CF140" s="64" t="str">
        <f t="shared" si="5"/>
        <v>July</v>
      </c>
      <c r="CG140" s="64" t="str">
        <f t="shared" si="6"/>
        <v/>
      </c>
    </row>
    <row r="141">
      <c r="A141" s="55">
        <v>2.0001E14</v>
      </c>
      <c r="B141" s="56">
        <v>1.0</v>
      </c>
      <c r="C141" s="57">
        <v>1.0902E14</v>
      </c>
      <c r="D141" s="58">
        <v>1.0</v>
      </c>
      <c r="F141" s="59" t="s">
        <v>100</v>
      </c>
      <c r="G141" s="60">
        <v>45852.0</v>
      </c>
      <c r="H141" s="58">
        <v>1.0</v>
      </c>
      <c r="I141" s="58" t="s">
        <v>359</v>
      </c>
      <c r="J141" s="61">
        <v>4.6712995845E11</v>
      </c>
      <c r="K141" s="63"/>
      <c r="L141" s="63"/>
      <c r="M141" s="63"/>
      <c r="N141" s="63"/>
      <c r="O141" s="63"/>
      <c r="P141" s="63"/>
      <c r="Q141" s="63"/>
      <c r="R141" s="63"/>
      <c r="S141" s="63"/>
      <c r="T141" s="58" t="s">
        <v>105</v>
      </c>
      <c r="U141" s="59">
        <v>82.2</v>
      </c>
      <c r="V141" s="59">
        <v>78.1</v>
      </c>
      <c r="W141" s="58">
        <v>5.88</v>
      </c>
      <c r="X141" s="58">
        <v>7.0</v>
      </c>
      <c r="Y141" s="68">
        <v>74.9</v>
      </c>
      <c r="Z141" s="69">
        <v>0.0</v>
      </c>
      <c r="AA141" s="68">
        <v>0.0</v>
      </c>
      <c r="AB141" s="68">
        <v>0.0</v>
      </c>
      <c r="AC141" s="68">
        <v>0.0</v>
      </c>
      <c r="AD141" s="68">
        <v>0.0</v>
      </c>
      <c r="AE141" s="68">
        <v>0.0</v>
      </c>
      <c r="AF141" s="68">
        <v>0.0</v>
      </c>
      <c r="AG141" s="68">
        <v>0.0</v>
      </c>
      <c r="AH141" s="68">
        <v>0.0</v>
      </c>
      <c r="AI141" s="68">
        <v>0.0</v>
      </c>
      <c r="AJ141" s="68">
        <v>0.0</v>
      </c>
      <c r="AK141" s="68">
        <v>0.0</v>
      </c>
      <c r="AL141" s="68">
        <v>0.0</v>
      </c>
      <c r="AM141" s="68">
        <v>0.0</v>
      </c>
      <c r="AN141" s="68">
        <v>0.0</v>
      </c>
      <c r="AO141" s="68">
        <v>7.3</v>
      </c>
      <c r="AP141" s="68">
        <v>0.0</v>
      </c>
      <c r="AQ141" s="68">
        <v>0.0</v>
      </c>
      <c r="AR141" s="68">
        <v>0.0</v>
      </c>
      <c r="AS141" s="68">
        <v>0.0</v>
      </c>
      <c r="AT141" s="68">
        <v>0.0</v>
      </c>
      <c r="AU141" s="68">
        <v>0.0</v>
      </c>
      <c r="AV141" s="68">
        <v>0.0</v>
      </c>
      <c r="AW141" s="68">
        <v>0.0</v>
      </c>
      <c r="AX141" s="68">
        <v>0.0</v>
      </c>
      <c r="AY141" s="68">
        <v>0.0</v>
      </c>
      <c r="AZ141" s="68">
        <v>0.0</v>
      </c>
      <c r="BA141" s="68">
        <v>0.0</v>
      </c>
      <c r="BB141" s="68">
        <v>7.3</v>
      </c>
      <c r="BC141" s="68" t="s">
        <v>106</v>
      </c>
      <c r="BD141" s="68"/>
      <c r="BF141" s="70">
        <v>83.98</v>
      </c>
      <c r="BG141" s="68">
        <v>-8.4</v>
      </c>
      <c r="BH141" s="68" t="s">
        <v>107</v>
      </c>
      <c r="BI141" s="68" t="s">
        <v>108</v>
      </c>
      <c r="BJ141" s="68" t="s">
        <v>109</v>
      </c>
      <c r="BK141" s="68" t="s">
        <v>333</v>
      </c>
      <c r="BM141" s="68"/>
      <c r="BN141" s="70" t="s">
        <v>111</v>
      </c>
      <c r="BO141" s="68" t="s">
        <v>112</v>
      </c>
      <c r="BP141" s="68" t="s">
        <v>113</v>
      </c>
      <c r="BQ141" s="68" t="s">
        <v>317</v>
      </c>
      <c r="BR141" s="68">
        <v>2.52</v>
      </c>
      <c r="BS141" s="68"/>
      <c r="BT141" s="70">
        <v>-9.08</v>
      </c>
      <c r="BU141" s="68" t="s">
        <v>318</v>
      </c>
      <c r="BW141" s="64" t="str">
        <f>if(OR(F141="SALE",F141="REFUNDED"),IFERROR(Vlookup(I141,'Listing SKU - Fill SKU Mapping'!A:C,3,false),"Map"),"")</f>
        <v>Keystone</v>
      </c>
      <c r="BX141" s="64" t="str">
        <f>IF(OR(F141="SALE",F141="REFUNDED")=TRUE,iferror(Vlookup(I141,'Listing SKU - Fill SKU Mapping'!A:B,2,false),"Map"),"")</f>
        <v>43916S</v>
      </c>
      <c r="BY141" s="64">
        <f>IF(OR(F141="SALE",F141="REFUNDED")=TRUE,iferror(Vlookup(I141,'Listing SKU - Fill SKU Mapping'!A:D,4,false),"Map"),"")</f>
        <v>32.35</v>
      </c>
      <c r="BZ141" s="66">
        <f t="shared" si="1"/>
        <v>11.5</v>
      </c>
      <c r="CA141" s="66">
        <f t="shared" si="2"/>
        <v>43.85</v>
      </c>
      <c r="CB141" s="66">
        <f t="shared" si="3"/>
        <v>34.25</v>
      </c>
      <c r="CC141" s="64" t="str">
        <f>if(F141="REFUNDED",iferror(Vlookup(I141,'Listing SKU - Fill SKU Mapping'!A:B,2,false),"Map"),"")</f>
        <v/>
      </c>
      <c r="CD141" s="64" t="str">
        <f>if(F141="REFUNDED",iferror(Vlookup(I141,'Listing SKU - Fill SKU Mapping'!A:C,3,false),"Map"),"")</f>
        <v/>
      </c>
      <c r="CE141" s="64" t="str">
        <f t="shared" si="4"/>
        <v>2025</v>
      </c>
      <c r="CF141" s="64" t="str">
        <f t="shared" si="5"/>
        <v>July</v>
      </c>
      <c r="CG141" s="64" t="str">
        <f t="shared" si="6"/>
        <v/>
      </c>
    </row>
    <row r="142">
      <c r="A142" s="55">
        <v>2.0001E14</v>
      </c>
      <c r="B142" s="56">
        <v>1.0</v>
      </c>
      <c r="C142" s="57">
        <v>1.0902E14</v>
      </c>
      <c r="D142" s="58">
        <v>1.0</v>
      </c>
      <c r="F142" s="59" t="s">
        <v>100</v>
      </c>
      <c r="G142" s="60">
        <v>45853.0</v>
      </c>
      <c r="H142" s="58">
        <v>1.0</v>
      </c>
      <c r="I142" s="58" t="s">
        <v>360</v>
      </c>
      <c r="J142" s="61">
        <v>4.60776272498E11</v>
      </c>
      <c r="K142" s="63"/>
      <c r="L142" s="63"/>
      <c r="M142" s="63"/>
      <c r="N142" s="63"/>
      <c r="O142" s="63"/>
      <c r="P142" s="63"/>
      <c r="Q142" s="63"/>
      <c r="R142" s="63"/>
      <c r="S142" s="63"/>
      <c r="T142" s="58" t="s">
        <v>105</v>
      </c>
      <c r="U142" s="59">
        <v>109.11</v>
      </c>
      <c r="V142" s="59">
        <v>111.58</v>
      </c>
      <c r="W142" s="58">
        <v>8.4</v>
      </c>
      <c r="X142" s="58">
        <v>7.0</v>
      </c>
      <c r="Y142" s="68">
        <v>102.93</v>
      </c>
      <c r="Z142" s="69">
        <v>0.0</v>
      </c>
      <c r="AA142" s="68">
        <v>0.0</v>
      </c>
      <c r="AB142" s="68">
        <v>0.0</v>
      </c>
      <c r="AC142" s="68">
        <v>0.0</v>
      </c>
      <c r="AD142" s="68">
        <v>0.0</v>
      </c>
      <c r="AE142" s="68">
        <v>0.0</v>
      </c>
      <c r="AF142" s="68">
        <v>0.0</v>
      </c>
      <c r="AG142" s="68">
        <v>0.0</v>
      </c>
      <c r="AH142" s="68">
        <v>0.0</v>
      </c>
      <c r="AI142" s="68">
        <v>0.0</v>
      </c>
      <c r="AJ142" s="68">
        <v>0.0</v>
      </c>
      <c r="AK142" s="68">
        <v>0.0</v>
      </c>
      <c r="AL142" s="68">
        <v>0.0</v>
      </c>
      <c r="AM142" s="68">
        <v>0.0</v>
      </c>
      <c r="AN142" s="68">
        <v>0.0</v>
      </c>
      <c r="AO142" s="68">
        <v>6.18</v>
      </c>
      <c r="AP142" s="68">
        <v>0.0</v>
      </c>
      <c r="AQ142" s="68">
        <v>0.0</v>
      </c>
      <c r="AR142" s="68">
        <v>0.0</v>
      </c>
      <c r="AS142" s="68">
        <v>0.0</v>
      </c>
      <c r="AT142" s="68">
        <v>0.0</v>
      </c>
      <c r="AU142" s="68">
        <v>0.0</v>
      </c>
      <c r="AV142" s="68">
        <v>0.0</v>
      </c>
      <c r="AW142" s="68">
        <v>0.0</v>
      </c>
      <c r="AX142" s="68">
        <v>0.0</v>
      </c>
      <c r="AY142" s="68">
        <v>0.0</v>
      </c>
      <c r="AZ142" s="68">
        <v>0.0</v>
      </c>
      <c r="BA142" s="68">
        <v>0.0</v>
      </c>
      <c r="BB142" s="68">
        <v>6.18</v>
      </c>
      <c r="BC142" s="68" t="s">
        <v>106</v>
      </c>
      <c r="BD142" s="68"/>
      <c r="BF142" s="70">
        <v>119.98</v>
      </c>
      <c r="BG142" s="68">
        <v>-12.0</v>
      </c>
      <c r="BH142" s="68" t="s">
        <v>107</v>
      </c>
      <c r="BI142" s="68" t="s">
        <v>108</v>
      </c>
      <c r="BJ142" s="68" t="s">
        <v>109</v>
      </c>
      <c r="BK142" s="68" t="s">
        <v>339</v>
      </c>
      <c r="BM142" s="68"/>
      <c r="BN142" s="70" t="s">
        <v>111</v>
      </c>
      <c r="BO142" s="68" t="s">
        <v>112</v>
      </c>
      <c r="BP142" s="68" t="s">
        <v>113</v>
      </c>
      <c r="BQ142" s="68" t="s">
        <v>317</v>
      </c>
      <c r="BR142" s="68">
        <v>3.6</v>
      </c>
      <c r="BS142" s="68"/>
      <c r="BT142" s="70">
        <v>-17.05</v>
      </c>
      <c r="BU142" s="68" t="s">
        <v>318</v>
      </c>
      <c r="BW142" s="64" t="str">
        <f>if(OR(F142="SALE",F142="REFUNDED"),IFERROR(Vlookup(I142,'Listing SKU - Fill SKU Mapping'!A:C,3,false),"Map"),"")</f>
        <v>Keystone</v>
      </c>
      <c r="BX142" s="64" t="str">
        <f>IF(OR(F142="SALE",F142="REFUNDED")=TRUE,iferror(Vlookup(I142,'Listing SKU - Fill SKU Mapping'!A:B,2,false),"Map"),"")</f>
        <v>IMP361BLK</v>
      </c>
      <c r="BY142" s="64">
        <f>IF(OR(F142="SALE",F142="REFUNDED")=TRUE,iferror(Vlookup(I142,'Listing SKU - Fill SKU Mapping'!A:D,4,false),"Map"),"")</f>
        <v>57.2</v>
      </c>
      <c r="BZ142" s="66">
        <f t="shared" si="1"/>
        <v>11.5</v>
      </c>
      <c r="CA142" s="66">
        <f t="shared" si="2"/>
        <v>68.7</v>
      </c>
      <c r="CB142" s="66">
        <f t="shared" si="3"/>
        <v>42.88</v>
      </c>
      <c r="CC142" s="64" t="str">
        <f>if(F142="REFUNDED",iferror(Vlookup(I142,'Listing SKU - Fill SKU Mapping'!A:B,2,false),"Map"),"")</f>
        <v/>
      </c>
      <c r="CD142" s="64" t="str">
        <f>if(F142="REFUNDED",iferror(Vlookup(I142,'Listing SKU - Fill SKU Mapping'!A:C,3,false),"Map"),"")</f>
        <v/>
      </c>
      <c r="CE142" s="64" t="str">
        <f t="shared" si="4"/>
        <v>2025</v>
      </c>
      <c r="CF142" s="64" t="str">
        <f t="shared" si="5"/>
        <v>July</v>
      </c>
      <c r="CG142" s="64" t="str">
        <f t="shared" si="6"/>
        <v/>
      </c>
    </row>
    <row r="143">
      <c r="A143" s="55">
        <v>2.0001E14</v>
      </c>
      <c r="B143" s="56">
        <v>2.0</v>
      </c>
      <c r="C143" s="57">
        <v>1.0902E14</v>
      </c>
      <c r="D143" s="58">
        <v>2.0</v>
      </c>
      <c r="F143" s="59" t="s">
        <v>100</v>
      </c>
      <c r="G143" s="60">
        <v>45852.0</v>
      </c>
      <c r="H143" s="58">
        <v>1.0</v>
      </c>
      <c r="I143" s="58" t="s">
        <v>361</v>
      </c>
      <c r="J143" s="61">
        <v>4.65595347495E11</v>
      </c>
      <c r="K143" s="63"/>
      <c r="L143" s="63"/>
      <c r="M143" s="63"/>
      <c r="N143" s="63"/>
      <c r="O143" s="63"/>
      <c r="P143" s="63"/>
      <c r="Q143" s="63"/>
      <c r="R143" s="63"/>
      <c r="S143" s="63"/>
      <c r="T143" s="58" t="s">
        <v>105</v>
      </c>
      <c r="U143" s="59">
        <v>90.18</v>
      </c>
      <c r="V143" s="59">
        <v>89.26</v>
      </c>
      <c r="W143" s="58">
        <v>6.72</v>
      </c>
      <c r="X143" s="58">
        <v>7.0</v>
      </c>
      <c r="Y143" s="68">
        <v>82.93</v>
      </c>
      <c r="Z143" s="69">
        <v>0.0</v>
      </c>
      <c r="AA143" s="68">
        <v>0.0</v>
      </c>
      <c r="AB143" s="68">
        <v>0.0</v>
      </c>
      <c r="AC143" s="68">
        <v>0.0</v>
      </c>
      <c r="AD143" s="68">
        <v>0.0</v>
      </c>
      <c r="AE143" s="68">
        <v>0.0</v>
      </c>
      <c r="AF143" s="68">
        <v>0.0</v>
      </c>
      <c r="AG143" s="68">
        <v>0.0</v>
      </c>
      <c r="AH143" s="68">
        <v>0.0</v>
      </c>
      <c r="AI143" s="68">
        <v>0.0</v>
      </c>
      <c r="AJ143" s="68">
        <v>0.0</v>
      </c>
      <c r="AK143" s="68">
        <v>0.0</v>
      </c>
      <c r="AL143" s="68">
        <v>0.0</v>
      </c>
      <c r="AM143" s="68">
        <v>0.0</v>
      </c>
      <c r="AN143" s="68">
        <v>0.0</v>
      </c>
      <c r="AO143" s="68">
        <v>7.25</v>
      </c>
      <c r="AP143" s="68">
        <v>0.0</v>
      </c>
      <c r="AQ143" s="68">
        <v>0.0</v>
      </c>
      <c r="AR143" s="68">
        <v>0.0</v>
      </c>
      <c r="AS143" s="68">
        <v>0.0</v>
      </c>
      <c r="AT143" s="68">
        <v>0.0</v>
      </c>
      <c r="AU143" s="68">
        <v>0.0</v>
      </c>
      <c r="AV143" s="68">
        <v>0.0</v>
      </c>
      <c r="AW143" s="68">
        <v>0.0</v>
      </c>
      <c r="AX143" s="68">
        <v>0.0</v>
      </c>
      <c r="AY143" s="68">
        <v>0.0</v>
      </c>
      <c r="AZ143" s="68">
        <v>0.0</v>
      </c>
      <c r="BA143" s="68">
        <v>0.0</v>
      </c>
      <c r="BB143" s="68">
        <v>7.25</v>
      </c>
      <c r="BC143" s="68" t="s">
        <v>106</v>
      </c>
      <c r="BD143" s="68"/>
      <c r="BF143" s="70">
        <v>95.98</v>
      </c>
      <c r="BG143" s="68">
        <v>-9.6</v>
      </c>
      <c r="BH143" s="68" t="s">
        <v>107</v>
      </c>
      <c r="BI143" s="68" t="s">
        <v>108</v>
      </c>
      <c r="BJ143" s="68" t="s">
        <v>109</v>
      </c>
      <c r="BK143" s="68" t="s">
        <v>339</v>
      </c>
      <c r="BM143" s="68"/>
      <c r="BN143" s="70" t="s">
        <v>111</v>
      </c>
      <c r="BO143" s="68" t="s">
        <v>112</v>
      </c>
      <c r="BP143" s="68" t="s">
        <v>113</v>
      </c>
      <c r="BQ143" s="68" t="s">
        <v>317</v>
      </c>
      <c r="BR143" s="68">
        <v>2.88</v>
      </c>
      <c r="BS143" s="68"/>
      <c r="BT143" s="70">
        <v>-13.05</v>
      </c>
      <c r="BU143" s="68" t="s">
        <v>318</v>
      </c>
      <c r="BW143" s="64" t="str">
        <f>if(OR(F143="SALE",F143="REFUNDED"),IFERROR(Vlookup(I143,'Listing SKU - Fill SKU Mapping'!A:C,3,false),"Map"),"")</f>
        <v>Keystone</v>
      </c>
      <c r="BX143" s="64" t="str">
        <f>IF(OR(F143="SALE",F143="REFUNDED")=TRUE,iferror(Vlookup(I143,'Listing SKU - Fill SKU Mapping'!A:B,2,false),"Map"),"")</f>
        <v>IMP468BLK</v>
      </c>
      <c r="BY143" s="64">
        <f>IF(OR(F143="SALE",F143="REFUNDED")=TRUE,iferror(Vlookup(I143,'Listing SKU - Fill SKU Mapping'!A:D,4,false),"Map"),"")</f>
        <v>46.16</v>
      </c>
      <c r="BZ143" s="66">
        <f t="shared" si="1"/>
        <v>11.5</v>
      </c>
      <c r="CA143" s="66">
        <f t="shared" si="2"/>
        <v>57.66</v>
      </c>
      <c r="CB143" s="66">
        <f t="shared" si="3"/>
        <v>31.6</v>
      </c>
      <c r="CC143" s="64" t="str">
        <f>if(F143="REFUNDED",iferror(Vlookup(I143,'Listing SKU - Fill SKU Mapping'!A:B,2,false),"Map"),"")</f>
        <v/>
      </c>
      <c r="CD143" s="64" t="str">
        <f>if(F143="REFUNDED",iferror(Vlookup(I143,'Listing SKU - Fill SKU Mapping'!A:C,3,false),"Map"),"")</f>
        <v/>
      </c>
      <c r="CE143" s="64" t="str">
        <f t="shared" si="4"/>
        <v>2025</v>
      </c>
      <c r="CF143" s="64" t="str">
        <f t="shared" si="5"/>
        <v>July</v>
      </c>
      <c r="CG143" s="64" t="str">
        <f t="shared" si="6"/>
        <v/>
      </c>
    </row>
    <row r="144">
      <c r="A144" s="55">
        <v>2.0001E14</v>
      </c>
      <c r="B144" s="56">
        <v>1.0</v>
      </c>
      <c r="C144" s="57">
        <v>1.2902E14</v>
      </c>
      <c r="D144" s="58">
        <v>1.0</v>
      </c>
      <c r="F144" s="59" t="s">
        <v>100</v>
      </c>
      <c r="G144" s="60">
        <v>45856.0</v>
      </c>
      <c r="H144" s="58">
        <v>1.0</v>
      </c>
      <c r="I144" s="58" t="s">
        <v>362</v>
      </c>
      <c r="J144" s="61">
        <v>4.6997100181E11</v>
      </c>
      <c r="K144" s="63"/>
      <c r="L144" s="63"/>
      <c r="M144" s="63"/>
      <c r="N144" s="63"/>
      <c r="O144" s="63"/>
      <c r="P144" s="63"/>
      <c r="Q144" s="63"/>
      <c r="R144" s="63"/>
      <c r="S144" s="63"/>
      <c r="T144" s="58" t="s">
        <v>105</v>
      </c>
      <c r="U144" s="59">
        <v>75.75</v>
      </c>
      <c r="V144" s="59">
        <v>65.08</v>
      </c>
      <c r="W144" s="58">
        <v>4.9</v>
      </c>
      <c r="X144" s="58">
        <v>7.0</v>
      </c>
      <c r="Y144" s="68">
        <v>69.98</v>
      </c>
      <c r="Z144" s="69">
        <v>0.0</v>
      </c>
      <c r="AA144" s="68">
        <v>0.0</v>
      </c>
      <c r="AB144" s="68">
        <v>0.0</v>
      </c>
      <c r="AC144" s="68">
        <v>0.0</v>
      </c>
      <c r="AD144" s="68">
        <v>0.0</v>
      </c>
      <c r="AE144" s="68">
        <v>0.0</v>
      </c>
      <c r="AF144" s="68">
        <v>0.0</v>
      </c>
      <c r="AG144" s="68">
        <v>0.0</v>
      </c>
      <c r="AH144" s="68">
        <v>0.0</v>
      </c>
      <c r="AI144" s="68">
        <v>0.0</v>
      </c>
      <c r="AJ144" s="68">
        <v>0.0</v>
      </c>
      <c r="AK144" s="68">
        <v>0.0</v>
      </c>
      <c r="AL144" s="68">
        <v>0.0</v>
      </c>
      <c r="AM144" s="68">
        <v>0.0</v>
      </c>
      <c r="AN144" s="68">
        <v>0.0</v>
      </c>
      <c r="AO144" s="68">
        <v>5.77</v>
      </c>
      <c r="AP144" s="68">
        <v>0.0</v>
      </c>
      <c r="AQ144" s="68">
        <v>0.0</v>
      </c>
      <c r="AR144" s="68">
        <v>0.0</v>
      </c>
      <c r="AS144" s="68">
        <v>0.0</v>
      </c>
      <c r="AT144" s="68">
        <v>0.0</v>
      </c>
      <c r="AU144" s="68">
        <v>0.0</v>
      </c>
      <c r="AV144" s="68">
        <v>0.0</v>
      </c>
      <c r="AW144" s="68">
        <v>0.0</v>
      </c>
      <c r="AX144" s="68">
        <v>0.0</v>
      </c>
      <c r="AY144" s="68">
        <v>0.0</v>
      </c>
      <c r="AZ144" s="68">
        <v>0.0</v>
      </c>
      <c r="BA144" s="68">
        <v>0.0</v>
      </c>
      <c r="BB144" s="68">
        <v>5.77</v>
      </c>
      <c r="BC144" s="68" t="s">
        <v>106</v>
      </c>
      <c r="BD144" s="68"/>
      <c r="BG144" s="70">
        <v>-7.0</v>
      </c>
      <c r="BH144" s="68" t="s">
        <v>107</v>
      </c>
      <c r="BI144" s="68" t="s">
        <v>108</v>
      </c>
      <c r="BJ144" s="68" t="s">
        <v>109</v>
      </c>
      <c r="BK144" s="68" t="s">
        <v>346</v>
      </c>
      <c r="BM144" s="68"/>
      <c r="BN144" s="70" t="s">
        <v>111</v>
      </c>
      <c r="BO144" s="68" t="s">
        <v>112</v>
      </c>
      <c r="BP144" s="68" t="s">
        <v>113</v>
      </c>
      <c r="BQ144" s="68" t="s">
        <v>114</v>
      </c>
      <c r="BR144" s="68">
        <v>2.1</v>
      </c>
      <c r="BS144" s="68"/>
      <c r="BW144" s="64" t="str">
        <f>if(OR(F144="SALE",F144="REFUNDED"),IFERROR(Vlookup(I144,'Listing SKU - Fill SKU Mapping'!A:C,3,false),"Map"),"")</f>
        <v>Keystone</v>
      </c>
      <c r="BX144" s="64" t="str">
        <f>IF(OR(F144="SALE",F144="REFUNDED")=TRUE,iferror(Vlookup(I144,'Listing SKU - Fill SKU Mapping'!A:B,2,false),"Map"),"")</f>
        <v>44415S</v>
      </c>
      <c r="BY144" s="64">
        <f>IF(OR(F144="SALE",F144="REFUNDED")=TRUE,iferror(Vlookup(I144,'Listing SKU - Fill SKU Mapping'!A:D,4,false),"Map"),"")</f>
        <v>23.27</v>
      </c>
      <c r="BZ144" s="66">
        <f t="shared" si="1"/>
        <v>11.5</v>
      </c>
      <c r="CA144" s="66">
        <f t="shared" si="2"/>
        <v>34.77</v>
      </c>
      <c r="CB144" s="66">
        <f t="shared" si="3"/>
        <v>30.31</v>
      </c>
      <c r="CC144" s="64" t="str">
        <f>if(F144="REFUNDED",iferror(Vlookup(I144,'Listing SKU - Fill SKU Mapping'!A:B,2,false),"Map"),"")</f>
        <v/>
      </c>
      <c r="CD144" s="64" t="str">
        <f>if(F144="REFUNDED",iferror(Vlookup(I144,'Listing SKU - Fill SKU Mapping'!A:C,3,false),"Map"),"")</f>
        <v/>
      </c>
      <c r="CE144" s="64" t="str">
        <f t="shared" si="4"/>
        <v>2025</v>
      </c>
      <c r="CF144" s="64" t="str">
        <f t="shared" si="5"/>
        <v>July</v>
      </c>
      <c r="CG144" s="64" t="str">
        <f t="shared" si="6"/>
        <v/>
      </c>
    </row>
    <row r="145">
      <c r="A145" s="55">
        <v>2.0001E14</v>
      </c>
      <c r="B145" s="56">
        <v>1.0</v>
      </c>
      <c r="C145" s="57">
        <v>1.2902E14</v>
      </c>
      <c r="D145" s="58">
        <v>1.0</v>
      </c>
      <c r="F145" s="59" t="s">
        <v>100</v>
      </c>
      <c r="G145" s="60">
        <v>45875.0</v>
      </c>
      <c r="H145" s="58">
        <v>1.0</v>
      </c>
      <c r="I145" s="58" t="s">
        <v>351</v>
      </c>
      <c r="J145" s="61">
        <v>4.67129945542E11</v>
      </c>
      <c r="K145" s="63"/>
      <c r="L145" s="63"/>
      <c r="M145" s="63"/>
      <c r="N145" s="63"/>
      <c r="O145" s="63"/>
      <c r="P145" s="63"/>
      <c r="Q145" s="63"/>
      <c r="R145" s="63"/>
      <c r="S145" s="63"/>
      <c r="T145" s="58" t="s">
        <v>105</v>
      </c>
      <c r="U145" s="59">
        <v>105.17</v>
      </c>
      <c r="V145" s="59">
        <v>92.05</v>
      </c>
      <c r="W145" s="58">
        <v>6.93</v>
      </c>
      <c r="X145" s="58">
        <v>7.0</v>
      </c>
      <c r="Y145" s="68">
        <v>98.98</v>
      </c>
      <c r="Z145" s="69">
        <v>0.0</v>
      </c>
      <c r="AA145" s="68">
        <v>0.0</v>
      </c>
      <c r="AB145" s="68">
        <v>0.0</v>
      </c>
      <c r="AC145" s="68">
        <v>0.0</v>
      </c>
      <c r="AD145" s="68">
        <v>0.0</v>
      </c>
      <c r="AE145" s="68">
        <v>0.0</v>
      </c>
      <c r="AF145" s="68">
        <v>0.0</v>
      </c>
      <c r="AG145" s="68">
        <v>0.0</v>
      </c>
      <c r="AH145" s="68">
        <v>0.0</v>
      </c>
      <c r="AI145" s="68">
        <v>0.0</v>
      </c>
      <c r="AJ145" s="68">
        <v>0.0</v>
      </c>
      <c r="AK145" s="68">
        <v>0.0</v>
      </c>
      <c r="AL145" s="68">
        <v>0.0</v>
      </c>
      <c r="AM145" s="68">
        <v>0.0</v>
      </c>
      <c r="AN145" s="68">
        <v>0.0</v>
      </c>
      <c r="AO145" s="68">
        <v>6.19</v>
      </c>
      <c r="AP145" s="68">
        <v>0.0</v>
      </c>
      <c r="AQ145" s="68">
        <v>0.0</v>
      </c>
      <c r="AR145" s="68">
        <v>0.0</v>
      </c>
      <c r="AS145" s="68">
        <v>0.0</v>
      </c>
      <c r="AT145" s="68">
        <v>0.0</v>
      </c>
      <c r="AU145" s="68">
        <v>0.0</v>
      </c>
      <c r="AV145" s="68">
        <v>0.0</v>
      </c>
      <c r="AW145" s="68">
        <v>0.0</v>
      </c>
      <c r="AX145" s="68">
        <v>0.0</v>
      </c>
      <c r="AY145" s="68">
        <v>0.0</v>
      </c>
      <c r="AZ145" s="68">
        <v>0.0</v>
      </c>
      <c r="BA145" s="68">
        <v>0.0</v>
      </c>
      <c r="BB145" s="68">
        <v>6.19</v>
      </c>
      <c r="BC145" s="68" t="s">
        <v>106</v>
      </c>
      <c r="BD145" s="68"/>
      <c r="BG145" s="70">
        <v>-9.9</v>
      </c>
      <c r="BH145" s="68" t="s">
        <v>107</v>
      </c>
      <c r="BI145" s="68" t="s">
        <v>108</v>
      </c>
      <c r="BJ145" s="68" t="s">
        <v>109</v>
      </c>
      <c r="BK145" s="68" t="s">
        <v>363</v>
      </c>
      <c r="BM145" s="68"/>
      <c r="BN145" s="70" t="s">
        <v>111</v>
      </c>
      <c r="BO145" s="68" t="s">
        <v>112</v>
      </c>
      <c r="BP145" s="68" t="s">
        <v>113</v>
      </c>
      <c r="BQ145" s="68" t="s">
        <v>114</v>
      </c>
      <c r="BR145" s="68">
        <v>2.97</v>
      </c>
      <c r="BS145" s="68"/>
      <c r="BW145" s="64" t="str">
        <f>if(OR(F145="SALE",F145="REFUNDED"),IFERROR(Vlookup(I145,'Listing SKU - Fill SKU Mapping'!A:C,3,false),"Map"),"")</f>
        <v>Keystone</v>
      </c>
      <c r="BX145" s="64" t="str">
        <f>IF(OR(F145="SALE",F145="REFUNDED")=TRUE,iferror(Vlookup(I145,'Listing SKU - Fill SKU Mapping'!A:B,2,false),"Map"),"")</f>
        <v>52016SB</v>
      </c>
      <c r="BY145" s="64">
        <f>IF(OR(F145="SALE",F145="REFUNDED")=TRUE,iferror(Vlookup(I145,'Listing SKU - Fill SKU Mapping'!A:D,4,false),"Map"),"")</f>
        <v>41.42</v>
      </c>
      <c r="BZ145" s="66">
        <f t="shared" si="1"/>
        <v>11.5</v>
      </c>
      <c r="CA145" s="66">
        <f t="shared" si="2"/>
        <v>52.92</v>
      </c>
      <c r="CB145" s="66">
        <f t="shared" si="3"/>
        <v>39.13</v>
      </c>
      <c r="CC145" s="64" t="str">
        <f>if(F145="REFUNDED",iferror(Vlookup(I145,'Listing SKU - Fill SKU Mapping'!A:B,2,false),"Map"),"")</f>
        <v/>
      </c>
      <c r="CD145" s="64" t="str">
        <f>if(F145="REFUNDED",iferror(Vlookup(I145,'Listing SKU - Fill SKU Mapping'!A:C,3,false),"Map"),"")</f>
        <v/>
      </c>
      <c r="CE145" s="64" t="str">
        <f t="shared" si="4"/>
        <v>2025</v>
      </c>
      <c r="CF145" s="64" t="str">
        <f t="shared" si="5"/>
        <v>August</v>
      </c>
      <c r="CG145" s="64" t="str">
        <f t="shared" si="6"/>
        <v/>
      </c>
    </row>
    <row r="146">
      <c r="A146" s="55">
        <v>2.0001E14</v>
      </c>
      <c r="B146" s="56">
        <v>1.0</v>
      </c>
      <c r="C146" s="57">
        <v>1.2902E14</v>
      </c>
      <c r="D146" s="58">
        <v>1.0</v>
      </c>
      <c r="F146" s="59" t="s">
        <v>100</v>
      </c>
      <c r="G146" s="60">
        <v>45870.0</v>
      </c>
      <c r="H146" s="58">
        <v>1.0</v>
      </c>
      <c r="I146" s="58" t="s">
        <v>364</v>
      </c>
      <c r="J146" s="61">
        <v>4.60776231099E11</v>
      </c>
      <c r="K146" s="63"/>
      <c r="L146" s="63"/>
      <c r="M146" s="63"/>
      <c r="N146" s="63"/>
      <c r="O146" s="63"/>
      <c r="P146" s="63"/>
      <c r="Q146" s="63"/>
      <c r="R146" s="63"/>
      <c r="S146" s="63"/>
      <c r="T146" s="58" t="s">
        <v>105</v>
      </c>
      <c r="U146" s="59">
        <v>126.98</v>
      </c>
      <c r="V146" s="59">
        <v>118.09</v>
      </c>
      <c r="W146" s="58">
        <v>8.89</v>
      </c>
      <c r="X146" s="58">
        <v>7.0</v>
      </c>
      <c r="Y146" s="68">
        <v>126.98</v>
      </c>
      <c r="Z146" s="69">
        <v>0.0</v>
      </c>
      <c r="AA146" s="68">
        <v>0.0</v>
      </c>
      <c r="AB146" s="68">
        <v>0.0</v>
      </c>
      <c r="AC146" s="68">
        <v>0.0</v>
      </c>
      <c r="AD146" s="68">
        <v>0.0</v>
      </c>
      <c r="AE146" s="68">
        <v>0.0</v>
      </c>
      <c r="AF146" s="68">
        <v>0.0</v>
      </c>
      <c r="AG146" s="68">
        <v>0.0</v>
      </c>
      <c r="AH146" s="68">
        <v>0.0</v>
      </c>
      <c r="AI146" s="68">
        <v>0.0</v>
      </c>
      <c r="AJ146" s="68">
        <v>0.0</v>
      </c>
      <c r="AK146" s="68">
        <v>0.0</v>
      </c>
      <c r="AL146" s="68">
        <v>0.0</v>
      </c>
      <c r="AM146" s="68">
        <v>0.0</v>
      </c>
      <c r="AN146" s="68">
        <v>0.0</v>
      </c>
      <c r="AO146" s="68">
        <v>0.0</v>
      </c>
      <c r="AP146" s="68">
        <v>0.0</v>
      </c>
      <c r="AQ146" s="68">
        <v>0.0</v>
      </c>
      <c r="AR146" s="68">
        <v>0.0</v>
      </c>
      <c r="AS146" s="68">
        <v>0.0</v>
      </c>
      <c r="AT146" s="68">
        <v>0.0</v>
      </c>
      <c r="AU146" s="68">
        <v>0.0</v>
      </c>
      <c r="AV146" s="68">
        <v>0.0</v>
      </c>
      <c r="AW146" s="68">
        <v>0.0</v>
      </c>
      <c r="AX146" s="68">
        <v>0.0</v>
      </c>
      <c r="AY146" s="68">
        <v>0.0</v>
      </c>
      <c r="AZ146" s="68">
        <v>0.0</v>
      </c>
      <c r="BA146" s="68">
        <v>0.0</v>
      </c>
      <c r="BB146" s="68">
        <v>0.0</v>
      </c>
      <c r="BC146" s="68" t="s">
        <v>106</v>
      </c>
      <c r="BD146" s="68"/>
      <c r="BG146" s="70">
        <v>-12.7</v>
      </c>
      <c r="BH146" s="68" t="s">
        <v>107</v>
      </c>
      <c r="BI146" s="68" t="s">
        <v>108</v>
      </c>
      <c r="BJ146" s="68" t="s">
        <v>109</v>
      </c>
      <c r="BK146" s="68" t="s">
        <v>363</v>
      </c>
      <c r="BM146" s="68"/>
      <c r="BN146" s="70" t="s">
        <v>111</v>
      </c>
      <c r="BO146" s="68" t="s">
        <v>112</v>
      </c>
      <c r="BP146" s="68" t="s">
        <v>113</v>
      </c>
      <c r="BQ146" s="68" t="s">
        <v>114</v>
      </c>
      <c r="BR146" s="68">
        <v>3.81</v>
      </c>
      <c r="BS146" s="68"/>
      <c r="BW146" s="64" t="str">
        <f>if(OR(F146="SALE",F146="REFUNDED"),IFERROR(Vlookup(I146,'Listing SKU - Fill SKU Mapping'!A:C,3,false),"Map"),"")</f>
        <v>Keystone</v>
      </c>
      <c r="BX146" s="64" t="str">
        <f>IF(OR(F146="SALE",F146="REFUNDED")=TRUE,iferror(Vlookup(I146,'Listing SKU - Fill SKU Mapping'!A:B,2,false),"Map"),"")</f>
        <v>IMP406BLK</v>
      </c>
      <c r="BY146" s="64">
        <f>IF(OR(F146="SALE",F146="REFUNDED")=TRUE,iferror(Vlookup(I146,'Listing SKU - Fill SKU Mapping'!A:D,4,false),"Map"),"")</f>
        <v>61.94</v>
      </c>
      <c r="BZ146" s="66">
        <f t="shared" si="1"/>
        <v>11.5</v>
      </c>
      <c r="CA146" s="66">
        <f t="shared" si="2"/>
        <v>73.44</v>
      </c>
      <c r="CB146" s="66">
        <f t="shared" si="3"/>
        <v>44.65</v>
      </c>
      <c r="CC146" s="64" t="str">
        <f>if(F146="REFUNDED",iferror(Vlookup(I146,'Listing SKU - Fill SKU Mapping'!A:B,2,false),"Map"),"")</f>
        <v/>
      </c>
      <c r="CD146" s="64" t="str">
        <f>if(F146="REFUNDED",iferror(Vlookup(I146,'Listing SKU - Fill SKU Mapping'!A:C,3,false),"Map"),"")</f>
        <v/>
      </c>
      <c r="CE146" s="64" t="str">
        <f t="shared" si="4"/>
        <v>2025</v>
      </c>
      <c r="CF146" s="64" t="str">
        <f t="shared" si="5"/>
        <v>August</v>
      </c>
      <c r="CG146" s="64" t="str">
        <f t="shared" si="6"/>
        <v/>
      </c>
    </row>
    <row r="147">
      <c r="A147" s="55">
        <v>2.0001E14</v>
      </c>
      <c r="B147" s="56">
        <v>1.0</v>
      </c>
      <c r="C147" s="57">
        <v>1.2902E14</v>
      </c>
      <c r="D147" s="58">
        <v>1.0</v>
      </c>
      <c r="F147" s="59" t="s">
        <v>100</v>
      </c>
      <c r="G147" s="60">
        <v>45866.0</v>
      </c>
      <c r="H147" s="58">
        <v>1.0</v>
      </c>
      <c r="I147" s="58" t="s">
        <v>365</v>
      </c>
      <c r="J147" s="61">
        <v>4.65595333757E11</v>
      </c>
      <c r="K147" s="63"/>
      <c r="L147" s="63"/>
      <c r="M147" s="63"/>
      <c r="N147" s="63"/>
      <c r="O147" s="63"/>
      <c r="P147" s="63"/>
      <c r="Q147" s="63"/>
      <c r="R147" s="63"/>
      <c r="S147" s="63"/>
      <c r="T147" s="58" t="s">
        <v>105</v>
      </c>
      <c r="U147" s="59">
        <v>98.56</v>
      </c>
      <c r="V147" s="59">
        <v>86.47</v>
      </c>
      <c r="W147" s="58">
        <v>6.51</v>
      </c>
      <c r="X147" s="58">
        <v>7.0</v>
      </c>
      <c r="Y147" s="68">
        <v>92.98</v>
      </c>
      <c r="Z147" s="69">
        <v>0.0</v>
      </c>
      <c r="AA147" s="68">
        <v>0.0</v>
      </c>
      <c r="AB147" s="68">
        <v>0.0</v>
      </c>
      <c r="AC147" s="68">
        <v>0.0</v>
      </c>
      <c r="AD147" s="68">
        <v>0.0</v>
      </c>
      <c r="AE147" s="68">
        <v>0.0</v>
      </c>
      <c r="AF147" s="68">
        <v>0.0</v>
      </c>
      <c r="AG147" s="68">
        <v>0.0</v>
      </c>
      <c r="AH147" s="68">
        <v>0.0</v>
      </c>
      <c r="AI147" s="68">
        <v>0.0</v>
      </c>
      <c r="AJ147" s="68">
        <v>0.0</v>
      </c>
      <c r="AK147" s="68">
        <v>0.0</v>
      </c>
      <c r="AL147" s="68">
        <v>0.0</v>
      </c>
      <c r="AM147" s="68">
        <v>0.0</v>
      </c>
      <c r="AN147" s="68">
        <v>0.0</v>
      </c>
      <c r="AO147" s="68">
        <v>5.58</v>
      </c>
      <c r="AP147" s="68">
        <v>0.0</v>
      </c>
      <c r="AQ147" s="68">
        <v>0.0</v>
      </c>
      <c r="AR147" s="68">
        <v>0.0</v>
      </c>
      <c r="AS147" s="68">
        <v>0.0</v>
      </c>
      <c r="AT147" s="68">
        <v>0.0</v>
      </c>
      <c r="AU147" s="68">
        <v>0.0</v>
      </c>
      <c r="AV147" s="68">
        <v>0.0</v>
      </c>
      <c r="AW147" s="68">
        <v>0.0</v>
      </c>
      <c r="AX147" s="68">
        <v>0.0</v>
      </c>
      <c r="AY147" s="68">
        <v>0.0</v>
      </c>
      <c r="AZ147" s="68">
        <v>0.0</v>
      </c>
      <c r="BA147" s="68">
        <v>0.0</v>
      </c>
      <c r="BB147" s="68">
        <v>5.58</v>
      </c>
      <c r="BC147" s="68" t="s">
        <v>106</v>
      </c>
      <c r="BD147" s="68"/>
      <c r="BG147" s="70">
        <v>-9.3</v>
      </c>
      <c r="BH147" s="68" t="s">
        <v>107</v>
      </c>
      <c r="BI147" s="68" t="s">
        <v>108</v>
      </c>
      <c r="BJ147" s="68" t="s">
        <v>109</v>
      </c>
      <c r="BK147" s="68" t="s">
        <v>353</v>
      </c>
      <c r="BM147" s="68"/>
      <c r="BN147" s="70" t="s">
        <v>111</v>
      </c>
      <c r="BO147" s="68" t="s">
        <v>112</v>
      </c>
      <c r="BP147" s="68" t="s">
        <v>113</v>
      </c>
      <c r="BQ147" s="68" t="s">
        <v>114</v>
      </c>
      <c r="BR147" s="68">
        <v>2.79</v>
      </c>
      <c r="BS147" s="68"/>
      <c r="BW147" s="64" t="str">
        <f>if(OR(F147="SALE",F147="REFUNDED"),IFERROR(Vlookup(I147,'Listing SKU - Fill SKU Mapping'!A:C,3,false),"Map"),"")</f>
        <v>Keystone</v>
      </c>
      <c r="BX147" s="64" t="str">
        <f>IF(OR(F147="SALE",F147="REFUNDED")=TRUE,iferror(Vlookup(I147,'Listing SKU - Fill SKU Mapping'!A:B,2,false),"Map"),"")</f>
        <v>IMP471BLK</v>
      </c>
      <c r="BY147" s="64">
        <f>IF(OR(F147="SALE",F147="REFUNDED")=TRUE,iferror(Vlookup(I147,'Listing SKU - Fill SKU Mapping'!A:D,4,false),"Map"),"")</f>
        <v>44.58</v>
      </c>
      <c r="BZ147" s="66">
        <f t="shared" si="1"/>
        <v>11.5</v>
      </c>
      <c r="CA147" s="66">
        <f t="shared" si="2"/>
        <v>56.08</v>
      </c>
      <c r="CB147" s="66">
        <f t="shared" si="3"/>
        <v>30.39</v>
      </c>
      <c r="CC147" s="64" t="str">
        <f>if(F147="REFUNDED",iferror(Vlookup(I147,'Listing SKU - Fill SKU Mapping'!A:B,2,false),"Map"),"")</f>
        <v/>
      </c>
      <c r="CD147" s="64" t="str">
        <f>if(F147="REFUNDED",iferror(Vlookup(I147,'Listing SKU - Fill SKU Mapping'!A:C,3,false),"Map"),"")</f>
        <v/>
      </c>
      <c r="CE147" s="64" t="str">
        <f t="shared" si="4"/>
        <v>2025</v>
      </c>
      <c r="CF147" s="64" t="str">
        <f t="shared" si="5"/>
        <v>July</v>
      </c>
      <c r="CG147" s="64" t="str">
        <f t="shared" si="6"/>
        <v/>
      </c>
    </row>
    <row r="148">
      <c r="A148" s="55">
        <v>2.0001E14</v>
      </c>
      <c r="B148" s="56">
        <v>1.0</v>
      </c>
      <c r="C148" s="57">
        <v>1.2902E14</v>
      </c>
      <c r="D148" s="58">
        <v>1.0</v>
      </c>
      <c r="F148" s="59" t="s">
        <v>100</v>
      </c>
      <c r="G148" s="60">
        <v>45866.0</v>
      </c>
      <c r="H148" s="58">
        <v>1.0</v>
      </c>
      <c r="I148" s="58" t="s">
        <v>366</v>
      </c>
      <c r="J148" s="61">
        <v>4.65595320863E11</v>
      </c>
      <c r="K148" s="63"/>
      <c r="L148" s="63"/>
      <c r="M148" s="63"/>
      <c r="N148" s="63"/>
      <c r="O148" s="63"/>
      <c r="P148" s="63"/>
      <c r="Q148" s="63"/>
      <c r="R148" s="63"/>
      <c r="S148" s="63"/>
      <c r="T148" s="58" t="s">
        <v>105</v>
      </c>
      <c r="U148" s="59">
        <v>137.0</v>
      </c>
      <c r="V148" s="59">
        <v>117.16</v>
      </c>
      <c r="W148" s="58">
        <v>8.82</v>
      </c>
      <c r="X148" s="58">
        <v>7.0</v>
      </c>
      <c r="Y148" s="68">
        <v>125.98</v>
      </c>
      <c r="Z148" s="69">
        <v>0.0</v>
      </c>
      <c r="AA148" s="68">
        <v>0.0</v>
      </c>
      <c r="AB148" s="68">
        <v>0.0</v>
      </c>
      <c r="AC148" s="68">
        <v>0.0</v>
      </c>
      <c r="AD148" s="68">
        <v>0.0</v>
      </c>
      <c r="AE148" s="68">
        <v>0.0</v>
      </c>
      <c r="AF148" s="68">
        <v>0.0</v>
      </c>
      <c r="AG148" s="68">
        <v>0.0</v>
      </c>
      <c r="AH148" s="68">
        <v>0.0</v>
      </c>
      <c r="AI148" s="68">
        <v>0.0</v>
      </c>
      <c r="AJ148" s="68">
        <v>0.0</v>
      </c>
      <c r="AK148" s="68">
        <v>0.0</v>
      </c>
      <c r="AL148" s="68">
        <v>0.0</v>
      </c>
      <c r="AM148" s="68">
        <v>0.0</v>
      </c>
      <c r="AN148" s="68">
        <v>0.0</v>
      </c>
      <c r="AO148" s="68">
        <v>11.02</v>
      </c>
      <c r="AP148" s="68">
        <v>0.0</v>
      </c>
      <c r="AQ148" s="68">
        <v>0.0</v>
      </c>
      <c r="AR148" s="68">
        <v>0.0</v>
      </c>
      <c r="AS148" s="68">
        <v>0.0</v>
      </c>
      <c r="AT148" s="68">
        <v>0.0</v>
      </c>
      <c r="AU148" s="68">
        <v>0.0</v>
      </c>
      <c r="AV148" s="68">
        <v>0.0</v>
      </c>
      <c r="AW148" s="68">
        <v>0.0</v>
      </c>
      <c r="AX148" s="68">
        <v>0.0</v>
      </c>
      <c r="AY148" s="68">
        <v>0.0</v>
      </c>
      <c r="AZ148" s="68">
        <v>0.0</v>
      </c>
      <c r="BA148" s="68">
        <v>0.0</v>
      </c>
      <c r="BB148" s="68">
        <v>11.02</v>
      </c>
      <c r="BC148" s="68" t="s">
        <v>106</v>
      </c>
      <c r="BD148" s="68"/>
      <c r="BG148" s="70">
        <v>-12.6</v>
      </c>
      <c r="BH148" s="68" t="s">
        <v>107</v>
      </c>
      <c r="BI148" s="68" t="s">
        <v>108</v>
      </c>
      <c r="BJ148" s="68" t="s">
        <v>109</v>
      </c>
      <c r="BK148" s="68" t="s">
        <v>353</v>
      </c>
      <c r="BM148" s="68"/>
      <c r="BN148" s="70" t="s">
        <v>111</v>
      </c>
      <c r="BO148" s="68" t="s">
        <v>112</v>
      </c>
      <c r="BP148" s="68" t="s">
        <v>113</v>
      </c>
      <c r="BQ148" s="68" t="s">
        <v>114</v>
      </c>
      <c r="BR148" s="68">
        <v>3.78</v>
      </c>
      <c r="BS148" s="68"/>
      <c r="BW148" s="64" t="str">
        <f>if(OR(F148="SALE",F148="REFUNDED"),IFERROR(Vlookup(I148,'Listing SKU - Fill SKU Mapping'!A:C,3,false),"Map"),"")</f>
        <v>Keystone</v>
      </c>
      <c r="BX148" s="64" t="str">
        <f>IF(OR(F148="SALE",F148="REFUNDED")=TRUE,iferror(Vlookup(I148,'Listing SKU - Fill SKU Mapping'!A:B,2,false),"Map"),"")</f>
        <v>IMP491X</v>
      </c>
      <c r="BY148" s="64">
        <f>IF(OR(F148="SALE",F148="REFUNDED")=TRUE,iferror(Vlookup(I148,'Listing SKU - Fill SKU Mapping'!A:D,4,false),"Map"),"")</f>
        <v>65.88</v>
      </c>
      <c r="BZ148" s="66">
        <f t="shared" si="1"/>
        <v>11.5</v>
      </c>
      <c r="CA148" s="66">
        <f t="shared" si="2"/>
        <v>77.38</v>
      </c>
      <c r="CB148" s="66">
        <f t="shared" si="3"/>
        <v>39.78</v>
      </c>
      <c r="CC148" s="64" t="str">
        <f>if(F148="REFUNDED",iferror(Vlookup(I148,'Listing SKU - Fill SKU Mapping'!A:B,2,false),"Map"),"")</f>
        <v/>
      </c>
      <c r="CD148" s="64" t="str">
        <f>if(F148="REFUNDED",iferror(Vlookup(I148,'Listing SKU - Fill SKU Mapping'!A:C,3,false),"Map"),"")</f>
        <v/>
      </c>
      <c r="CE148" s="64" t="str">
        <f t="shared" si="4"/>
        <v>2025</v>
      </c>
      <c r="CF148" s="64" t="str">
        <f t="shared" si="5"/>
        <v>July</v>
      </c>
      <c r="CG148" s="64" t="str">
        <f t="shared" si="6"/>
        <v/>
      </c>
    </row>
    <row r="149">
      <c r="A149" s="55">
        <v>2.0001E14</v>
      </c>
      <c r="B149" s="56">
        <v>1.0</v>
      </c>
      <c r="C149" s="57">
        <v>1.2902E14</v>
      </c>
      <c r="D149" s="58">
        <v>1.0</v>
      </c>
      <c r="F149" s="59" t="s">
        <v>128</v>
      </c>
      <c r="G149" s="60">
        <v>45868.0</v>
      </c>
      <c r="H149" s="58">
        <v>1.0</v>
      </c>
      <c r="I149" s="58" t="s">
        <v>366</v>
      </c>
      <c r="J149" s="61">
        <v>4.65595320863E11</v>
      </c>
      <c r="K149" s="63"/>
      <c r="L149" s="63"/>
      <c r="M149" s="63"/>
      <c r="N149" s="63"/>
      <c r="O149" s="63"/>
      <c r="P149" s="63"/>
      <c r="Q149" s="63"/>
      <c r="R149" s="63"/>
      <c r="S149" s="63"/>
      <c r="U149" s="59">
        <v>-137.0</v>
      </c>
      <c r="V149" s="59">
        <v>-117.16</v>
      </c>
      <c r="W149" s="58">
        <v>-8.82</v>
      </c>
      <c r="X149" s="58">
        <v>0.0</v>
      </c>
      <c r="Y149" s="68">
        <v>0.0</v>
      </c>
      <c r="Z149" s="69">
        <v>-125.98</v>
      </c>
      <c r="AA149" s="68">
        <v>0.0</v>
      </c>
      <c r="AB149" s="68">
        <v>0.0</v>
      </c>
      <c r="AC149" s="68">
        <v>0.0</v>
      </c>
      <c r="AD149" s="68">
        <v>0.0</v>
      </c>
      <c r="AE149" s="68">
        <v>0.0</v>
      </c>
      <c r="AF149" s="68">
        <v>0.0</v>
      </c>
      <c r="AG149" s="68">
        <v>0.0</v>
      </c>
      <c r="AH149" s="68">
        <v>0.0</v>
      </c>
      <c r="AI149" s="68">
        <v>0.0</v>
      </c>
      <c r="AJ149" s="68">
        <v>0.0</v>
      </c>
      <c r="AK149" s="68">
        <v>0.0</v>
      </c>
      <c r="AL149" s="68">
        <v>0.0</v>
      </c>
      <c r="AM149" s="68">
        <v>0.0</v>
      </c>
      <c r="AN149" s="68">
        <v>0.0</v>
      </c>
      <c r="AO149" s="68">
        <v>0.0</v>
      </c>
      <c r="AP149" s="68">
        <v>0.0</v>
      </c>
      <c r="AQ149" s="68">
        <v>0.0</v>
      </c>
      <c r="AR149" s="68">
        <v>0.0</v>
      </c>
      <c r="AS149" s="68">
        <v>0.0</v>
      </c>
      <c r="AT149" s="68">
        <v>-11.02</v>
      </c>
      <c r="AU149" s="68">
        <v>0.0</v>
      </c>
      <c r="AV149" s="68">
        <v>0.0</v>
      </c>
      <c r="AW149" s="68">
        <v>0.0</v>
      </c>
      <c r="AX149" s="68">
        <v>0.0</v>
      </c>
      <c r="AY149" s="68">
        <v>0.0</v>
      </c>
      <c r="AZ149" s="68">
        <v>0.0</v>
      </c>
      <c r="BA149" s="68">
        <v>0.0</v>
      </c>
      <c r="BB149" s="68">
        <v>-11.02</v>
      </c>
      <c r="BC149" s="68" t="s">
        <v>106</v>
      </c>
      <c r="BD149" s="68" t="s">
        <v>156</v>
      </c>
      <c r="BE149" s="68">
        <v>5010.0</v>
      </c>
      <c r="BF149" s="68"/>
      <c r="BH149" s="70" t="s">
        <v>107</v>
      </c>
      <c r="BI149" s="68" t="s">
        <v>108</v>
      </c>
      <c r="BK149" s="68"/>
      <c r="BL149" s="70">
        <v>1000.0</v>
      </c>
      <c r="BM149" s="68" t="s">
        <v>130</v>
      </c>
      <c r="BN149" s="68" t="s">
        <v>111</v>
      </c>
      <c r="BO149" s="68" t="s">
        <v>112</v>
      </c>
      <c r="BQ149" s="68"/>
      <c r="BW149" s="64" t="str">
        <f>if(OR(F149="SALE",F149="REFUNDED"),IFERROR(Vlookup(I149,'Listing SKU - Fill SKU Mapping'!A:C,3,false),"Map"),"")</f>
        <v>Keystone</v>
      </c>
      <c r="BX149" s="64" t="str">
        <f>IF(OR(F149="SALE",F149="REFUNDED")=TRUE,iferror(Vlookup(I149,'Listing SKU - Fill SKU Mapping'!A:B,2,false),"Map"),"")</f>
        <v>IMP491X</v>
      </c>
      <c r="BY149" s="64">
        <f>IF(OR(F149="SALE",F149="REFUNDED")=TRUE,iferror(Vlookup(I149,'Listing SKU - Fill SKU Mapping'!A:D,4,false),"Map"),"")</f>
        <v>65.88</v>
      </c>
      <c r="BZ149" s="66">
        <f t="shared" si="1"/>
        <v>11.5</v>
      </c>
      <c r="CA149" s="66">
        <f t="shared" si="2"/>
        <v>77.38</v>
      </c>
      <c r="CB149" s="64" t="str">
        <f t="shared" si="3"/>
        <v/>
      </c>
      <c r="CC149" s="64" t="str">
        <f>if(F149="REFUNDED",iferror(Vlookup(I149,'Listing SKU - Fill SKU Mapping'!A:B,2,false),"Map"),"")</f>
        <v>IMP491X</v>
      </c>
      <c r="CD149" s="64" t="str">
        <f>if(F149="REFUNDED",iferror(Vlookup(I149,'Listing SKU - Fill SKU Mapping'!A:C,3,false),"Map"),"")</f>
        <v>Keystone</v>
      </c>
      <c r="CE149" s="64" t="str">
        <f t="shared" si="4"/>
        <v>2025</v>
      </c>
      <c r="CF149" s="64" t="str">
        <f t="shared" si="5"/>
        <v>July</v>
      </c>
      <c r="CG149" s="64" t="str">
        <f t="shared" si="6"/>
        <v/>
      </c>
    </row>
    <row r="150">
      <c r="A150" s="55">
        <v>2.0001E14</v>
      </c>
      <c r="B150" s="56">
        <v>1.0</v>
      </c>
      <c r="C150" s="57">
        <v>1.2902E14</v>
      </c>
      <c r="D150" s="58">
        <v>1.0</v>
      </c>
      <c r="F150" s="59" t="s">
        <v>100</v>
      </c>
      <c r="G150" s="60">
        <v>45873.0</v>
      </c>
      <c r="H150" s="58">
        <v>1.0</v>
      </c>
      <c r="I150" s="58" t="s">
        <v>367</v>
      </c>
      <c r="J150" s="61">
        <v>4.67129937981E11</v>
      </c>
      <c r="K150" s="63"/>
      <c r="L150" s="63"/>
      <c r="M150" s="63"/>
      <c r="N150" s="63"/>
      <c r="O150" s="63"/>
      <c r="P150" s="63"/>
      <c r="Q150" s="63"/>
      <c r="R150" s="63"/>
      <c r="S150" s="63"/>
      <c r="T150" s="58" t="s">
        <v>105</v>
      </c>
      <c r="U150" s="59">
        <v>92.98</v>
      </c>
      <c r="V150" s="59">
        <v>90.19</v>
      </c>
      <c r="W150" s="58">
        <v>6.79</v>
      </c>
      <c r="X150" s="58">
        <v>7.0</v>
      </c>
      <c r="Y150" s="68">
        <v>86.9</v>
      </c>
      <c r="Z150" s="69">
        <v>0.0</v>
      </c>
      <c r="AA150" s="68">
        <v>0.0</v>
      </c>
      <c r="AB150" s="68">
        <v>0.0</v>
      </c>
      <c r="AC150" s="68">
        <v>0.0</v>
      </c>
      <c r="AD150" s="68">
        <v>0.0</v>
      </c>
      <c r="AE150" s="68">
        <v>0.0</v>
      </c>
      <c r="AF150" s="68">
        <v>0.0</v>
      </c>
      <c r="AG150" s="68">
        <v>0.0</v>
      </c>
      <c r="AH150" s="68">
        <v>0.0</v>
      </c>
      <c r="AI150" s="68">
        <v>0.0</v>
      </c>
      <c r="AJ150" s="68">
        <v>0.0</v>
      </c>
      <c r="AK150" s="68">
        <v>0.0</v>
      </c>
      <c r="AL150" s="68">
        <v>0.0</v>
      </c>
      <c r="AM150" s="68">
        <v>0.0</v>
      </c>
      <c r="AN150" s="68">
        <v>0.0</v>
      </c>
      <c r="AO150" s="68">
        <v>6.08</v>
      </c>
      <c r="AP150" s="68">
        <v>0.0</v>
      </c>
      <c r="AQ150" s="68">
        <v>0.0</v>
      </c>
      <c r="AR150" s="68">
        <v>0.0</v>
      </c>
      <c r="AS150" s="68">
        <v>0.0</v>
      </c>
      <c r="AT150" s="68">
        <v>0.0</v>
      </c>
      <c r="AU150" s="68">
        <v>0.0</v>
      </c>
      <c r="AV150" s="68">
        <v>0.0</v>
      </c>
      <c r="AW150" s="68">
        <v>0.0</v>
      </c>
      <c r="AX150" s="68">
        <v>0.0</v>
      </c>
      <c r="AY150" s="68">
        <v>0.0</v>
      </c>
      <c r="AZ150" s="68">
        <v>0.0</v>
      </c>
      <c r="BA150" s="68">
        <v>0.0</v>
      </c>
      <c r="BB150" s="68">
        <v>6.08</v>
      </c>
      <c r="BC150" s="68" t="s">
        <v>106</v>
      </c>
      <c r="BD150" s="68"/>
      <c r="BF150" s="70">
        <v>96.98</v>
      </c>
      <c r="BG150" s="68">
        <v>-9.7</v>
      </c>
      <c r="BH150" s="68" t="s">
        <v>107</v>
      </c>
      <c r="BI150" s="68" t="s">
        <v>108</v>
      </c>
      <c r="BJ150" s="68" t="s">
        <v>109</v>
      </c>
      <c r="BK150" s="68" t="s">
        <v>333</v>
      </c>
      <c r="BM150" s="68"/>
      <c r="BN150" s="70" t="s">
        <v>111</v>
      </c>
      <c r="BO150" s="68" t="s">
        <v>112</v>
      </c>
      <c r="BP150" s="68" t="s">
        <v>113</v>
      </c>
      <c r="BQ150" s="68" t="s">
        <v>317</v>
      </c>
      <c r="BR150" s="68">
        <v>2.91</v>
      </c>
      <c r="BS150" s="68"/>
      <c r="BT150" s="70">
        <v>-10.08</v>
      </c>
      <c r="BU150" s="68" t="s">
        <v>318</v>
      </c>
      <c r="BW150" s="64" t="str">
        <f>if(OR(F150="SALE",F150="REFUNDED"),IFERROR(Vlookup(I150,'Listing SKU - Fill SKU Mapping'!A:C,3,false),"Map"),"")</f>
        <v>Keystone</v>
      </c>
      <c r="BX150" s="64" t="str">
        <f>IF(OR(F150="SALE",F150="REFUNDED")=TRUE,iferror(Vlookup(I150,'Listing SKU - Fill SKU Mapping'!A:B,2,false),"Map"),"")</f>
        <v>53917BLK</v>
      </c>
      <c r="BY150" s="64">
        <f>IF(OR(F150="SALE",F150="REFUNDED")=TRUE,iferror(Vlookup(I150,'Listing SKU - Fill SKU Mapping'!A:D,4,false),"Map"),"")</f>
        <v>40.4</v>
      </c>
      <c r="BZ150" s="66">
        <f t="shared" si="1"/>
        <v>11.5</v>
      </c>
      <c r="CA150" s="66">
        <f t="shared" si="2"/>
        <v>51.9</v>
      </c>
      <c r="CB150" s="66">
        <f t="shared" si="3"/>
        <v>38.29</v>
      </c>
      <c r="CC150" s="64" t="str">
        <f>if(F150="REFUNDED",iferror(Vlookup(I150,'Listing SKU - Fill SKU Mapping'!A:B,2,false),"Map"),"")</f>
        <v/>
      </c>
      <c r="CD150" s="64" t="str">
        <f>if(F150="REFUNDED",iferror(Vlookup(I150,'Listing SKU - Fill SKU Mapping'!A:C,3,false),"Map"),"")</f>
        <v/>
      </c>
      <c r="CE150" s="64" t="str">
        <f t="shared" si="4"/>
        <v>2025</v>
      </c>
      <c r="CF150" s="64" t="str">
        <f t="shared" si="5"/>
        <v>August</v>
      </c>
      <c r="CG150" s="64" t="str">
        <f t="shared" si="6"/>
        <v/>
      </c>
    </row>
    <row r="151">
      <c r="A151" s="55">
        <v>2.0001E14</v>
      </c>
      <c r="B151" s="56">
        <v>1.0</v>
      </c>
      <c r="C151" s="57">
        <v>1.2902E14</v>
      </c>
      <c r="D151" s="58">
        <v>1.0</v>
      </c>
      <c r="F151" s="59" t="s">
        <v>100</v>
      </c>
      <c r="G151" s="60">
        <v>45866.0</v>
      </c>
      <c r="H151" s="58">
        <v>1.0</v>
      </c>
      <c r="I151" s="58" t="s">
        <v>368</v>
      </c>
      <c r="J151" s="61">
        <v>4.68102657971E11</v>
      </c>
      <c r="K151" s="63"/>
      <c r="L151" s="63"/>
      <c r="M151" s="63"/>
      <c r="N151" s="63"/>
      <c r="O151" s="63"/>
      <c r="P151" s="63"/>
      <c r="Q151" s="63"/>
      <c r="R151" s="63"/>
      <c r="S151" s="63"/>
      <c r="T151" s="58" t="s">
        <v>105</v>
      </c>
      <c r="U151" s="59">
        <v>82.03</v>
      </c>
      <c r="V151" s="59">
        <v>70.63</v>
      </c>
      <c r="W151" s="58">
        <v>5.32</v>
      </c>
      <c r="X151" s="58">
        <v>7.0</v>
      </c>
      <c r="Y151" s="68">
        <v>75.95</v>
      </c>
      <c r="Z151" s="69">
        <v>0.0</v>
      </c>
      <c r="AA151" s="68">
        <v>0.0</v>
      </c>
      <c r="AB151" s="68">
        <v>0.0</v>
      </c>
      <c r="AC151" s="68">
        <v>0.0</v>
      </c>
      <c r="AD151" s="68">
        <v>0.0</v>
      </c>
      <c r="AE151" s="68">
        <v>0.0</v>
      </c>
      <c r="AF151" s="68">
        <v>0.0</v>
      </c>
      <c r="AG151" s="68">
        <v>0.0</v>
      </c>
      <c r="AH151" s="68">
        <v>0.0</v>
      </c>
      <c r="AI151" s="68">
        <v>0.0</v>
      </c>
      <c r="AJ151" s="68">
        <v>0.0</v>
      </c>
      <c r="AK151" s="68">
        <v>0.0</v>
      </c>
      <c r="AL151" s="68">
        <v>0.0</v>
      </c>
      <c r="AM151" s="68">
        <v>0.0</v>
      </c>
      <c r="AN151" s="68">
        <v>0.0</v>
      </c>
      <c r="AO151" s="68">
        <v>6.08</v>
      </c>
      <c r="AP151" s="68">
        <v>0.0</v>
      </c>
      <c r="AQ151" s="68">
        <v>0.0</v>
      </c>
      <c r="AR151" s="68">
        <v>0.0</v>
      </c>
      <c r="AS151" s="68">
        <v>0.0</v>
      </c>
      <c r="AT151" s="68">
        <v>0.0</v>
      </c>
      <c r="AU151" s="68">
        <v>0.0</v>
      </c>
      <c r="AV151" s="68">
        <v>0.0</v>
      </c>
      <c r="AW151" s="68">
        <v>0.0</v>
      </c>
      <c r="AX151" s="68">
        <v>0.0</v>
      </c>
      <c r="AY151" s="68">
        <v>0.0</v>
      </c>
      <c r="AZ151" s="68">
        <v>0.0</v>
      </c>
      <c r="BA151" s="68">
        <v>0.0</v>
      </c>
      <c r="BB151" s="68">
        <v>6.08</v>
      </c>
      <c r="BC151" s="68" t="s">
        <v>106</v>
      </c>
      <c r="BD151" s="68"/>
      <c r="BG151" s="70">
        <v>-7.6</v>
      </c>
      <c r="BH151" s="68" t="s">
        <v>107</v>
      </c>
      <c r="BI151" s="68" t="s">
        <v>108</v>
      </c>
      <c r="BJ151" s="68" t="s">
        <v>109</v>
      </c>
      <c r="BK151" s="68" t="s">
        <v>353</v>
      </c>
      <c r="BM151" s="68"/>
      <c r="BN151" s="70" t="s">
        <v>111</v>
      </c>
      <c r="BO151" s="68" t="s">
        <v>112</v>
      </c>
      <c r="BP151" s="68" t="s">
        <v>113</v>
      </c>
      <c r="BQ151" s="68" t="s">
        <v>114</v>
      </c>
      <c r="BR151" s="68">
        <v>2.28</v>
      </c>
      <c r="BS151" s="68"/>
      <c r="BW151" s="64" t="str">
        <f>if(OR(F151="SALE",F151="REFUNDED"),IFERROR(Vlookup(I151,'Listing SKU - Fill SKU Mapping'!A:C,3,false),"Map"),"")</f>
        <v>Keystone</v>
      </c>
      <c r="BX151" s="64" t="str">
        <f>IF(OR(F151="SALE",F151="REFUNDED")=TRUE,iferror(Vlookup(I151,'Listing SKU - Fill SKU Mapping'!A:B,2,false),"Map"),"")</f>
        <v>C3620R</v>
      </c>
      <c r="BY151" s="64">
        <f>IF(OR(F151="SALE",F151="REFUNDED")=TRUE,iferror(Vlookup(I151,'Listing SKU - Fill SKU Mapping'!A:D,4,false),"Map"),"")</f>
        <v>35.5</v>
      </c>
      <c r="BZ151" s="66">
        <f t="shared" si="1"/>
        <v>11.5</v>
      </c>
      <c r="CA151" s="66">
        <f t="shared" si="2"/>
        <v>47</v>
      </c>
      <c r="CB151" s="66">
        <f t="shared" si="3"/>
        <v>23.63</v>
      </c>
      <c r="CC151" s="64" t="str">
        <f>if(F151="REFUNDED",iferror(Vlookup(I151,'Listing SKU - Fill SKU Mapping'!A:B,2,false),"Map"),"")</f>
        <v/>
      </c>
      <c r="CD151" s="64" t="str">
        <f>if(F151="REFUNDED",iferror(Vlookup(I151,'Listing SKU - Fill SKU Mapping'!A:C,3,false),"Map"),"")</f>
        <v/>
      </c>
      <c r="CE151" s="64" t="str">
        <f t="shared" si="4"/>
        <v>2025</v>
      </c>
      <c r="CF151" s="64" t="str">
        <f t="shared" si="5"/>
        <v>July</v>
      </c>
      <c r="CG151" s="64" t="str">
        <f t="shared" si="6"/>
        <v/>
      </c>
    </row>
    <row r="152">
      <c r="A152" s="55">
        <v>2.0001E14</v>
      </c>
      <c r="B152" s="56">
        <v>1.0</v>
      </c>
      <c r="C152" s="57">
        <v>1.2902E14</v>
      </c>
      <c r="D152" s="58">
        <v>1.0</v>
      </c>
      <c r="F152" s="59" t="s">
        <v>100</v>
      </c>
      <c r="G152" s="60">
        <v>45869.0</v>
      </c>
      <c r="H152" s="58">
        <v>1.0</v>
      </c>
      <c r="I152" s="58" t="s">
        <v>369</v>
      </c>
      <c r="J152" s="61">
        <v>4.66885076132E11</v>
      </c>
      <c r="K152" s="63"/>
      <c r="L152" s="63"/>
      <c r="M152" s="63"/>
      <c r="N152" s="63"/>
      <c r="O152" s="63"/>
      <c r="P152" s="63"/>
      <c r="Q152" s="63"/>
      <c r="R152" s="63"/>
      <c r="S152" s="63"/>
      <c r="T152" s="58" t="s">
        <v>105</v>
      </c>
      <c r="U152" s="59">
        <v>69.39</v>
      </c>
      <c r="V152" s="59">
        <v>68.8</v>
      </c>
      <c r="W152" s="58">
        <v>5.18</v>
      </c>
      <c r="X152" s="58">
        <v>7.0</v>
      </c>
      <c r="Y152" s="68">
        <v>65.9</v>
      </c>
      <c r="Z152" s="69">
        <v>0.0</v>
      </c>
      <c r="AA152" s="68">
        <v>0.0</v>
      </c>
      <c r="AB152" s="68">
        <v>0.0</v>
      </c>
      <c r="AC152" s="68">
        <v>0.0</v>
      </c>
      <c r="AD152" s="68">
        <v>0.0</v>
      </c>
      <c r="AE152" s="68">
        <v>0.0</v>
      </c>
      <c r="AF152" s="68">
        <v>0.0</v>
      </c>
      <c r="AG152" s="68">
        <v>0.0</v>
      </c>
      <c r="AH152" s="68">
        <v>0.0</v>
      </c>
      <c r="AI152" s="68">
        <v>0.0</v>
      </c>
      <c r="AJ152" s="68">
        <v>0.0</v>
      </c>
      <c r="AK152" s="68">
        <v>0.0</v>
      </c>
      <c r="AL152" s="68">
        <v>0.0</v>
      </c>
      <c r="AM152" s="68">
        <v>0.0</v>
      </c>
      <c r="AN152" s="68">
        <v>0.0</v>
      </c>
      <c r="AO152" s="68">
        <v>3.49</v>
      </c>
      <c r="AP152" s="68">
        <v>0.0</v>
      </c>
      <c r="AQ152" s="68">
        <v>0.0</v>
      </c>
      <c r="AR152" s="68">
        <v>0.0</v>
      </c>
      <c r="AS152" s="68">
        <v>0.0</v>
      </c>
      <c r="AT152" s="68">
        <v>0.0</v>
      </c>
      <c r="AU152" s="68">
        <v>0.0</v>
      </c>
      <c r="AV152" s="68">
        <v>0.0</v>
      </c>
      <c r="AW152" s="68">
        <v>0.0</v>
      </c>
      <c r="AX152" s="68">
        <v>0.0</v>
      </c>
      <c r="AY152" s="68">
        <v>0.0</v>
      </c>
      <c r="AZ152" s="68">
        <v>0.0</v>
      </c>
      <c r="BA152" s="68">
        <v>0.0</v>
      </c>
      <c r="BB152" s="68">
        <v>3.49</v>
      </c>
      <c r="BC152" s="68" t="s">
        <v>106</v>
      </c>
      <c r="BD152" s="68"/>
      <c r="BF152" s="70">
        <v>73.98</v>
      </c>
      <c r="BG152" s="68">
        <v>-7.4</v>
      </c>
      <c r="BH152" s="68" t="s">
        <v>107</v>
      </c>
      <c r="BI152" s="68" t="s">
        <v>108</v>
      </c>
      <c r="BJ152" s="68" t="s">
        <v>109</v>
      </c>
      <c r="BK152" s="68" t="s">
        <v>353</v>
      </c>
      <c r="BM152" s="68"/>
      <c r="BN152" s="70" t="s">
        <v>111</v>
      </c>
      <c r="BO152" s="68" t="s">
        <v>112</v>
      </c>
      <c r="BP152" s="68" t="s">
        <v>113</v>
      </c>
      <c r="BQ152" s="68" t="s">
        <v>317</v>
      </c>
      <c r="BR152" s="68">
        <v>2.22</v>
      </c>
      <c r="BS152" s="68"/>
      <c r="BT152" s="70">
        <v>-8.08</v>
      </c>
      <c r="BU152" s="68" t="s">
        <v>318</v>
      </c>
      <c r="BW152" s="64" t="str">
        <f>if(OR(F152="SALE",F152="REFUNDED"),IFERROR(Vlookup(I152,'Listing SKU - Fill SKU Mapping'!A:C,3,false),"Map"),"")</f>
        <v>Keystone</v>
      </c>
      <c r="BX152" s="64" t="str">
        <f>IF(OR(F152="SALE",F152="REFUNDED")=TRUE,iferror(Vlookup(I152,'Listing SKU - Fill SKU Mapping'!A:B,2,false),"Map"),"")</f>
        <v>41415S</v>
      </c>
      <c r="BY152" s="64">
        <f>IF(OR(F152="SALE",F152="REFUNDED")=TRUE,iferror(Vlookup(I152,'Listing SKU - Fill SKU Mapping'!A:D,4,false),"Map"),"")</f>
        <v>26.04</v>
      </c>
      <c r="BZ152" s="66">
        <f t="shared" si="1"/>
        <v>11.5</v>
      </c>
      <c r="CA152" s="66">
        <f t="shared" si="2"/>
        <v>37.54</v>
      </c>
      <c r="CB152" s="66">
        <f t="shared" si="3"/>
        <v>31.26</v>
      </c>
      <c r="CC152" s="64" t="str">
        <f>if(F152="REFUNDED",iferror(Vlookup(I152,'Listing SKU - Fill SKU Mapping'!A:B,2,false),"Map"),"")</f>
        <v/>
      </c>
      <c r="CD152" s="64" t="str">
        <f>if(F152="REFUNDED",iferror(Vlookup(I152,'Listing SKU - Fill SKU Mapping'!A:C,3,false),"Map"),"")</f>
        <v/>
      </c>
      <c r="CE152" s="64" t="str">
        <f t="shared" si="4"/>
        <v>2025</v>
      </c>
      <c r="CF152" s="64" t="str">
        <f t="shared" si="5"/>
        <v>July</v>
      </c>
      <c r="CG152" s="64" t="str">
        <f t="shared" si="6"/>
        <v/>
      </c>
    </row>
    <row r="153">
      <c r="A153" s="55">
        <v>2.0001E14</v>
      </c>
      <c r="B153" s="56">
        <v>1.0</v>
      </c>
      <c r="C153" s="57">
        <v>1.2902E14</v>
      </c>
      <c r="D153" s="58">
        <v>1.0</v>
      </c>
      <c r="F153" s="59" t="s">
        <v>100</v>
      </c>
      <c r="G153" s="60">
        <v>45875.0</v>
      </c>
      <c r="H153" s="58">
        <v>1.0</v>
      </c>
      <c r="I153" s="58" t="s">
        <v>338</v>
      </c>
      <c r="J153" s="61">
        <v>4.6712993485E11</v>
      </c>
      <c r="K153" s="63"/>
      <c r="L153" s="63"/>
      <c r="M153" s="63"/>
      <c r="N153" s="63"/>
      <c r="O153" s="63"/>
      <c r="P153" s="63"/>
      <c r="Q153" s="63"/>
      <c r="R153" s="63"/>
      <c r="S153" s="63"/>
      <c r="T153" s="58" t="s">
        <v>105</v>
      </c>
      <c r="U153" s="59">
        <v>91.35</v>
      </c>
      <c r="V153" s="59">
        <v>79.96</v>
      </c>
      <c r="W153" s="58">
        <v>6.02</v>
      </c>
      <c r="X153" s="58">
        <v>7.0</v>
      </c>
      <c r="Y153" s="68">
        <v>85.98</v>
      </c>
      <c r="Z153" s="69">
        <v>0.0</v>
      </c>
      <c r="AA153" s="68">
        <v>0.0</v>
      </c>
      <c r="AB153" s="68">
        <v>0.0</v>
      </c>
      <c r="AC153" s="68">
        <v>0.0</v>
      </c>
      <c r="AD153" s="68">
        <v>0.0</v>
      </c>
      <c r="AE153" s="68">
        <v>0.0</v>
      </c>
      <c r="AF153" s="68">
        <v>0.0</v>
      </c>
      <c r="AG153" s="68">
        <v>0.0</v>
      </c>
      <c r="AH153" s="68">
        <v>0.0</v>
      </c>
      <c r="AI153" s="68">
        <v>0.0</v>
      </c>
      <c r="AJ153" s="68">
        <v>0.0</v>
      </c>
      <c r="AK153" s="68">
        <v>0.0</v>
      </c>
      <c r="AL153" s="68">
        <v>0.0</v>
      </c>
      <c r="AM153" s="68">
        <v>0.0</v>
      </c>
      <c r="AN153" s="68">
        <v>0.0</v>
      </c>
      <c r="AO153" s="68">
        <v>5.37</v>
      </c>
      <c r="AP153" s="68">
        <v>0.0</v>
      </c>
      <c r="AQ153" s="68">
        <v>0.0</v>
      </c>
      <c r="AR153" s="68">
        <v>0.0</v>
      </c>
      <c r="AS153" s="68">
        <v>0.0</v>
      </c>
      <c r="AT153" s="68">
        <v>0.0</v>
      </c>
      <c r="AU153" s="68">
        <v>0.0</v>
      </c>
      <c r="AV153" s="68">
        <v>0.0</v>
      </c>
      <c r="AW153" s="68">
        <v>0.0</v>
      </c>
      <c r="AX153" s="68">
        <v>0.0</v>
      </c>
      <c r="AY153" s="68">
        <v>0.0</v>
      </c>
      <c r="AZ153" s="68">
        <v>0.0</v>
      </c>
      <c r="BA153" s="68">
        <v>0.0</v>
      </c>
      <c r="BB153" s="68">
        <v>5.37</v>
      </c>
      <c r="BC153" s="68" t="s">
        <v>106</v>
      </c>
      <c r="BD153" s="68"/>
      <c r="BG153" s="70">
        <v>-8.6</v>
      </c>
      <c r="BH153" s="68" t="s">
        <v>107</v>
      </c>
      <c r="BI153" s="68" t="s">
        <v>108</v>
      </c>
      <c r="BJ153" s="68" t="s">
        <v>109</v>
      </c>
      <c r="BK153" s="68" t="s">
        <v>363</v>
      </c>
      <c r="BM153" s="68"/>
      <c r="BN153" s="70" t="s">
        <v>111</v>
      </c>
      <c r="BO153" s="68" t="s">
        <v>112</v>
      </c>
      <c r="BP153" s="68" t="s">
        <v>113</v>
      </c>
      <c r="BQ153" s="68" t="s">
        <v>114</v>
      </c>
      <c r="BR153" s="68">
        <v>2.58</v>
      </c>
      <c r="BS153" s="68"/>
      <c r="BW153" s="64" t="str">
        <f>if(OR(F153="SALE",F153="REFUNDED"),IFERROR(Vlookup(I153,'Listing SKU - Fill SKU Mapping'!A:C,3,false),"Map"),"")</f>
        <v>Keystone</v>
      </c>
      <c r="BX153" s="64" t="str">
        <f>IF(OR(F153="SALE",F153="REFUNDED")=TRUE,iferror(Vlookup(I153,'Listing SKU - Fill SKU Mapping'!A:B,2,false),"Map"),"")</f>
        <v>54216BLK</v>
      </c>
      <c r="BY153" s="64">
        <f>IF(OR(F153="SALE",F153="REFUNDED")=TRUE,iferror(Vlookup(I153,'Listing SKU - Fill SKU Mapping'!A:D,4,false),"Map"),"")</f>
        <v>33.14</v>
      </c>
      <c r="BZ153" s="66">
        <f t="shared" si="1"/>
        <v>11.5</v>
      </c>
      <c r="CA153" s="66">
        <f t="shared" si="2"/>
        <v>44.64</v>
      </c>
      <c r="CB153" s="66">
        <f t="shared" si="3"/>
        <v>35.32</v>
      </c>
      <c r="CC153" s="64" t="str">
        <f>if(F153="REFUNDED",iferror(Vlookup(I153,'Listing SKU - Fill SKU Mapping'!A:B,2,false),"Map"),"")</f>
        <v/>
      </c>
      <c r="CD153" s="64" t="str">
        <f>if(F153="REFUNDED",iferror(Vlookup(I153,'Listing SKU - Fill SKU Mapping'!A:C,3,false),"Map"),"")</f>
        <v/>
      </c>
      <c r="CE153" s="64" t="str">
        <f t="shared" si="4"/>
        <v>2025</v>
      </c>
      <c r="CF153" s="64" t="str">
        <f t="shared" si="5"/>
        <v>August</v>
      </c>
      <c r="CG153" s="64" t="str">
        <f t="shared" si="6"/>
        <v/>
      </c>
    </row>
    <row r="154">
      <c r="A154" s="55">
        <v>2.0001E14</v>
      </c>
      <c r="B154" s="56">
        <v>1.0</v>
      </c>
      <c r="C154" s="57">
        <v>1.2902E14</v>
      </c>
      <c r="D154" s="58">
        <v>1.0</v>
      </c>
      <c r="F154" s="59" t="s">
        <v>100</v>
      </c>
      <c r="G154" s="60">
        <v>45873.0</v>
      </c>
      <c r="H154" s="58">
        <v>1.0</v>
      </c>
      <c r="I154" s="58" t="s">
        <v>370</v>
      </c>
      <c r="J154" s="61">
        <v>4.60776240206E11</v>
      </c>
      <c r="K154" s="63"/>
      <c r="L154" s="63"/>
      <c r="M154" s="63"/>
      <c r="N154" s="63"/>
      <c r="O154" s="63"/>
      <c r="P154" s="63"/>
      <c r="Q154" s="63"/>
      <c r="R154" s="63"/>
      <c r="S154" s="63"/>
      <c r="T154" s="58" t="s">
        <v>105</v>
      </c>
      <c r="U154" s="59">
        <v>116.88</v>
      </c>
      <c r="V154" s="59">
        <v>99.49</v>
      </c>
      <c r="W154" s="58">
        <v>7.49</v>
      </c>
      <c r="X154" s="58">
        <v>7.0</v>
      </c>
      <c r="Y154" s="68">
        <v>106.98</v>
      </c>
      <c r="Z154" s="69">
        <v>0.0</v>
      </c>
      <c r="AA154" s="68">
        <v>0.0</v>
      </c>
      <c r="AB154" s="68">
        <v>0.0</v>
      </c>
      <c r="AC154" s="68">
        <v>0.0</v>
      </c>
      <c r="AD154" s="68">
        <v>0.0</v>
      </c>
      <c r="AE154" s="68">
        <v>0.0</v>
      </c>
      <c r="AF154" s="68">
        <v>0.0</v>
      </c>
      <c r="AG154" s="68">
        <v>0.0</v>
      </c>
      <c r="AH154" s="68">
        <v>0.0</v>
      </c>
      <c r="AI154" s="68">
        <v>0.0</v>
      </c>
      <c r="AJ154" s="68">
        <v>0.0</v>
      </c>
      <c r="AK154" s="68">
        <v>0.0</v>
      </c>
      <c r="AL154" s="68">
        <v>0.0</v>
      </c>
      <c r="AM154" s="68">
        <v>0.0</v>
      </c>
      <c r="AN154" s="68">
        <v>0.0</v>
      </c>
      <c r="AO154" s="68">
        <v>9.9</v>
      </c>
      <c r="AP154" s="68">
        <v>0.0</v>
      </c>
      <c r="AQ154" s="68">
        <v>0.0</v>
      </c>
      <c r="AR154" s="68">
        <v>0.0</v>
      </c>
      <c r="AS154" s="68">
        <v>0.0</v>
      </c>
      <c r="AT154" s="68">
        <v>0.0</v>
      </c>
      <c r="AU154" s="68">
        <v>0.0</v>
      </c>
      <c r="AV154" s="68">
        <v>0.0</v>
      </c>
      <c r="AW154" s="68">
        <v>0.0</v>
      </c>
      <c r="AX154" s="68">
        <v>0.0</v>
      </c>
      <c r="AY154" s="68">
        <v>0.0</v>
      </c>
      <c r="AZ154" s="68">
        <v>0.0</v>
      </c>
      <c r="BA154" s="68">
        <v>0.0</v>
      </c>
      <c r="BB154" s="68">
        <v>9.9</v>
      </c>
      <c r="BC154" s="68" t="s">
        <v>106</v>
      </c>
      <c r="BD154" s="68"/>
      <c r="BG154" s="70">
        <v>-10.7</v>
      </c>
      <c r="BH154" s="68" t="s">
        <v>107</v>
      </c>
      <c r="BI154" s="68" t="s">
        <v>108</v>
      </c>
      <c r="BJ154" s="68" t="s">
        <v>109</v>
      </c>
      <c r="BK154" s="68" t="s">
        <v>363</v>
      </c>
      <c r="BM154" s="68"/>
      <c r="BN154" s="70" t="s">
        <v>106</v>
      </c>
      <c r="BO154" s="68" t="s">
        <v>112</v>
      </c>
      <c r="BP154" s="68" t="s">
        <v>113</v>
      </c>
      <c r="BQ154" s="68" t="s">
        <v>114</v>
      </c>
      <c r="BR154" s="68">
        <v>3.21</v>
      </c>
      <c r="BS154" s="68"/>
      <c r="BW154" s="64" t="str">
        <f>if(OR(F154="SALE",F154="REFUNDED"),IFERROR(Vlookup(I154,'Listing SKU - Fill SKU Mapping'!A:C,3,false),"Map"),"")</f>
        <v>Keystone</v>
      </c>
      <c r="BX154" s="64" t="str">
        <f>IF(OR(F154="SALE",F154="REFUNDED")=TRUE,iferror(Vlookup(I154,'Listing SKU - Fill SKU Mapping'!A:B,2,false),"Map"),"")</f>
        <v>IMP408BLK</v>
      </c>
      <c r="BY154" s="64">
        <f>IF(OR(F154="SALE",F154="REFUNDED")=TRUE,iferror(Vlookup(I154,'Listing SKU - Fill SKU Mapping'!A:D,4,false),"Map"),"")</f>
        <v>48.52</v>
      </c>
      <c r="BZ154" s="66">
        <f t="shared" si="1"/>
        <v>11.5</v>
      </c>
      <c r="CA154" s="66">
        <f t="shared" si="2"/>
        <v>60.02</v>
      </c>
      <c r="CB154" s="66">
        <f t="shared" si="3"/>
        <v>39.47</v>
      </c>
      <c r="CC154" s="64" t="str">
        <f>if(F154="REFUNDED",iferror(Vlookup(I154,'Listing SKU - Fill SKU Mapping'!A:B,2,false),"Map"),"")</f>
        <v/>
      </c>
      <c r="CD154" s="64" t="str">
        <f>if(F154="REFUNDED",iferror(Vlookup(I154,'Listing SKU - Fill SKU Mapping'!A:C,3,false),"Map"),"")</f>
        <v/>
      </c>
      <c r="CE154" s="64" t="str">
        <f t="shared" si="4"/>
        <v>2025</v>
      </c>
      <c r="CF154" s="64" t="str">
        <f t="shared" si="5"/>
        <v>August</v>
      </c>
      <c r="CG154" s="64" t="str">
        <f t="shared" si="6"/>
        <v/>
      </c>
    </row>
    <row r="155">
      <c r="A155" s="55">
        <v>2.0001E14</v>
      </c>
      <c r="B155" s="56">
        <v>1.0</v>
      </c>
      <c r="C155" s="57">
        <v>1.0902E14</v>
      </c>
      <c r="D155" s="58">
        <v>1.0</v>
      </c>
      <c r="F155" s="59" t="s">
        <v>158</v>
      </c>
      <c r="G155" s="60">
        <v>45865.0</v>
      </c>
      <c r="H155" s="58">
        <v>1.0</v>
      </c>
      <c r="I155" s="58" t="s">
        <v>213</v>
      </c>
      <c r="J155" s="61">
        <v>4.60776230832E11</v>
      </c>
      <c r="K155" s="63"/>
      <c r="L155" s="63"/>
      <c r="M155" s="63"/>
      <c r="N155" s="63"/>
      <c r="O155" s="63"/>
      <c r="P155" s="63"/>
      <c r="Q155" s="63"/>
      <c r="R155" s="63"/>
      <c r="S155" s="63"/>
      <c r="T155" s="58" t="s">
        <v>105</v>
      </c>
      <c r="U155" s="59">
        <v>0.0</v>
      </c>
      <c r="V155" s="59">
        <v>-10.81</v>
      </c>
      <c r="W155" s="58">
        <v>0.0</v>
      </c>
      <c r="X155" s="58">
        <v>0.0</v>
      </c>
      <c r="Y155" s="70">
        <v>0.0</v>
      </c>
      <c r="Z155" s="69">
        <v>0.0</v>
      </c>
      <c r="AA155" s="68">
        <v>0.0</v>
      </c>
      <c r="AB155" s="68">
        <v>0.0</v>
      </c>
      <c r="AC155" s="68">
        <v>0.0</v>
      </c>
      <c r="AD155" s="68">
        <v>0.0</v>
      </c>
      <c r="AE155" s="68">
        <v>0.0</v>
      </c>
      <c r="AF155" s="68">
        <v>0.0</v>
      </c>
      <c r="AG155" s="68">
        <v>0.0</v>
      </c>
      <c r="AH155" s="68">
        <v>0.0</v>
      </c>
      <c r="AI155" s="68">
        <v>0.0</v>
      </c>
      <c r="AJ155" s="68">
        <v>0.0</v>
      </c>
      <c r="AK155" s="68">
        <v>0.0</v>
      </c>
      <c r="AL155" s="68">
        <v>0.0</v>
      </c>
      <c r="AM155" s="68">
        <v>0.0</v>
      </c>
      <c r="AN155" s="68">
        <v>0.0</v>
      </c>
      <c r="AO155" s="68">
        <v>0.0</v>
      </c>
      <c r="AP155" s="68">
        <v>0.0</v>
      </c>
      <c r="AQ155" s="68">
        <v>0.0</v>
      </c>
      <c r="AR155" s="68">
        <v>0.0</v>
      </c>
      <c r="AS155" s="68">
        <v>0.0</v>
      </c>
      <c r="AT155" s="68">
        <v>0.0</v>
      </c>
      <c r="AU155" s="68">
        <v>0.0</v>
      </c>
      <c r="AV155" s="68">
        <v>0.0</v>
      </c>
      <c r="AW155" s="68">
        <v>0.0</v>
      </c>
      <c r="AX155" s="68">
        <v>0.0</v>
      </c>
      <c r="AY155" s="68">
        <v>0.0</v>
      </c>
      <c r="AZ155" s="68">
        <v>0.0</v>
      </c>
      <c r="BA155" s="68">
        <v>0.0</v>
      </c>
      <c r="BB155" s="68">
        <v>0.0</v>
      </c>
      <c r="BC155" s="68" t="s">
        <v>106</v>
      </c>
      <c r="BD155" s="68" t="s">
        <v>163</v>
      </c>
      <c r="BE155" s="68">
        <v>5013.0</v>
      </c>
      <c r="BF155" s="68"/>
      <c r="BH155" s="70" t="s">
        <v>107</v>
      </c>
      <c r="BI155" s="68" t="s">
        <v>108</v>
      </c>
      <c r="BK155" s="68"/>
      <c r="BN155" s="70" t="s">
        <v>111</v>
      </c>
      <c r="BO155" s="68" t="s">
        <v>112</v>
      </c>
      <c r="BQ155" s="68"/>
      <c r="BW155" s="64" t="str">
        <f>if(OR(F155="SALE",F155="REFUNDED"),IFERROR(Vlookup(I155,'Listing SKU - Fill SKU Mapping'!A:C,3,false),"Map"),"")</f>
        <v/>
      </c>
      <c r="BX155" s="64" t="str">
        <f>IF(OR(F155="SALE",F155="REFUNDED")=TRUE,iferror(Vlookup(I155,'Listing SKU - Fill SKU Mapping'!A:B,2,false),"Map"),"")</f>
        <v/>
      </c>
      <c r="BY155" s="64" t="str">
        <f>IF(OR(F155="SALE",F155="REFUNDED")=TRUE,iferror(Vlookup(I155,'Listing SKU - Fill SKU Mapping'!A:D,4,false),"Map"),"")</f>
        <v/>
      </c>
      <c r="BZ155" s="66" t="str">
        <f t="shared" si="1"/>
        <v/>
      </c>
      <c r="CA155" s="64" t="str">
        <f t="shared" si="2"/>
        <v/>
      </c>
      <c r="CB155" s="64" t="str">
        <f t="shared" si="3"/>
        <v/>
      </c>
      <c r="CC155" s="64" t="str">
        <f>if(F155="REFUNDED",iferror(Vlookup(I155,'Listing SKU - Fill SKU Mapping'!A:B,2,false),"Map"),"")</f>
        <v/>
      </c>
      <c r="CD155" s="64" t="str">
        <f>if(F155="REFUNDED",iferror(Vlookup(I155,'Listing SKU - Fill SKU Mapping'!A:C,3,false),"Map"),"")</f>
        <v/>
      </c>
      <c r="CE155" s="64" t="str">
        <f t="shared" si="4"/>
        <v>2025</v>
      </c>
      <c r="CF155" s="64" t="str">
        <f t="shared" si="5"/>
        <v>July</v>
      </c>
      <c r="CG155" s="64" t="str">
        <f t="shared" si="6"/>
        <v/>
      </c>
    </row>
    <row r="156">
      <c r="A156" s="55">
        <v>2.0001E14</v>
      </c>
      <c r="B156" s="56">
        <v>1.0</v>
      </c>
      <c r="C156" s="57">
        <v>1.2902E14</v>
      </c>
      <c r="D156" s="58">
        <v>1.0</v>
      </c>
      <c r="F156" s="59" t="s">
        <v>100</v>
      </c>
      <c r="G156" s="60">
        <v>45877.0</v>
      </c>
      <c r="H156" s="58">
        <v>1.0</v>
      </c>
      <c r="I156" s="58" t="s">
        <v>371</v>
      </c>
      <c r="J156" s="61">
        <v>4.67129923199E11</v>
      </c>
      <c r="K156" s="63"/>
      <c r="L156" s="63"/>
      <c r="M156" s="63"/>
      <c r="N156" s="63"/>
      <c r="O156" s="63"/>
      <c r="P156" s="63"/>
      <c r="Q156" s="63"/>
      <c r="R156" s="63"/>
      <c r="S156" s="63"/>
      <c r="T156" s="58" t="s">
        <v>105</v>
      </c>
      <c r="U156" s="59">
        <v>70.84</v>
      </c>
      <c r="V156" s="59">
        <v>68.8</v>
      </c>
      <c r="W156" s="58">
        <v>5.18</v>
      </c>
      <c r="X156" s="58">
        <v>7.0</v>
      </c>
      <c r="Y156" s="68">
        <v>65.9</v>
      </c>
      <c r="Z156" s="69">
        <v>0.0</v>
      </c>
      <c r="AA156" s="68">
        <v>0.0</v>
      </c>
      <c r="AB156" s="68">
        <v>0.0</v>
      </c>
      <c r="AC156" s="68">
        <v>0.0</v>
      </c>
      <c r="AD156" s="68">
        <v>0.0</v>
      </c>
      <c r="AE156" s="68">
        <v>0.0</v>
      </c>
      <c r="AF156" s="68">
        <v>0.0</v>
      </c>
      <c r="AG156" s="68">
        <v>0.0</v>
      </c>
      <c r="AH156" s="68">
        <v>0.0</v>
      </c>
      <c r="AI156" s="68">
        <v>0.0</v>
      </c>
      <c r="AJ156" s="68">
        <v>0.0</v>
      </c>
      <c r="AK156" s="68">
        <v>0.0</v>
      </c>
      <c r="AL156" s="68">
        <v>0.0</v>
      </c>
      <c r="AM156" s="68">
        <v>0.0</v>
      </c>
      <c r="AN156" s="68">
        <v>0.0</v>
      </c>
      <c r="AO156" s="68">
        <v>4.94</v>
      </c>
      <c r="AP156" s="68">
        <v>0.0</v>
      </c>
      <c r="AQ156" s="68">
        <v>0.0</v>
      </c>
      <c r="AR156" s="68">
        <v>0.0</v>
      </c>
      <c r="AS156" s="68">
        <v>0.0</v>
      </c>
      <c r="AT156" s="68">
        <v>0.0</v>
      </c>
      <c r="AU156" s="68">
        <v>0.0</v>
      </c>
      <c r="AV156" s="68">
        <v>0.0</v>
      </c>
      <c r="AW156" s="68">
        <v>0.0</v>
      </c>
      <c r="AX156" s="68">
        <v>0.0</v>
      </c>
      <c r="AY156" s="68">
        <v>0.0</v>
      </c>
      <c r="AZ156" s="68">
        <v>0.0</v>
      </c>
      <c r="BA156" s="68">
        <v>0.0</v>
      </c>
      <c r="BB156" s="68">
        <v>4.94</v>
      </c>
      <c r="BC156" s="68" t="s">
        <v>106</v>
      </c>
      <c r="BD156" s="68"/>
      <c r="BF156" s="70">
        <v>73.98</v>
      </c>
      <c r="BG156" s="68">
        <v>-7.4</v>
      </c>
      <c r="BH156" s="68" t="s">
        <v>107</v>
      </c>
      <c r="BI156" s="68" t="s">
        <v>108</v>
      </c>
      <c r="BJ156" s="68" t="s">
        <v>109</v>
      </c>
      <c r="BK156" s="68" t="s">
        <v>372</v>
      </c>
      <c r="BM156" s="68"/>
      <c r="BN156" s="70" t="s">
        <v>111</v>
      </c>
      <c r="BO156" s="68" t="s">
        <v>112</v>
      </c>
      <c r="BP156" s="68" t="s">
        <v>113</v>
      </c>
      <c r="BQ156" s="68" t="s">
        <v>317</v>
      </c>
      <c r="BR156" s="68">
        <v>2.22</v>
      </c>
      <c r="BS156" s="68"/>
      <c r="BT156" s="70">
        <v>-8.08</v>
      </c>
      <c r="BU156" s="68" t="s">
        <v>318</v>
      </c>
      <c r="BW156" s="64" t="str">
        <f>if(OR(F156="SALE",F156="REFUNDED"),IFERROR(Vlookup(I156,'Listing SKU - Fill SKU Mapping'!A:C,3,false),"Map"),"")</f>
        <v>Keystone</v>
      </c>
      <c r="BX156" s="64" t="str">
        <f>IF(OR(F156="SALE",F156="REFUNDED")=TRUE,iferror(Vlookup(I156,'Listing SKU - Fill SKU Mapping'!A:B,2,false),"Map"),"")</f>
        <v>52816BLK</v>
      </c>
      <c r="BY156" s="64">
        <f>IF(OR(F156="SALE",F156="REFUNDED")=TRUE,iferror(Vlookup(I156,'Listing SKU - Fill SKU Mapping'!A:D,4,false),"Map"),"")</f>
        <v>25.64</v>
      </c>
      <c r="BZ156" s="66">
        <f t="shared" si="1"/>
        <v>11.5</v>
      </c>
      <c r="CA156" s="66">
        <f t="shared" si="2"/>
        <v>37.14</v>
      </c>
      <c r="CB156" s="66">
        <f t="shared" si="3"/>
        <v>31.66</v>
      </c>
      <c r="CC156" s="64" t="str">
        <f>if(F156="REFUNDED",iferror(Vlookup(I156,'Listing SKU - Fill SKU Mapping'!A:B,2,false),"Map"),"")</f>
        <v/>
      </c>
      <c r="CD156" s="64" t="str">
        <f>if(F156="REFUNDED",iferror(Vlookup(I156,'Listing SKU - Fill SKU Mapping'!A:C,3,false),"Map"),"")</f>
        <v/>
      </c>
      <c r="CE156" s="64" t="str">
        <f t="shared" si="4"/>
        <v>2025</v>
      </c>
      <c r="CF156" s="64" t="str">
        <f t="shared" si="5"/>
        <v>August</v>
      </c>
      <c r="CG156" s="64" t="str">
        <f t="shared" si="6"/>
        <v/>
      </c>
    </row>
    <row r="157">
      <c r="A157" s="55">
        <v>2.0001E14</v>
      </c>
      <c r="B157" s="56">
        <v>1.0</v>
      </c>
      <c r="C157" s="57">
        <v>1.0902E14</v>
      </c>
      <c r="D157" s="58">
        <v>1.0</v>
      </c>
      <c r="F157" s="59" t="s">
        <v>158</v>
      </c>
      <c r="G157" s="60">
        <v>45872.0</v>
      </c>
      <c r="H157" s="58">
        <v>1.0</v>
      </c>
      <c r="I157" s="58" t="s">
        <v>338</v>
      </c>
      <c r="J157" s="61">
        <v>4.6712993485E11</v>
      </c>
      <c r="K157" s="63"/>
      <c r="L157" s="63"/>
      <c r="M157" s="63"/>
      <c r="N157" s="63"/>
      <c r="O157" s="63"/>
      <c r="P157" s="63"/>
      <c r="Q157" s="63"/>
      <c r="R157" s="63"/>
      <c r="S157" s="63"/>
      <c r="T157" s="58" t="s">
        <v>105</v>
      </c>
      <c r="U157" s="59">
        <v>0.0</v>
      </c>
      <c r="V157" s="59">
        <v>-8.89</v>
      </c>
      <c r="W157" s="58">
        <v>0.0</v>
      </c>
      <c r="X157" s="58">
        <v>0.0</v>
      </c>
      <c r="Y157" s="70">
        <v>0.0</v>
      </c>
      <c r="Z157" s="69">
        <v>0.0</v>
      </c>
      <c r="AA157" s="68">
        <v>0.0</v>
      </c>
      <c r="AB157" s="68">
        <v>0.0</v>
      </c>
      <c r="AC157" s="68">
        <v>0.0</v>
      </c>
      <c r="AD157" s="68">
        <v>0.0</v>
      </c>
      <c r="AE157" s="68">
        <v>0.0</v>
      </c>
      <c r="AF157" s="68">
        <v>0.0</v>
      </c>
      <c r="AG157" s="68">
        <v>0.0</v>
      </c>
      <c r="AH157" s="68">
        <v>0.0</v>
      </c>
      <c r="AI157" s="68">
        <v>0.0</v>
      </c>
      <c r="AJ157" s="68">
        <v>0.0</v>
      </c>
      <c r="AK157" s="68">
        <v>0.0</v>
      </c>
      <c r="AL157" s="68">
        <v>0.0</v>
      </c>
      <c r="AM157" s="68">
        <v>0.0</v>
      </c>
      <c r="AN157" s="68">
        <v>0.0</v>
      </c>
      <c r="AO157" s="68">
        <v>0.0</v>
      </c>
      <c r="AP157" s="68">
        <v>0.0</v>
      </c>
      <c r="AQ157" s="68">
        <v>0.0</v>
      </c>
      <c r="AR157" s="68">
        <v>0.0</v>
      </c>
      <c r="AS157" s="68">
        <v>0.0</v>
      </c>
      <c r="AT157" s="68">
        <v>0.0</v>
      </c>
      <c r="AU157" s="68">
        <v>0.0</v>
      </c>
      <c r="AV157" s="68">
        <v>0.0</v>
      </c>
      <c r="AW157" s="68">
        <v>0.0</v>
      </c>
      <c r="AX157" s="68">
        <v>0.0</v>
      </c>
      <c r="AY157" s="68">
        <v>0.0</v>
      </c>
      <c r="AZ157" s="68">
        <v>0.0</v>
      </c>
      <c r="BA157" s="68">
        <v>0.0</v>
      </c>
      <c r="BB157" s="68">
        <v>0.0</v>
      </c>
      <c r="BC157" s="68" t="s">
        <v>106</v>
      </c>
      <c r="BD157" s="68" t="s">
        <v>163</v>
      </c>
      <c r="BE157" s="68">
        <v>5013.0</v>
      </c>
      <c r="BF157" s="68"/>
      <c r="BH157" s="70" t="s">
        <v>107</v>
      </c>
      <c r="BI157" s="68" t="s">
        <v>108</v>
      </c>
      <c r="BK157" s="68"/>
      <c r="BN157" s="70" t="s">
        <v>111</v>
      </c>
      <c r="BO157" s="68" t="s">
        <v>112</v>
      </c>
      <c r="BQ157" s="68"/>
      <c r="BW157" s="64" t="str">
        <f>if(OR(F157="SALE",F157="REFUNDED"),IFERROR(Vlookup(I157,'Listing SKU - Fill SKU Mapping'!A:C,3,false),"Map"),"")</f>
        <v/>
      </c>
      <c r="BX157" s="64" t="str">
        <f>IF(OR(F157="SALE",F157="REFUNDED")=TRUE,iferror(Vlookup(I157,'Listing SKU - Fill SKU Mapping'!A:B,2,false),"Map"),"")</f>
        <v/>
      </c>
      <c r="BY157" s="64" t="str">
        <f>IF(OR(F157="SALE",F157="REFUNDED")=TRUE,iferror(Vlookup(I157,'Listing SKU - Fill SKU Mapping'!A:D,4,false),"Map"),"")</f>
        <v/>
      </c>
      <c r="BZ157" s="66" t="str">
        <f t="shared" si="1"/>
        <v/>
      </c>
      <c r="CA157" s="64" t="str">
        <f t="shared" si="2"/>
        <v/>
      </c>
      <c r="CB157" s="64" t="str">
        <f t="shared" si="3"/>
        <v/>
      </c>
      <c r="CC157" s="64" t="str">
        <f>if(F157="REFUNDED",iferror(Vlookup(I157,'Listing SKU - Fill SKU Mapping'!A:B,2,false),"Map"),"")</f>
        <v/>
      </c>
      <c r="CD157" s="64" t="str">
        <f>if(F157="REFUNDED",iferror(Vlookup(I157,'Listing SKU - Fill SKU Mapping'!A:C,3,false),"Map"),"")</f>
        <v/>
      </c>
      <c r="CE157" s="64" t="str">
        <f t="shared" si="4"/>
        <v>2025</v>
      </c>
      <c r="CF157" s="64" t="str">
        <f t="shared" si="5"/>
        <v>August</v>
      </c>
      <c r="CG157" s="64" t="str">
        <f t="shared" si="6"/>
        <v/>
      </c>
    </row>
    <row r="158">
      <c r="A158" s="55">
        <v>2.0001E14</v>
      </c>
      <c r="B158" s="56">
        <v>1.0</v>
      </c>
      <c r="C158" s="57">
        <v>1.2902E14</v>
      </c>
      <c r="D158" s="58">
        <v>1.0</v>
      </c>
      <c r="F158" s="59" t="s">
        <v>100</v>
      </c>
      <c r="G158" s="60">
        <v>45875.0</v>
      </c>
      <c r="H158" s="58">
        <v>1.0</v>
      </c>
      <c r="I158" s="58" t="s">
        <v>373</v>
      </c>
      <c r="J158" s="61">
        <v>4.68102663606E11</v>
      </c>
      <c r="K158" s="63"/>
      <c r="L158" s="63"/>
      <c r="M158" s="63"/>
      <c r="N158" s="63"/>
      <c r="O158" s="63"/>
      <c r="P158" s="63"/>
      <c r="Q158" s="63"/>
      <c r="R158" s="63"/>
      <c r="S158" s="63"/>
      <c r="T158" s="58" t="s">
        <v>105</v>
      </c>
      <c r="U158" s="59">
        <v>40.61</v>
      </c>
      <c r="V158" s="59">
        <v>35.29</v>
      </c>
      <c r="W158" s="58">
        <v>2.66</v>
      </c>
      <c r="X158" s="58">
        <v>7.0</v>
      </c>
      <c r="Y158" s="68">
        <v>37.95</v>
      </c>
      <c r="Z158" s="69">
        <v>0.0</v>
      </c>
      <c r="AA158" s="68">
        <v>0.0</v>
      </c>
      <c r="AB158" s="68">
        <v>0.0</v>
      </c>
      <c r="AC158" s="68">
        <v>0.0</v>
      </c>
      <c r="AD158" s="68">
        <v>0.0</v>
      </c>
      <c r="AE158" s="68">
        <v>0.0</v>
      </c>
      <c r="AF158" s="68">
        <v>0.0</v>
      </c>
      <c r="AG158" s="68">
        <v>0.0</v>
      </c>
      <c r="AH158" s="68">
        <v>0.0</v>
      </c>
      <c r="AI158" s="68">
        <v>0.0</v>
      </c>
      <c r="AJ158" s="68">
        <v>0.0</v>
      </c>
      <c r="AK158" s="68">
        <v>0.0</v>
      </c>
      <c r="AL158" s="68">
        <v>0.0</v>
      </c>
      <c r="AM158" s="68">
        <v>0.0</v>
      </c>
      <c r="AN158" s="68">
        <v>0.0</v>
      </c>
      <c r="AO158" s="68">
        <v>2.66</v>
      </c>
      <c r="AP158" s="68">
        <v>0.0</v>
      </c>
      <c r="AQ158" s="68">
        <v>0.0</v>
      </c>
      <c r="AR158" s="68">
        <v>0.0</v>
      </c>
      <c r="AS158" s="68">
        <v>0.0</v>
      </c>
      <c r="AT158" s="68">
        <v>0.0</v>
      </c>
      <c r="AU158" s="68">
        <v>0.0</v>
      </c>
      <c r="AV158" s="68">
        <v>0.0</v>
      </c>
      <c r="AW158" s="68">
        <v>0.0</v>
      </c>
      <c r="AX158" s="68">
        <v>0.0</v>
      </c>
      <c r="AY158" s="68">
        <v>0.0</v>
      </c>
      <c r="AZ158" s="68">
        <v>0.0</v>
      </c>
      <c r="BA158" s="68">
        <v>0.0</v>
      </c>
      <c r="BB158" s="68">
        <v>2.66</v>
      </c>
      <c r="BC158" s="68" t="s">
        <v>106</v>
      </c>
      <c r="BD158" s="68"/>
      <c r="BG158" s="70">
        <v>-3.8</v>
      </c>
      <c r="BH158" s="68" t="s">
        <v>107</v>
      </c>
      <c r="BI158" s="68" t="s">
        <v>108</v>
      </c>
      <c r="BJ158" s="68" t="s">
        <v>109</v>
      </c>
      <c r="BK158" s="68" t="s">
        <v>363</v>
      </c>
      <c r="BM158" s="68"/>
      <c r="BN158" s="70" t="s">
        <v>111</v>
      </c>
      <c r="BO158" s="68" t="s">
        <v>112</v>
      </c>
      <c r="BP158" s="68" t="s">
        <v>113</v>
      </c>
      <c r="BQ158" s="68" t="s">
        <v>114</v>
      </c>
      <c r="BR158" s="68">
        <v>1.14</v>
      </c>
      <c r="BS158" s="68"/>
      <c r="BW158" s="64" t="str">
        <f>if(OR(F158="SALE",F158="REFUNDED"),IFERROR(Vlookup(I158,'Listing SKU - Fill SKU Mapping'!A:C,3,false),"Map"),"")</f>
        <v>Keystone</v>
      </c>
      <c r="BX158" s="64" t="str">
        <f>IF(OR(F158="SALE",F158="REFUNDED")=TRUE,iferror(Vlookup(I158,'Listing SKU - Fill SKU Mapping'!A:B,2,false),"Map"),"")</f>
        <v>C5712BLK</v>
      </c>
      <c r="BY158" s="64">
        <f>IF(OR(F158="SALE",F158="REFUNDED")=TRUE,iferror(Vlookup(I158,'Listing SKU - Fill SKU Mapping'!A:D,4,false),"Map"),"")</f>
        <v>9.47</v>
      </c>
      <c r="BZ158" s="66">
        <f t="shared" si="1"/>
        <v>11.5</v>
      </c>
      <c r="CA158" s="66">
        <f t="shared" si="2"/>
        <v>20.97</v>
      </c>
      <c r="CB158" s="66">
        <f t="shared" si="3"/>
        <v>14.32</v>
      </c>
      <c r="CC158" s="64" t="str">
        <f>if(F158="REFUNDED",iferror(Vlookup(I158,'Listing SKU - Fill SKU Mapping'!A:B,2,false),"Map"),"")</f>
        <v/>
      </c>
      <c r="CD158" s="64" t="str">
        <f>if(F158="REFUNDED",iferror(Vlookup(I158,'Listing SKU - Fill SKU Mapping'!A:C,3,false),"Map"),"")</f>
        <v/>
      </c>
      <c r="CE158" s="64" t="str">
        <f t="shared" si="4"/>
        <v>2025</v>
      </c>
      <c r="CF158" s="64" t="str">
        <f t="shared" si="5"/>
        <v>August</v>
      </c>
      <c r="CG158" s="64" t="str">
        <f t="shared" si="6"/>
        <v/>
      </c>
    </row>
    <row r="159">
      <c r="A159" s="55">
        <v>2.0001E14</v>
      </c>
      <c r="B159" s="56">
        <v>8.0</v>
      </c>
      <c r="C159" s="57">
        <v>1.2902E14</v>
      </c>
      <c r="D159" s="58">
        <v>8.0</v>
      </c>
      <c r="F159" s="59" t="s">
        <v>100</v>
      </c>
      <c r="G159" s="60">
        <v>45873.0</v>
      </c>
      <c r="H159" s="58">
        <v>1.0</v>
      </c>
      <c r="I159" s="58" t="s">
        <v>374</v>
      </c>
      <c r="J159" s="61">
        <v>4.67129946778E11</v>
      </c>
      <c r="K159" s="63"/>
      <c r="L159" s="63"/>
      <c r="M159" s="63"/>
      <c r="N159" s="63"/>
      <c r="O159" s="63"/>
      <c r="P159" s="63"/>
      <c r="Q159" s="63"/>
      <c r="R159" s="63"/>
      <c r="S159" s="63"/>
      <c r="T159" s="58" t="s">
        <v>105</v>
      </c>
      <c r="U159" s="59">
        <v>55.18</v>
      </c>
      <c r="V159" s="59">
        <v>52.99</v>
      </c>
      <c r="W159" s="58">
        <v>3.99</v>
      </c>
      <c r="X159" s="58">
        <v>7.0</v>
      </c>
      <c r="Y159" s="68">
        <v>50.9</v>
      </c>
      <c r="Z159" s="69">
        <v>0.0</v>
      </c>
      <c r="AA159" s="68">
        <v>0.0</v>
      </c>
      <c r="AB159" s="68">
        <v>0.0</v>
      </c>
      <c r="AC159" s="68">
        <v>0.0</v>
      </c>
      <c r="AD159" s="68">
        <v>0.0</v>
      </c>
      <c r="AE159" s="68">
        <v>0.0</v>
      </c>
      <c r="AF159" s="68">
        <v>0.0</v>
      </c>
      <c r="AG159" s="68">
        <v>0.0</v>
      </c>
      <c r="AH159" s="68">
        <v>0.0</v>
      </c>
      <c r="AI159" s="68">
        <v>0.0</v>
      </c>
      <c r="AJ159" s="68">
        <v>0.0</v>
      </c>
      <c r="AK159" s="68">
        <v>0.0</v>
      </c>
      <c r="AL159" s="68">
        <v>0.0</v>
      </c>
      <c r="AM159" s="68">
        <v>0.0</v>
      </c>
      <c r="AN159" s="68">
        <v>0.0</v>
      </c>
      <c r="AO159" s="68">
        <v>4.28</v>
      </c>
      <c r="AP159" s="68">
        <v>0.0</v>
      </c>
      <c r="AQ159" s="68">
        <v>0.0</v>
      </c>
      <c r="AR159" s="68">
        <v>0.0</v>
      </c>
      <c r="AS159" s="68">
        <v>0.0</v>
      </c>
      <c r="AT159" s="68">
        <v>0.0</v>
      </c>
      <c r="AU159" s="68">
        <v>0.0</v>
      </c>
      <c r="AV159" s="68">
        <v>0.0</v>
      </c>
      <c r="AW159" s="68">
        <v>0.0</v>
      </c>
      <c r="AX159" s="68">
        <v>0.0</v>
      </c>
      <c r="AY159" s="68">
        <v>0.0</v>
      </c>
      <c r="AZ159" s="68">
        <v>0.0</v>
      </c>
      <c r="BA159" s="68">
        <v>0.0</v>
      </c>
      <c r="BB159" s="68">
        <v>4.28</v>
      </c>
      <c r="BC159" s="68" t="s">
        <v>106</v>
      </c>
      <c r="BD159" s="68"/>
      <c r="BF159" s="70">
        <v>56.98</v>
      </c>
      <c r="BG159" s="68">
        <v>-5.7</v>
      </c>
      <c r="BH159" s="68" t="s">
        <v>107</v>
      </c>
      <c r="BI159" s="68" t="s">
        <v>108</v>
      </c>
      <c r="BJ159" s="68" t="s">
        <v>109</v>
      </c>
      <c r="BK159" s="68" t="s">
        <v>363</v>
      </c>
      <c r="BM159" s="68"/>
      <c r="BN159" s="70" t="s">
        <v>111</v>
      </c>
      <c r="BO159" s="68" t="s">
        <v>112</v>
      </c>
      <c r="BP159" s="68" t="s">
        <v>113</v>
      </c>
      <c r="BQ159" s="68" t="s">
        <v>317</v>
      </c>
      <c r="BR159" s="68">
        <v>1.71</v>
      </c>
      <c r="BS159" s="68"/>
      <c r="BT159" s="70">
        <v>-6.08</v>
      </c>
      <c r="BU159" s="68" t="s">
        <v>318</v>
      </c>
      <c r="BW159" s="64" t="str">
        <f>if(OR(F159="SALE",F159="REFUNDED"),IFERROR(Vlookup(I159,'Listing SKU - Fill SKU Mapping'!A:C,3,false),"Map"),"")</f>
        <v>Keystone</v>
      </c>
      <c r="BX159" s="64" t="str">
        <f>IF(OR(F159="SALE",F159="REFUNDED")=TRUE,iferror(Vlookup(I159,'Listing SKU - Fill SKU Mapping'!A:B,2,false),"Map"),"")</f>
        <v>B94415S</v>
      </c>
      <c r="BY159" s="64">
        <f>IF(OR(F159="SALE",F159="REFUNDED")=TRUE,iferror(Vlookup(I159,'Listing SKU - Fill SKU Mapping'!A:D,4,false),"Map"),"")</f>
        <v>14.99</v>
      </c>
      <c r="BZ159" s="66">
        <f t="shared" si="1"/>
        <v>11.5</v>
      </c>
      <c r="CA159" s="66">
        <f t="shared" si="2"/>
        <v>26.49</v>
      </c>
      <c r="CB159" s="66">
        <f t="shared" si="3"/>
        <v>26.5</v>
      </c>
      <c r="CC159" s="64" t="str">
        <f>if(F159="REFUNDED",iferror(Vlookup(I159,'Listing SKU - Fill SKU Mapping'!A:B,2,false),"Map"),"")</f>
        <v/>
      </c>
      <c r="CD159" s="64" t="str">
        <f>if(F159="REFUNDED",iferror(Vlookup(I159,'Listing SKU - Fill SKU Mapping'!A:C,3,false),"Map"),"")</f>
        <v/>
      </c>
      <c r="CE159" s="64" t="str">
        <f t="shared" si="4"/>
        <v>2025</v>
      </c>
      <c r="CF159" s="64" t="str">
        <f t="shared" si="5"/>
        <v>August</v>
      </c>
      <c r="CG159" s="64" t="str">
        <f t="shared" si="6"/>
        <v/>
      </c>
    </row>
    <row r="160">
      <c r="A160" s="55">
        <v>2.0001E14</v>
      </c>
      <c r="B160" s="56">
        <v>1.0</v>
      </c>
      <c r="C160" s="57">
        <v>1.0902E14</v>
      </c>
      <c r="D160" s="58">
        <v>1.0</v>
      </c>
      <c r="F160" s="59" t="s">
        <v>158</v>
      </c>
      <c r="G160" s="60">
        <v>45872.0</v>
      </c>
      <c r="H160" s="58">
        <v>1.0</v>
      </c>
      <c r="I160" s="58" t="s">
        <v>321</v>
      </c>
      <c r="J160" s="61">
        <v>4.60776235141E11</v>
      </c>
      <c r="K160" s="63"/>
      <c r="L160" s="63"/>
      <c r="M160" s="63"/>
      <c r="N160" s="63"/>
      <c r="O160" s="63"/>
      <c r="P160" s="63"/>
      <c r="Q160" s="63"/>
      <c r="R160" s="63"/>
      <c r="S160" s="63"/>
      <c r="T160" s="58" t="s">
        <v>105</v>
      </c>
      <c r="U160" s="59">
        <v>0.0</v>
      </c>
      <c r="V160" s="59">
        <v>-10.81</v>
      </c>
      <c r="W160" s="58">
        <v>0.0</v>
      </c>
      <c r="X160" s="58">
        <v>0.0</v>
      </c>
      <c r="Y160" s="70">
        <v>0.0</v>
      </c>
      <c r="Z160" s="69">
        <v>0.0</v>
      </c>
      <c r="AA160" s="68">
        <v>0.0</v>
      </c>
      <c r="AB160" s="68">
        <v>0.0</v>
      </c>
      <c r="AC160" s="68">
        <v>0.0</v>
      </c>
      <c r="AD160" s="68">
        <v>0.0</v>
      </c>
      <c r="AE160" s="68">
        <v>0.0</v>
      </c>
      <c r="AF160" s="68">
        <v>0.0</v>
      </c>
      <c r="AG160" s="68">
        <v>0.0</v>
      </c>
      <c r="AH160" s="68">
        <v>0.0</v>
      </c>
      <c r="AI160" s="68">
        <v>0.0</v>
      </c>
      <c r="AJ160" s="68">
        <v>0.0</v>
      </c>
      <c r="AK160" s="68">
        <v>0.0</v>
      </c>
      <c r="AL160" s="68">
        <v>0.0</v>
      </c>
      <c r="AM160" s="68">
        <v>0.0</v>
      </c>
      <c r="AN160" s="68">
        <v>0.0</v>
      </c>
      <c r="AO160" s="68">
        <v>0.0</v>
      </c>
      <c r="AP160" s="68">
        <v>0.0</v>
      </c>
      <c r="AQ160" s="68">
        <v>0.0</v>
      </c>
      <c r="AR160" s="68">
        <v>0.0</v>
      </c>
      <c r="AS160" s="68">
        <v>0.0</v>
      </c>
      <c r="AT160" s="68">
        <v>0.0</v>
      </c>
      <c r="AU160" s="68">
        <v>0.0</v>
      </c>
      <c r="AV160" s="68">
        <v>0.0</v>
      </c>
      <c r="AW160" s="68">
        <v>0.0</v>
      </c>
      <c r="AX160" s="68">
        <v>0.0</v>
      </c>
      <c r="AY160" s="68">
        <v>0.0</v>
      </c>
      <c r="AZ160" s="68">
        <v>0.0</v>
      </c>
      <c r="BA160" s="68">
        <v>0.0</v>
      </c>
      <c r="BB160" s="68">
        <v>0.0</v>
      </c>
      <c r="BC160" s="68" t="s">
        <v>106</v>
      </c>
      <c r="BD160" s="68" t="s">
        <v>163</v>
      </c>
      <c r="BE160" s="68">
        <v>5013.0</v>
      </c>
      <c r="BF160" s="68"/>
      <c r="BH160" s="70" t="s">
        <v>107</v>
      </c>
      <c r="BI160" s="68" t="s">
        <v>108</v>
      </c>
      <c r="BK160" s="68"/>
      <c r="BN160" s="70" t="s">
        <v>111</v>
      </c>
      <c r="BO160" s="68" t="s">
        <v>112</v>
      </c>
      <c r="BQ160" s="68"/>
      <c r="BW160" s="64" t="str">
        <f>if(OR(F160="SALE",F160="REFUNDED"),IFERROR(Vlookup(I160,'Listing SKU - Fill SKU Mapping'!A:C,3,false),"Map"),"")</f>
        <v/>
      </c>
      <c r="BX160" s="64" t="str">
        <f>IF(OR(F160="SALE",F160="REFUNDED")=TRUE,iferror(Vlookup(I160,'Listing SKU - Fill SKU Mapping'!A:B,2,false),"Map"),"")</f>
        <v/>
      </c>
      <c r="BY160" s="64" t="str">
        <f>IF(OR(F160="SALE",F160="REFUNDED")=TRUE,iferror(Vlookup(I160,'Listing SKU - Fill SKU Mapping'!A:D,4,false),"Map"),"")</f>
        <v/>
      </c>
      <c r="BZ160" s="66" t="str">
        <f t="shared" si="1"/>
        <v/>
      </c>
      <c r="CA160" s="64" t="str">
        <f t="shared" si="2"/>
        <v/>
      </c>
      <c r="CB160" s="64" t="str">
        <f t="shared" si="3"/>
        <v/>
      </c>
      <c r="CC160" s="64" t="str">
        <f>if(F160="REFUNDED",iferror(Vlookup(I160,'Listing SKU - Fill SKU Mapping'!A:B,2,false),"Map"),"")</f>
        <v/>
      </c>
      <c r="CD160" s="64" t="str">
        <f>if(F160="REFUNDED",iferror(Vlookup(I160,'Listing SKU - Fill SKU Mapping'!A:C,3,false),"Map"),"")</f>
        <v/>
      </c>
      <c r="CE160" s="64" t="str">
        <f t="shared" si="4"/>
        <v>2025</v>
      </c>
      <c r="CF160" s="64" t="str">
        <f t="shared" si="5"/>
        <v>August</v>
      </c>
      <c r="CG160" s="64" t="str">
        <f t="shared" si="6"/>
        <v/>
      </c>
    </row>
    <row r="161">
      <c r="A161" s="55">
        <v>2.0001E14</v>
      </c>
      <c r="B161" s="56">
        <v>1.0</v>
      </c>
      <c r="C161" s="57">
        <v>1.2902E14</v>
      </c>
      <c r="D161" s="58">
        <v>1.0</v>
      </c>
      <c r="F161" s="59" t="s">
        <v>100</v>
      </c>
      <c r="G161" s="60">
        <v>45867.0</v>
      </c>
      <c r="H161" s="58">
        <v>1.0</v>
      </c>
      <c r="I161" s="58" t="s">
        <v>365</v>
      </c>
      <c r="J161" s="61">
        <v>4.65595333757E11</v>
      </c>
      <c r="K161" s="63"/>
      <c r="L161" s="63"/>
      <c r="M161" s="63"/>
      <c r="N161" s="63"/>
      <c r="O161" s="63"/>
      <c r="P161" s="63"/>
      <c r="Q161" s="63"/>
      <c r="R161" s="63"/>
      <c r="S161" s="63"/>
      <c r="T161" s="58" t="s">
        <v>105</v>
      </c>
      <c r="U161" s="59">
        <v>100.66</v>
      </c>
      <c r="V161" s="59">
        <v>86.47</v>
      </c>
      <c r="W161" s="58">
        <v>6.51</v>
      </c>
      <c r="X161" s="58">
        <v>7.0</v>
      </c>
      <c r="Y161" s="68">
        <v>92.98</v>
      </c>
      <c r="Z161" s="69">
        <v>0.0</v>
      </c>
      <c r="AA161" s="68">
        <v>0.0</v>
      </c>
      <c r="AB161" s="68">
        <v>0.0</v>
      </c>
      <c r="AC161" s="68">
        <v>0.0</v>
      </c>
      <c r="AD161" s="68">
        <v>0.0</v>
      </c>
      <c r="AE161" s="68">
        <v>0.0</v>
      </c>
      <c r="AF161" s="68">
        <v>0.0</v>
      </c>
      <c r="AG161" s="68">
        <v>0.0</v>
      </c>
      <c r="AH161" s="68">
        <v>0.0</v>
      </c>
      <c r="AI161" s="68">
        <v>0.0</v>
      </c>
      <c r="AJ161" s="68">
        <v>0.0</v>
      </c>
      <c r="AK161" s="68">
        <v>0.0</v>
      </c>
      <c r="AL161" s="68">
        <v>0.0</v>
      </c>
      <c r="AM161" s="68">
        <v>0.0</v>
      </c>
      <c r="AN161" s="68">
        <v>0.0</v>
      </c>
      <c r="AO161" s="68">
        <v>7.68</v>
      </c>
      <c r="AP161" s="68">
        <v>0.0</v>
      </c>
      <c r="AQ161" s="68">
        <v>0.0</v>
      </c>
      <c r="AR161" s="68">
        <v>0.0</v>
      </c>
      <c r="AS161" s="68">
        <v>0.0</v>
      </c>
      <c r="AT161" s="68">
        <v>0.0</v>
      </c>
      <c r="AU161" s="68">
        <v>0.0</v>
      </c>
      <c r="AV161" s="68">
        <v>0.0</v>
      </c>
      <c r="AW161" s="68">
        <v>0.0</v>
      </c>
      <c r="AX161" s="68">
        <v>0.0</v>
      </c>
      <c r="AY161" s="68">
        <v>0.0</v>
      </c>
      <c r="AZ161" s="68">
        <v>0.0</v>
      </c>
      <c r="BA161" s="68">
        <v>0.0</v>
      </c>
      <c r="BB161" s="68">
        <v>7.68</v>
      </c>
      <c r="BC161" s="68" t="s">
        <v>106</v>
      </c>
      <c r="BD161" s="68"/>
      <c r="BG161" s="70">
        <v>-9.3</v>
      </c>
      <c r="BH161" s="68" t="s">
        <v>107</v>
      </c>
      <c r="BI161" s="68" t="s">
        <v>108</v>
      </c>
      <c r="BJ161" s="68" t="s">
        <v>109</v>
      </c>
      <c r="BK161" s="68" t="s">
        <v>353</v>
      </c>
      <c r="BM161" s="68"/>
      <c r="BN161" s="70" t="s">
        <v>111</v>
      </c>
      <c r="BO161" s="68" t="s">
        <v>112</v>
      </c>
      <c r="BP161" s="68" t="s">
        <v>113</v>
      </c>
      <c r="BQ161" s="68" t="s">
        <v>114</v>
      </c>
      <c r="BR161" s="68">
        <v>2.79</v>
      </c>
      <c r="BS161" s="68"/>
      <c r="BW161" s="64" t="str">
        <f>if(OR(F161="SALE",F161="REFUNDED"),IFERROR(Vlookup(I161,'Listing SKU - Fill SKU Mapping'!A:C,3,false),"Map"),"")</f>
        <v>Keystone</v>
      </c>
      <c r="BX161" s="64" t="str">
        <f>IF(OR(F161="SALE",F161="REFUNDED")=TRUE,iferror(Vlookup(I161,'Listing SKU - Fill SKU Mapping'!A:B,2,false),"Map"),"")</f>
        <v>IMP471BLK</v>
      </c>
      <c r="BY161" s="64">
        <f>IF(OR(F161="SALE",F161="REFUNDED")=TRUE,iferror(Vlookup(I161,'Listing SKU - Fill SKU Mapping'!A:D,4,false),"Map"),"")</f>
        <v>44.58</v>
      </c>
      <c r="BZ161" s="66">
        <f t="shared" si="1"/>
        <v>11.5</v>
      </c>
      <c r="CA161" s="66">
        <f t="shared" si="2"/>
        <v>56.08</v>
      </c>
      <c r="CB161" s="66">
        <f t="shared" si="3"/>
        <v>30.39</v>
      </c>
      <c r="CC161" s="64" t="str">
        <f>if(F161="REFUNDED",iferror(Vlookup(I161,'Listing SKU - Fill SKU Mapping'!A:B,2,false),"Map"),"")</f>
        <v/>
      </c>
      <c r="CD161" s="64" t="str">
        <f>if(F161="REFUNDED",iferror(Vlookup(I161,'Listing SKU - Fill SKU Mapping'!A:C,3,false),"Map"),"")</f>
        <v/>
      </c>
      <c r="CE161" s="64" t="str">
        <f t="shared" si="4"/>
        <v>2025</v>
      </c>
      <c r="CF161" s="64" t="str">
        <f t="shared" si="5"/>
        <v>July</v>
      </c>
      <c r="CG161" s="64" t="str">
        <f t="shared" si="6"/>
        <v/>
      </c>
    </row>
    <row r="162">
      <c r="A162" s="55">
        <v>2.0001E14</v>
      </c>
      <c r="B162" s="56">
        <v>1.0</v>
      </c>
      <c r="C162" s="57">
        <v>1.0902E14</v>
      </c>
      <c r="D162" s="58">
        <v>1.0</v>
      </c>
      <c r="F162" s="59" t="s">
        <v>158</v>
      </c>
      <c r="G162" s="60">
        <v>45865.0</v>
      </c>
      <c r="H162" s="58">
        <v>1.0</v>
      </c>
      <c r="I162" s="58" t="s">
        <v>340</v>
      </c>
      <c r="J162" s="61">
        <v>4.60776239842E11</v>
      </c>
      <c r="K162" s="63"/>
      <c r="L162" s="63"/>
      <c r="M162" s="63"/>
      <c r="N162" s="63"/>
      <c r="O162" s="63"/>
      <c r="P162" s="63"/>
      <c r="Q162" s="63"/>
      <c r="R162" s="63"/>
      <c r="S162" s="63"/>
      <c r="T162" s="58" t="s">
        <v>105</v>
      </c>
      <c r="U162" s="59">
        <v>0.0</v>
      </c>
      <c r="V162" s="59">
        <v>-8.89</v>
      </c>
      <c r="W162" s="58">
        <v>0.0</v>
      </c>
      <c r="X162" s="58">
        <v>0.0</v>
      </c>
      <c r="Y162" s="70">
        <v>0.0</v>
      </c>
      <c r="Z162" s="69">
        <v>0.0</v>
      </c>
      <c r="AA162" s="68">
        <v>0.0</v>
      </c>
      <c r="AB162" s="68">
        <v>0.0</v>
      </c>
      <c r="AC162" s="68">
        <v>0.0</v>
      </c>
      <c r="AD162" s="68">
        <v>0.0</v>
      </c>
      <c r="AE162" s="68">
        <v>0.0</v>
      </c>
      <c r="AF162" s="68">
        <v>0.0</v>
      </c>
      <c r="AG162" s="68">
        <v>0.0</v>
      </c>
      <c r="AH162" s="68">
        <v>0.0</v>
      </c>
      <c r="AI162" s="68">
        <v>0.0</v>
      </c>
      <c r="AJ162" s="68">
        <v>0.0</v>
      </c>
      <c r="AK162" s="68">
        <v>0.0</v>
      </c>
      <c r="AL162" s="68">
        <v>0.0</v>
      </c>
      <c r="AM162" s="68">
        <v>0.0</v>
      </c>
      <c r="AN162" s="68">
        <v>0.0</v>
      </c>
      <c r="AO162" s="68">
        <v>0.0</v>
      </c>
      <c r="AP162" s="68">
        <v>0.0</v>
      </c>
      <c r="AQ162" s="68">
        <v>0.0</v>
      </c>
      <c r="AR162" s="68">
        <v>0.0</v>
      </c>
      <c r="AS162" s="68">
        <v>0.0</v>
      </c>
      <c r="AT162" s="68">
        <v>0.0</v>
      </c>
      <c r="AU162" s="68">
        <v>0.0</v>
      </c>
      <c r="AV162" s="68">
        <v>0.0</v>
      </c>
      <c r="AW162" s="68">
        <v>0.0</v>
      </c>
      <c r="AX162" s="68">
        <v>0.0</v>
      </c>
      <c r="AY162" s="68">
        <v>0.0</v>
      </c>
      <c r="AZ162" s="68">
        <v>0.0</v>
      </c>
      <c r="BA162" s="68">
        <v>0.0</v>
      </c>
      <c r="BB162" s="68">
        <v>0.0</v>
      </c>
      <c r="BC162" s="68" t="s">
        <v>106</v>
      </c>
      <c r="BD162" s="68" t="s">
        <v>163</v>
      </c>
      <c r="BE162" s="68">
        <v>5013.0</v>
      </c>
      <c r="BF162" s="68"/>
      <c r="BH162" s="70" t="s">
        <v>107</v>
      </c>
      <c r="BI162" s="68" t="s">
        <v>108</v>
      </c>
      <c r="BK162" s="68"/>
      <c r="BN162" s="70" t="s">
        <v>111</v>
      </c>
      <c r="BO162" s="68" t="s">
        <v>112</v>
      </c>
      <c r="BQ162" s="68"/>
      <c r="BW162" s="64" t="str">
        <f>if(OR(F162="SALE",F162="REFUNDED"),IFERROR(Vlookup(I162,'Listing SKU - Fill SKU Mapping'!A:C,3,false),"Map"),"")</f>
        <v/>
      </c>
      <c r="BX162" s="64" t="str">
        <f>IF(OR(F162="SALE",F162="REFUNDED")=TRUE,iferror(Vlookup(I162,'Listing SKU - Fill SKU Mapping'!A:B,2,false),"Map"),"")</f>
        <v/>
      </c>
      <c r="BY162" s="64" t="str">
        <f>IF(OR(F162="SALE",F162="REFUNDED")=TRUE,iferror(Vlookup(I162,'Listing SKU - Fill SKU Mapping'!A:D,4,false),"Map"),"")</f>
        <v/>
      </c>
      <c r="BZ162" s="66" t="str">
        <f t="shared" si="1"/>
        <v/>
      </c>
      <c r="CA162" s="64" t="str">
        <f t="shared" si="2"/>
        <v/>
      </c>
      <c r="CB162" s="64" t="str">
        <f t="shared" si="3"/>
        <v/>
      </c>
      <c r="CC162" s="64" t="str">
        <f>if(F162="REFUNDED",iferror(Vlookup(I162,'Listing SKU - Fill SKU Mapping'!A:B,2,false),"Map"),"")</f>
        <v/>
      </c>
      <c r="CD162" s="64" t="str">
        <f>if(F162="REFUNDED",iferror(Vlookup(I162,'Listing SKU - Fill SKU Mapping'!A:C,3,false),"Map"),"")</f>
        <v/>
      </c>
      <c r="CE162" s="64" t="str">
        <f t="shared" si="4"/>
        <v>2025</v>
      </c>
      <c r="CF162" s="64" t="str">
        <f t="shared" si="5"/>
        <v>July</v>
      </c>
      <c r="CG162" s="64" t="str">
        <f t="shared" si="6"/>
        <v/>
      </c>
    </row>
    <row r="163">
      <c r="A163" s="55">
        <v>2.0001E14</v>
      </c>
      <c r="B163" s="56">
        <v>1.0</v>
      </c>
      <c r="C163" s="57">
        <v>1.2902E14</v>
      </c>
      <c r="D163" s="58">
        <v>1.0</v>
      </c>
      <c r="F163" s="59" t="s">
        <v>100</v>
      </c>
      <c r="G163" s="60">
        <v>45870.0</v>
      </c>
      <c r="H163" s="58">
        <v>1.0</v>
      </c>
      <c r="I163" s="58" t="s">
        <v>329</v>
      </c>
      <c r="J163" s="61">
        <v>4.68102659623E11</v>
      </c>
      <c r="K163" s="63"/>
      <c r="L163" s="63"/>
      <c r="M163" s="63"/>
      <c r="N163" s="63"/>
      <c r="O163" s="63"/>
      <c r="P163" s="63"/>
      <c r="Q163" s="63"/>
      <c r="R163" s="63"/>
      <c r="S163" s="63"/>
      <c r="T163" s="58" t="s">
        <v>105</v>
      </c>
      <c r="U163" s="59">
        <v>71.22</v>
      </c>
      <c r="V163" s="59">
        <v>61.33</v>
      </c>
      <c r="W163" s="58">
        <v>4.62</v>
      </c>
      <c r="X163" s="58">
        <v>7.0</v>
      </c>
      <c r="Y163" s="68">
        <v>65.95</v>
      </c>
      <c r="Z163" s="69">
        <v>0.0</v>
      </c>
      <c r="AA163" s="68">
        <v>0.0</v>
      </c>
      <c r="AB163" s="68">
        <v>0.0</v>
      </c>
      <c r="AC163" s="68">
        <v>0.0</v>
      </c>
      <c r="AD163" s="68">
        <v>0.0</v>
      </c>
      <c r="AE163" s="68">
        <v>0.0</v>
      </c>
      <c r="AF163" s="68">
        <v>0.0</v>
      </c>
      <c r="AG163" s="68">
        <v>0.0</v>
      </c>
      <c r="AH163" s="68">
        <v>0.0</v>
      </c>
      <c r="AI163" s="68">
        <v>0.0</v>
      </c>
      <c r="AJ163" s="68">
        <v>0.0</v>
      </c>
      <c r="AK163" s="68">
        <v>0.0</v>
      </c>
      <c r="AL163" s="68">
        <v>0.0</v>
      </c>
      <c r="AM163" s="68">
        <v>0.0</v>
      </c>
      <c r="AN163" s="68">
        <v>0.0</v>
      </c>
      <c r="AO163" s="68">
        <v>5.27</v>
      </c>
      <c r="AP163" s="68">
        <v>0.0</v>
      </c>
      <c r="AQ163" s="68">
        <v>0.0</v>
      </c>
      <c r="AR163" s="68">
        <v>0.0</v>
      </c>
      <c r="AS163" s="68">
        <v>0.0</v>
      </c>
      <c r="AT163" s="68">
        <v>0.0</v>
      </c>
      <c r="AU163" s="68">
        <v>0.0</v>
      </c>
      <c r="AV163" s="68">
        <v>0.0</v>
      </c>
      <c r="AW163" s="68">
        <v>0.0</v>
      </c>
      <c r="AX163" s="68">
        <v>0.0</v>
      </c>
      <c r="AY163" s="68">
        <v>0.0</v>
      </c>
      <c r="AZ163" s="68">
        <v>0.0</v>
      </c>
      <c r="BA163" s="68">
        <v>0.0</v>
      </c>
      <c r="BB163" s="68">
        <v>5.27</v>
      </c>
      <c r="BC163" s="68" t="s">
        <v>106</v>
      </c>
      <c r="BD163" s="68"/>
      <c r="BG163" s="70">
        <v>-6.6</v>
      </c>
      <c r="BH163" s="68" t="s">
        <v>107</v>
      </c>
      <c r="BI163" s="68" t="s">
        <v>108</v>
      </c>
      <c r="BJ163" s="68" t="s">
        <v>109</v>
      </c>
      <c r="BK163" s="68" t="s">
        <v>363</v>
      </c>
      <c r="BM163" s="68"/>
      <c r="BN163" s="70" t="s">
        <v>111</v>
      </c>
      <c r="BO163" s="68" t="s">
        <v>112</v>
      </c>
      <c r="BP163" s="68" t="s">
        <v>113</v>
      </c>
      <c r="BQ163" s="68" t="s">
        <v>114</v>
      </c>
      <c r="BR163" s="68">
        <v>1.98</v>
      </c>
      <c r="BS163" s="68"/>
      <c r="BW163" s="64" t="str">
        <f>if(OR(F163="SALE",F163="REFUNDED"),IFERROR(Vlookup(I163,'Listing SKU - Fill SKU Mapping'!A:C,3,false),"Map"),"")</f>
        <v>Keystone</v>
      </c>
      <c r="BX163" s="64" t="str">
        <f>IF(OR(F163="SALE",F163="REFUNDED")=TRUE,iferror(Vlookup(I163,'Listing SKU - Fill SKU Mapping'!A:B,2,false),"Map"),"")</f>
        <v>C2030</v>
      </c>
      <c r="BY163" s="64">
        <f>IF(OR(F163="SALE",F163="REFUNDED")=TRUE,iferror(Vlookup(I163,'Listing SKU - Fill SKU Mapping'!A:D,4,false),"Map"),"")</f>
        <v>28.4</v>
      </c>
      <c r="BZ163" s="66">
        <f t="shared" si="1"/>
        <v>11.5</v>
      </c>
      <c r="CA163" s="66">
        <f t="shared" si="2"/>
        <v>39.9</v>
      </c>
      <c r="CB163" s="66">
        <f t="shared" si="3"/>
        <v>21.43</v>
      </c>
      <c r="CC163" s="64" t="str">
        <f>if(F163="REFUNDED",iferror(Vlookup(I163,'Listing SKU - Fill SKU Mapping'!A:B,2,false),"Map"),"")</f>
        <v/>
      </c>
      <c r="CD163" s="64" t="str">
        <f>if(F163="REFUNDED",iferror(Vlookup(I163,'Listing SKU - Fill SKU Mapping'!A:C,3,false),"Map"),"")</f>
        <v/>
      </c>
      <c r="CE163" s="64" t="str">
        <f t="shared" si="4"/>
        <v>2025</v>
      </c>
      <c r="CF163" s="64" t="str">
        <f t="shared" si="5"/>
        <v>August</v>
      </c>
      <c r="CG163" s="64" t="str">
        <f t="shared" si="6"/>
        <v/>
      </c>
    </row>
    <row r="164">
      <c r="A164" s="55">
        <v>2.0001E14</v>
      </c>
      <c r="B164" s="56">
        <v>1.0</v>
      </c>
      <c r="C164" s="57">
        <v>1.2902E14</v>
      </c>
      <c r="D164" s="58">
        <v>1.0</v>
      </c>
      <c r="F164" s="59" t="s">
        <v>100</v>
      </c>
      <c r="G164" s="60">
        <v>45866.0</v>
      </c>
      <c r="H164" s="58">
        <v>1.0</v>
      </c>
      <c r="I164" s="58" t="s">
        <v>350</v>
      </c>
      <c r="J164" s="61">
        <v>4.671299282E11</v>
      </c>
      <c r="K164" s="63"/>
      <c r="L164" s="63"/>
      <c r="M164" s="63"/>
      <c r="N164" s="63"/>
      <c r="O164" s="63"/>
      <c r="P164" s="63"/>
      <c r="Q164" s="63"/>
      <c r="R164" s="63"/>
      <c r="S164" s="63"/>
      <c r="T164" s="58" t="s">
        <v>105</v>
      </c>
      <c r="U164" s="59">
        <v>112.3</v>
      </c>
      <c r="V164" s="59">
        <v>96.7</v>
      </c>
      <c r="W164" s="58">
        <v>7.28</v>
      </c>
      <c r="X164" s="58">
        <v>7.0</v>
      </c>
      <c r="Y164" s="68">
        <v>103.98</v>
      </c>
      <c r="Z164" s="69">
        <v>0.0</v>
      </c>
      <c r="AA164" s="68">
        <v>0.0</v>
      </c>
      <c r="AB164" s="68">
        <v>0.0</v>
      </c>
      <c r="AC164" s="68">
        <v>0.0</v>
      </c>
      <c r="AD164" s="68">
        <v>0.0</v>
      </c>
      <c r="AE164" s="68">
        <v>0.0</v>
      </c>
      <c r="AF164" s="68">
        <v>0.0</v>
      </c>
      <c r="AG164" s="68">
        <v>0.0</v>
      </c>
      <c r="AH164" s="68">
        <v>0.0</v>
      </c>
      <c r="AI164" s="68">
        <v>0.0</v>
      </c>
      <c r="AJ164" s="68">
        <v>0.0</v>
      </c>
      <c r="AK164" s="68">
        <v>0.0</v>
      </c>
      <c r="AL164" s="68">
        <v>0.0</v>
      </c>
      <c r="AM164" s="68">
        <v>0.0</v>
      </c>
      <c r="AN164" s="68">
        <v>0.0</v>
      </c>
      <c r="AO164" s="68">
        <v>8.32</v>
      </c>
      <c r="AP164" s="68">
        <v>0.0</v>
      </c>
      <c r="AQ164" s="68">
        <v>0.0</v>
      </c>
      <c r="AR164" s="68">
        <v>0.0</v>
      </c>
      <c r="AS164" s="68">
        <v>0.0</v>
      </c>
      <c r="AT164" s="68">
        <v>0.0</v>
      </c>
      <c r="AU164" s="68">
        <v>0.0</v>
      </c>
      <c r="AV164" s="68">
        <v>0.0</v>
      </c>
      <c r="AW164" s="68">
        <v>0.0</v>
      </c>
      <c r="AX164" s="68">
        <v>0.0</v>
      </c>
      <c r="AY164" s="68">
        <v>0.0</v>
      </c>
      <c r="AZ164" s="68">
        <v>0.0</v>
      </c>
      <c r="BA164" s="68">
        <v>0.0</v>
      </c>
      <c r="BB164" s="68">
        <v>8.32</v>
      </c>
      <c r="BC164" s="68" t="s">
        <v>106</v>
      </c>
      <c r="BD164" s="68"/>
      <c r="BG164" s="70">
        <v>-10.4</v>
      </c>
      <c r="BH164" s="68" t="s">
        <v>107</v>
      </c>
      <c r="BI164" s="68" t="s">
        <v>108</v>
      </c>
      <c r="BJ164" s="68" t="s">
        <v>109</v>
      </c>
      <c r="BK164" s="68" t="s">
        <v>353</v>
      </c>
      <c r="BM164" s="68"/>
      <c r="BN164" s="70" t="s">
        <v>111</v>
      </c>
      <c r="BO164" s="68" t="s">
        <v>112</v>
      </c>
      <c r="BP164" s="68" t="s">
        <v>113</v>
      </c>
      <c r="BQ164" s="68" t="s">
        <v>114</v>
      </c>
      <c r="BR164" s="68">
        <v>3.12</v>
      </c>
      <c r="BS164" s="68"/>
      <c r="BW164" s="64" t="str">
        <f>if(OR(F164="SALE",F164="REFUNDED"),IFERROR(Vlookup(I164,'Listing SKU - Fill SKU Mapping'!A:C,3,false),"Map"),"")</f>
        <v>Keystone</v>
      </c>
      <c r="BX164" s="64" t="str">
        <f>IF(OR(F164="SALE",F164="REFUNDED")=TRUE,iferror(Vlookup(I164,'Listing SKU - Fill SKU Mapping'!A:B,2,false),"Map"),"")</f>
        <v>47117C</v>
      </c>
      <c r="BY164" s="64">
        <f>IF(OR(F164="SALE",F164="REFUNDED")=TRUE,iferror(Vlookup(I164,'Listing SKU - Fill SKU Mapping'!A:D,4,false),"Map"),"")</f>
        <v>44.18</v>
      </c>
      <c r="BZ164" s="66">
        <f t="shared" si="1"/>
        <v>11.5</v>
      </c>
      <c r="CA164" s="66">
        <f t="shared" si="2"/>
        <v>55.68</v>
      </c>
      <c r="CB164" s="66">
        <f t="shared" si="3"/>
        <v>41.02</v>
      </c>
      <c r="CC164" s="64" t="str">
        <f>if(F164="REFUNDED",iferror(Vlookup(I164,'Listing SKU - Fill SKU Mapping'!A:B,2,false),"Map"),"")</f>
        <v/>
      </c>
      <c r="CD164" s="64" t="str">
        <f>if(F164="REFUNDED",iferror(Vlookup(I164,'Listing SKU - Fill SKU Mapping'!A:C,3,false),"Map"),"")</f>
        <v/>
      </c>
      <c r="CE164" s="64" t="str">
        <f t="shared" si="4"/>
        <v>2025</v>
      </c>
      <c r="CF164" s="64" t="str">
        <f t="shared" si="5"/>
        <v>July</v>
      </c>
      <c r="CG164" s="64" t="str">
        <f t="shared" si="6"/>
        <v/>
      </c>
    </row>
    <row r="165">
      <c r="A165" s="55">
        <v>2.0001E14</v>
      </c>
      <c r="B165" s="56">
        <v>1.0</v>
      </c>
      <c r="C165" s="57">
        <v>1.2902E14</v>
      </c>
      <c r="D165" s="58">
        <v>1.0</v>
      </c>
      <c r="F165" s="59" t="s">
        <v>100</v>
      </c>
      <c r="G165" s="60">
        <v>45866.0</v>
      </c>
      <c r="H165" s="58">
        <v>1.0</v>
      </c>
      <c r="I165" s="58" t="s">
        <v>375</v>
      </c>
      <c r="J165" s="61">
        <v>4.65595356978E11</v>
      </c>
      <c r="K165" s="63"/>
      <c r="L165" s="63"/>
      <c r="M165" s="63"/>
      <c r="N165" s="63"/>
      <c r="O165" s="63"/>
      <c r="P165" s="63"/>
      <c r="Q165" s="63"/>
      <c r="R165" s="63"/>
      <c r="S165" s="63"/>
      <c r="T165" s="58" t="s">
        <v>105</v>
      </c>
      <c r="U165" s="59">
        <v>97.8</v>
      </c>
      <c r="V165" s="59">
        <v>84.61</v>
      </c>
      <c r="W165" s="58">
        <v>6.37</v>
      </c>
      <c r="X165" s="58">
        <v>7.0</v>
      </c>
      <c r="Y165" s="68">
        <v>90.98</v>
      </c>
      <c r="Z165" s="69">
        <v>0.0</v>
      </c>
      <c r="AA165" s="68">
        <v>0.0</v>
      </c>
      <c r="AB165" s="68">
        <v>0.0</v>
      </c>
      <c r="AC165" s="68">
        <v>0.0</v>
      </c>
      <c r="AD165" s="68">
        <v>0.0</v>
      </c>
      <c r="AE165" s="68">
        <v>0.0</v>
      </c>
      <c r="AF165" s="68">
        <v>0.0</v>
      </c>
      <c r="AG165" s="68">
        <v>0.0</v>
      </c>
      <c r="AH165" s="68">
        <v>0.0</v>
      </c>
      <c r="AI165" s="68">
        <v>0.0</v>
      </c>
      <c r="AJ165" s="68">
        <v>0.0</v>
      </c>
      <c r="AK165" s="68">
        <v>0.0</v>
      </c>
      <c r="AL165" s="68">
        <v>0.0</v>
      </c>
      <c r="AM165" s="68">
        <v>0.0</v>
      </c>
      <c r="AN165" s="68">
        <v>0.0</v>
      </c>
      <c r="AO165" s="68">
        <v>6.82</v>
      </c>
      <c r="AP165" s="68">
        <v>0.0</v>
      </c>
      <c r="AQ165" s="68">
        <v>0.0</v>
      </c>
      <c r="AR165" s="68">
        <v>0.0</v>
      </c>
      <c r="AS165" s="68">
        <v>0.0</v>
      </c>
      <c r="AT165" s="68">
        <v>0.0</v>
      </c>
      <c r="AU165" s="68">
        <v>0.0</v>
      </c>
      <c r="AV165" s="68">
        <v>0.0</v>
      </c>
      <c r="AW165" s="68">
        <v>0.0</v>
      </c>
      <c r="AX165" s="68">
        <v>0.0</v>
      </c>
      <c r="AY165" s="68">
        <v>0.0</v>
      </c>
      <c r="AZ165" s="68">
        <v>0.0</v>
      </c>
      <c r="BA165" s="68">
        <v>0.0</v>
      </c>
      <c r="BB165" s="68">
        <v>6.82</v>
      </c>
      <c r="BC165" s="68" t="s">
        <v>106</v>
      </c>
      <c r="BD165" s="68"/>
      <c r="BG165" s="70">
        <v>-9.1</v>
      </c>
      <c r="BH165" s="68" t="s">
        <v>107</v>
      </c>
      <c r="BI165" s="68" t="s">
        <v>108</v>
      </c>
      <c r="BJ165" s="68" t="s">
        <v>109</v>
      </c>
      <c r="BK165" s="68" t="s">
        <v>353</v>
      </c>
      <c r="BM165" s="68"/>
      <c r="BN165" s="70" t="s">
        <v>111</v>
      </c>
      <c r="BO165" s="68" t="s">
        <v>112</v>
      </c>
      <c r="BP165" s="68" t="s">
        <v>113</v>
      </c>
      <c r="BQ165" s="68" t="s">
        <v>114</v>
      </c>
      <c r="BR165" s="68">
        <v>2.73</v>
      </c>
      <c r="BS165" s="68"/>
      <c r="BW165" s="64" t="str">
        <f>if(OR(F165="SALE",F165="REFUNDED"),IFERROR(Vlookup(I165,'Listing SKU - Fill SKU Mapping'!A:C,3,false),"Map"),"")</f>
        <v>Keystone</v>
      </c>
      <c r="BX165" s="64" t="str">
        <f>IF(OR(F165="SALE",F165="REFUNDED")=TRUE,iferror(Vlookup(I165,'Listing SKU - Fill SKU Mapping'!A:B,2,false),"Map"),"")</f>
        <v>IMP463BLK</v>
      </c>
      <c r="BY165" s="64">
        <f>IF(OR(F165="SALE",F165="REFUNDED")=TRUE,iferror(Vlookup(I165,'Listing SKU - Fill SKU Mapping'!A:D,4,false),"Map"),"")</f>
        <v>43</v>
      </c>
      <c r="BZ165" s="66">
        <f t="shared" si="1"/>
        <v>11.5</v>
      </c>
      <c r="CA165" s="66">
        <f t="shared" si="2"/>
        <v>54.5</v>
      </c>
      <c r="CB165" s="66">
        <f t="shared" si="3"/>
        <v>30.11</v>
      </c>
      <c r="CC165" s="64" t="str">
        <f>if(F165="REFUNDED",iferror(Vlookup(I165,'Listing SKU - Fill SKU Mapping'!A:B,2,false),"Map"),"")</f>
        <v/>
      </c>
      <c r="CD165" s="64" t="str">
        <f>if(F165="REFUNDED",iferror(Vlookup(I165,'Listing SKU - Fill SKU Mapping'!A:C,3,false),"Map"),"")</f>
        <v/>
      </c>
      <c r="CE165" s="64" t="str">
        <f t="shared" si="4"/>
        <v>2025</v>
      </c>
      <c r="CF165" s="64" t="str">
        <f t="shared" si="5"/>
        <v>July</v>
      </c>
      <c r="CG165" s="64" t="str">
        <f t="shared" si="6"/>
        <v/>
      </c>
    </row>
    <row r="166">
      <c r="A166" s="55">
        <v>2.0001E14</v>
      </c>
      <c r="B166" s="56">
        <v>1.0</v>
      </c>
      <c r="C166" s="57">
        <v>1.2902E14</v>
      </c>
      <c r="D166" s="58">
        <v>1.0</v>
      </c>
      <c r="F166" s="59" t="s">
        <v>128</v>
      </c>
      <c r="G166" s="60">
        <v>45868.0</v>
      </c>
      <c r="H166" s="58">
        <v>1.0</v>
      </c>
      <c r="I166" s="58" t="s">
        <v>375</v>
      </c>
      <c r="J166" s="61">
        <v>4.65595356978E11</v>
      </c>
      <c r="K166" s="63"/>
      <c r="L166" s="63"/>
      <c r="M166" s="63"/>
      <c r="N166" s="63"/>
      <c r="O166" s="63"/>
      <c r="P166" s="63"/>
      <c r="Q166" s="63"/>
      <c r="R166" s="63"/>
      <c r="S166" s="63"/>
      <c r="U166" s="59">
        <v>-97.8</v>
      </c>
      <c r="V166" s="59">
        <v>-84.61</v>
      </c>
      <c r="W166" s="58">
        <v>-6.37</v>
      </c>
      <c r="X166" s="58">
        <v>0.0</v>
      </c>
      <c r="Y166" s="68">
        <v>0.0</v>
      </c>
      <c r="Z166" s="69">
        <v>-90.98</v>
      </c>
      <c r="AA166" s="68">
        <v>0.0</v>
      </c>
      <c r="AB166" s="68">
        <v>0.0</v>
      </c>
      <c r="AC166" s="68">
        <v>0.0</v>
      </c>
      <c r="AD166" s="68">
        <v>0.0</v>
      </c>
      <c r="AE166" s="68">
        <v>0.0</v>
      </c>
      <c r="AF166" s="68">
        <v>0.0</v>
      </c>
      <c r="AG166" s="68">
        <v>0.0</v>
      </c>
      <c r="AH166" s="68">
        <v>0.0</v>
      </c>
      <c r="AI166" s="68">
        <v>0.0</v>
      </c>
      <c r="AJ166" s="68">
        <v>0.0</v>
      </c>
      <c r="AK166" s="68">
        <v>0.0</v>
      </c>
      <c r="AL166" s="68">
        <v>0.0</v>
      </c>
      <c r="AM166" s="68">
        <v>0.0</v>
      </c>
      <c r="AN166" s="68">
        <v>0.0</v>
      </c>
      <c r="AO166" s="68">
        <v>0.0</v>
      </c>
      <c r="AP166" s="68">
        <v>0.0</v>
      </c>
      <c r="AQ166" s="68">
        <v>0.0</v>
      </c>
      <c r="AR166" s="68">
        <v>0.0</v>
      </c>
      <c r="AS166" s="68">
        <v>0.0</v>
      </c>
      <c r="AT166" s="68">
        <v>-6.82</v>
      </c>
      <c r="AU166" s="68">
        <v>0.0</v>
      </c>
      <c r="AV166" s="68">
        <v>0.0</v>
      </c>
      <c r="AW166" s="68">
        <v>0.0</v>
      </c>
      <c r="AX166" s="68">
        <v>0.0</v>
      </c>
      <c r="AY166" s="68">
        <v>0.0</v>
      </c>
      <c r="AZ166" s="68">
        <v>0.0</v>
      </c>
      <c r="BA166" s="68">
        <v>0.0</v>
      </c>
      <c r="BB166" s="68">
        <v>-6.82</v>
      </c>
      <c r="BC166" s="68" t="s">
        <v>106</v>
      </c>
      <c r="BD166" s="68" t="s">
        <v>156</v>
      </c>
      <c r="BE166" s="68">
        <v>5010.0</v>
      </c>
      <c r="BF166" s="68"/>
      <c r="BH166" s="70" t="s">
        <v>107</v>
      </c>
      <c r="BI166" s="68" t="s">
        <v>108</v>
      </c>
      <c r="BK166" s="68"/>
      <c r="BL166" s="70">
        <v>1016.0</v>
      </c>
      <c r="BM166" s="68" t="s">
        <v>258</v>
      </c>
      <c r="BN166" s="68" t="s">
        <v>111</v>
      </c>
      <c r="BO166" s="68" t="s">
        <v>112</v>
      </c>
      <c r="BQ166" s="68"/>
      <c r="BW166" s="64" t="str">
        <f>if(OR(F166="SALE",F166="REFUNDED"),IFERROR(Vlookup(I166,'Listing SKU - Fill SKU Mapping'!A:C,3,false),"Map"),"")</f>
        <v>Keystone</v>
      </c>
      <c r="BX166" s="64" t="str">
        <f>IF(OR(F166="SALE",F166="REFUNDED")=TRUE,iferror(Vlookup(I166,'Listing SKU - Fill SKU Mapping'!A:B,2,false),"Map"),"")</f>
        <v>IMP463BLK</v>
      </c>
      <c r="BY166" s="64">
        <f>IF(OR(F166="SALE",F166="REFUNDED")=TRUE,iferror(Vlookup(I166,'Listing SKU - Fill SKU Mapping'!A:D,4,false),"Map"),"")</f>
        <v>43</v>
      </c>
      <c r="BZ166" s="66">
        <f t="shared" si="1"/>
        <v>11.5</v>
      </c>
      <c r="CA166" s="66">
        <f t="shared" si="2"/>
        <v>54.5</v>
      </c>
      <c r="CB166" s="64" t="str">
        <f t="shared" si="3"/>
        <v/>
      </c>
      <c r="CC166" s="64" t="str">
        <f>if(F166="REFUNDED",iferror(Vlookup(I166,'Listing SKU - Fill SKU Mapping'!A:B,2,false),"Map"),"")</f>
        <v>IMP463BLK</v>
      </c>
      <c r="CD166" s="64" t="str">
        <f>if(F166="REFUNDED",iferror(Vlookup(I166,'Listing SKU - Fill SKU Mapping'!A:C,3,false),"Map"),"")</f>
        <v>Keystone</v>
      </c>
      <c r="CE166" s="64" t="str">
        <f t="shared" si="4"/>
        <v>2025</v>
      </c>
      <c r="CF166" s="64" t="str">
        <f t="shared" si="5"/>
        <v>July</v>
      </c>
      <c r="CG166" s="64" t="str">
        <f t="shared" si="6"/>
        <v/>
      </c>
    </row>
    <row r="167">
      <c r="A167" s="55">
        <v>2.0001E14</v>
      </c>
      <c r="B167" s="56">
        <v>1.0</v>
      </c>
      <c r="C167" s="57">
        <v>1.2902E14</v>
      </c>
      <c r="D167" s="58">
        <v>1.0</v>
      </c>
      <c r="F167" s="59" t="s">
        <v>128</v>
      </c>
      <c r="G167" s="60">
        <v>45872.0</v>
      </c>
      <c r="H167" s="58">
        <v>1.0</v>
      </c>
      <c r="I167" s="58" t="s">
        <v>159</v>
      </c>
      <c r="J167" s="61">
        <v>4.60776234854E11</v>
      </c>
      <c r="K167" s="63"/>
      <c r="L167" s="63"/>
      <c r="M167" s="63"/>
      <c r="N167" s="63"/>
      <c r="O167" s="63"/>
      <c r="P167" s="63"/>
      <c r="Q167" s="63"/>
      <c r="R167" s="63"/>
      <c r="S167" s="63"/>
      <c r="U167" s="59">
        <v>-107.15</v>
      </c>
      <c r="V167" s="59">
        <v>-92.05</v>
      </c>
      <c r="W167" s="58">
        <v>-6.93</v>
      </c>
      <c r="X167" s="58">
        <v>0.0</v>
      </c>
      <c r="Y167" s="68">
        <v>0.0</v>
      </c>
      <c r="Z167" s="69">
        <v>-98.98</v>
      </c>
      <c r="AA167" s="68">
        <v>0.0</v>
      </c>
      <c r="AB167" s="68">
        <v>0.0</v>
      </c>
      <c r="AC167" s="68">
        <v>0.0</v>
      </c>
      <c r="AD167" s="68">
        <v>0.0</v>
      </c>
      <c r="AE167" s="68">
        <v>0.0</v>
      </c>
      <c r="AF167" s="68">
        <v>0.0</v>
      </c>
      <c r="AG167" s="68">
        <v>0.0</v>
      </c>
      <c r="AH167" s="68">
        <v>0.0</v>
      </c>
      <c r="AI167" s="68">
        <v>0.0</v>
      </c>
      <c r="AJ167" s="68">
        <v>0.0</v>
      </c>
      <c r="AK167" s="68">
        <v>0.0</v>
      </c>
      <c r="AL167" s="68">
        <v>0.0</v>
      </c>
      <c r="AM167" s="68">
        <v>0.0</v>
      </c>
      <c r="AN167" s="68">
        <v>0.0</v>
      </c>
      <c r="AO167" s="68">
        <v>0.0</v>
      </c>
      <c r="AP167" s="68">
        <v>0.0</v>
      </c>
      <c r="AQ167" s="68">
        <v>0.0</v>
      </c>
      <c r="AR167" s="68">
        <v>0.0</v>
      </c>
      <c r="AS167" s="68">
        <v>0.0</v>
      </c>
      <c r="AT167" s="68">
        <v>-8.17</v>
      </c>
      <c r="AU167" s="68">
        <v>0.0</v>
      </c>
      <c r="AV167" s="68">
        <v>0.0</v>
      </c>
      <c r="AW167" s="68">
        <v>0.0</v>
      </c>
      <c r="AX167" s="68">
        <v>0.0</v>
      </c>
      <c r="AY167" s="68">
        <v>0.0</v>
      </c>
      <c r="AZ167" s="68">
        <v>0.0</v>
      </c>
      <c r="BA167" s="68">
        <v>0.0</v>
      </c>
      <c r="BB167" s="68">
        <v>-8.17</v>
      </c>
      <c r="BC167" s="68" t="s">
        <v>106</v>
      </c>
      <c r="BD167" s="68" t="s">
        <v>156</v>
      </c>
      <c r="BE167" s="68">
        <v>5010.0</v>
      </c>
      <c r="BF167" s="68"/>
      <c r="BH167" s="70" t="s">
        <v>107</v>
      </c>
      <c r="BI167" s="68" t="s">
        <v>108</v>
      </c>
      <c r="BK167" s="68"/>
      <c r="BL167" s="70">
        <v>1016.0</v>
      </c>
      <c r="BM167" s="68" t="s">
        <v>258</v>
      </c>
      <c r="BN167" s="68" t="s">
        <v>111</v>
      </c>
      <c r="BO167" s="68" t="s">
        <v>112</v>
      </c>
      <c r="BQ167" s="68"/>
      <c r="BW167" s="64" t="str">
        <f>if(OR(F167="SALE",F167="REFUNDED"),IFERROR(Vlookup(I167,'Listing SKU - Fill SKU Mapping'!A:C,3,false),"Map"),"")</f>
        <v>Keystone</v>
      </c>
      <c r="BX167" s="64" t="str">
        <f>IF(OR(F167="SALE",F167="REFUNDED")=TRUE,iferror(Vlookup(I167,'Listing SKU - Fill SKU Mapping'!A:B,2,false),"Map"),"")</f>
        <v>IMP371BLK</v>
      </c>
      <c r="BY167" s="64">
        <f>IF(OR(F167="SALE",F167="REFUNDED")=TRUE,iferror(Vlookup(I167,'Listing SKU - Fill SKU Mapping'!A:D,4,false),"Map"),"")</f>
        <v>43.79</v>
      </c>
      <c r="BZ167" s="66">
        <f t="shared" si="1"/>
        <v>11.5</v>
      </c>
      <c r="CA167" s="66">
        <f t="shared" si="2"/>
        <v>55.29</v>
      </c>
      <c r="CB167" s="64" t="str">
        <f t="shared" si="3"/>
        <v/>
      </c>
      <c r="CC167" s="64" t="str">
        <f>if(F167="REFUNDED",iferror(Vlookup(I167,'Listing SKU - Fill SKU Mapping'!A:B,2,false),"Map"),"")</f>
        <v>IMP371BLK</v>
      </c>
      <c r="CD167" s="64" t="str">
        <f>if(F167="REFUNDED",iferror(Vlookup(I167,'Listing SKU - Fill SKU Mapping'!A:C,3,false),"Map"),"")</f>
        <v>Keystone</v>
      </c>
      <c r="CE167" s="64" t="str">
        <f t="shared" si="4"/>
        <v>2025</v>
      </c>
      <c r="CF167" s="64" t="str">
        <f t="shared" si="5"/>
        <v>August</v>
      </c>
      <c r="CG167" s="64" t="str">
        <f t="shared" si="6"/>
        <v/>
      </c>
    </row>
    <row r="168">
      <c r="A168" s="55">
        <v>2.0001E14</v>
      </c>
      <c r="B168" s="56">
        <v>1.0</v>
      </c>
      <c r="C168" s="57">
        <v>1.2902E14</v>
      </c>
      <c r="D168" s="58">
        <v>1.0</v>
      </c>
      <c r="F168" s="59" t="s">
        <v>100</v>
      </c>
      <c r="G168" s="60">
        <v>45866.0</v>
      </c>
      <c r="H168" s="58">
        <v>1.0</v>
      </c>
      <c r="I168" s="58" t="s">
        <v>376</v>
      </c>
      <c r="J168" s="61">
        <v>4.607762477E11</v>
      </c>
      <c r="K168" s="63"/>
      <c r="L168" s="63"/>
      <c r="M168" s="63"/>
      <c r="N168" s="63"/>
      <c r="O168" s="63"/>
      <c r="P168" s="63"/>
      <c r="Q168" s="63"/>
      <c r="R168" s="63"/>
      <c r="S168" s="63"/>
      <c r="T168" s="58" t="s">
        <v>105</v>
      </c>
      <c r="U168" s="59">
        <v>121.88</v>
      </c>
      <c r="V168" s="59">
        <v>106.93</v>
      </c>
      <c r="W168" s="58">
        <v>8.05</v>
      </c>
      <c r="X168" s="58">
        <v>7.0</v>
      </c>
      <c r="Y168" s="68">
        <v>114.98</v>
      </c>
      <c r="Z168" s="69">
        <v>0.0</v>
      </c>
      <c r="AA168" s="68">
        <v>0.0</v>
      </c>
      <c r="AB168" s="68">
        <v>0.0</v>
      </c>
      <c r="AC168" s="68">
        <v>0.0</v>
      </c>
      <c r="AD168" s="68">
        <v>0.0</v>
      </c>
      <c r="AE168" s="68">
        <v>0.0</v>
      </c>
      <c r="AF168" s="68">
        <v>0.0</v>
      </c>
      <c r="AG168" s="68">
        <v>0.0</v>
      </c>
      <c r="AH168" s="68">
        <v>0.0</v>
      </c>
      <c r="AI168" s="68">
        <v>0.0</v>
      </c>
      <c r="AJ168" s="68">
        <v>0.0</v>
      </c>
      <c r="AK168" s="68">
        <v>0.0</v>
      </c>
      <c r="AL168" s="68">
        <v>0.0</v>
      </c>
      <c r="AM168" s="68">
        <v>0.0</v>
      </c>
      <c r="AN168" s="68">
        <v>0.0</v>
      </c>
      <c r="AO168" s="68">
        <v>6.9</v>
      </c>
      <c r="AP168" s="68">
        <v>0.0</v>
      </c>
      <c r="AQ168" s="68">
        <v>0.0</v>
      </c>
      <c r="AR168" s="68">
        <v>0.0</v>
      </c>
      <c r="AS168" s="68">
        <v>0.0</v>
      </c>
      <c r="AT168" s="68">
        <v>0.0</v>
      </c>
      <c r="AU168" s="68">
        <v>0.0</v>
      </c>
      <c r="AV168" s="68">
        <v>0.0</v>
      </c>
      <c r="AW168" s="68">
        <v>0.0</v>
      </c>
      <c r="AX168" s="68">
        <v>0.0</v>
      </c>
      <c r="AY168" s="68">
        <v>0.0</v>
      </c>
      <c r="AZ168" s="68">
        <v>0.0</v>
      </c>
      <c r="BA168" s="68">
        <v>0.0</v>
      </c>
      <c r="BB168" s="68">
        <v>6.9</v>
      </c>
      <c r="BC168" s="68" t="s">
        <v>106</v>
      </c>
      <c r="BD168" s="68"/>
      <c r="BG168" s="70">
        <v>-11.5</v>
      </c>
      <c r="BH168" s="68" t="s">
        <v>107</v>
      </c>
      <c r="BI168" s="68" t="s">
        <v>108</v>
      </c>
      <c r="BJ168" s="68" t="s">
        <v>109</v>
      </c>
      <c r="BK168" s="68" t="s">
        <v>353</v>
      </c>
      <c r="BM168" s="68"/>
      <c r="BN168" s="70" t="s">
        <v>111</v>
      </c>
      <c r="BO168" s="68" t="s">
        <v>112</v>
      </c>
      <c r="BP168" s="68" t="s">
        <v>113</v>
      </c>
      <c r="BQ168" s="68" t="s">
        <v>114</v>
      </c>
      <c r="BR168" s="68">
        <v>3.45</v>
      </c>
      <c r="BS168" s="68"/>
      <c r="BW168" s="64" t="str">
        <f>if(OR(F168="SALE",F168="REFUNDED"),IFERROR(Vlookup(I168,'Listing SKU - Fill SKU Mapping'!A:C,3,false),"Map"),"")</f>
        <v>Keystone</v>
      </c>
      <c r="BX168" s="64" t="str">
        <f>IF(OR(F168="SALE",F168="REFUNDED")=TRUE,iferror(Vlookup(I168,'Listing SKU - Fill SKU Mapping'!A:B,2,false),"Map"),"")</f>
        <v>IMP444X</v>
      </c>
      <c r="BY168" s="64">
        <f>IF(OR(F168="SALE",F168="REFUNDED")=TRUE,iferror(Vlookup(I168,'Listing SKU - Fill SKU Mapping'!A:D,4,false),"Map"),"")</f>
        <v>54.05</v>
      </c>
      <c r="BZ168" s="66">
        <f t="shared" si="1"/>
        <v>11.5</v>
      </c>
      <c r="CA168" s="66">
        <f t="shared" si="2"/>
        <v>65.55</v>
      </c>
      <c r="CB168" s="66">
        <f t="shared" si="3"/>
        <v>41.38</v>
      </c>
      <c r="CC168" s="64" t="str">
        <f>if(F168="REFUNDED",iferror(Vlookup(I168,'Listing SKU - Fill SKU Mapping'!A:B,2,false),"Map"),"")</f>
        <v/>
      </c>
      <c r="CD168" s="64" t="str">
        <f>if(F168="REFUNDED",iferror(Vlookup(I168,'Listing SKU - Fill SKU Mapping'!A:C,3,false),"Map"),"")</f>
        <v/>
      </c>
      <c r="CE168" s="64" t="str">
        <f t="shared" si="4"/>
        <v>2025</v>
      </c>
      <c r="CF168" s="64" t="str">
        <f t="shared" si="5"/>
        <v>July</v>
      </c>
      <c r="CG168" s="64" t="str">
        <f t="shared" si="6"/>
        <v/>
      </c>
    </row>
    <row r="169">
      <c r="A169" s="55">
        <v>2.0001E14</v>
      </c>
      <c r="B169" s="56">
        <v>1.0</v>
      </c>
      <c r="C169" s="57">
        <v>1.2902E14</v>
      </c>
      <c r="D169" s="58">
        <v>1.0</v>
      </c>
      <c r="F169" s="59" t="s">
        <v>100</v>
      </c>
      <c r="G169" s="60">
        <v>45873.0</v>
      </c>
      <c r="H169" s="58">
        <v>1.0</v>
      </c>
      <c r="I169" s="58" t="s">
        <v>279</v>
      </c>
      <c r="J169" s="61">
        <v>4.67129950768E11</v>
      </c>
      <c r="K169" s="63"/>
      <c r="L169" s="63"/>
      <c r="M169" s="63"/>
      <c r="N169" s="63"/>
      <c r="O169" s="63"/>
      <c r="P169" s="63"/>
      <c r="Q169" s="63"/>
      <c r="R169" s="63"/>
      <c r="S169" s="63"/>
      <c r="T169" s="58" t="s">
        <v>105</v>
      </c>
      <c r="U169" s="59">
        <v>95.65</v>
      </c>
      <c r="V169" s="59">
        <v>79.96</v>
      </c>
      <c r="W169" s="58">
        <v>6.02</v>
      </c>
      <c r="X169" s="58">
        <v>7.0</v>
      </c>
      <c r="Y169" s="68">
        <v>85.98</v>
      </c>
      <c r="Z169" s="69">
        <v>0.0</v>
      </c>
      <c r="AA169" s="68">
        <v>0.0</v>
      </c>
      <c r="AB169" s="68">
        <v>0.0</v>
      </c>
      <c r="AC169" s="68">
        <v>0.0</v>
      </c>
      <c r="AD169" s="68">
        <v>0.0</v>
      </c>
      <c r="AE169" s="68">
        <v>0.0</v>
      </c>
      <c r="AF169" s="68">
        <v>0.0</v>
      </c>
      <c r="AG169" s="68">
        <v>0.0</v>
      </c>
      <c r="AH169" s="68">
        <v>0.0</v>
      </c>
      <c r="AI169" s="68">
        <v>0.0</v>
      </c>
      <c r="AJ169" s="68">
        <v>0.0</v>
      </c>
      <c r="AK169" s="68">
        <v>0.0</v>
      </c>
      <c r="AL169" s="68">
        <v>0.0</v>
      </c>
      <c r="AM169" s="68">
        <v>0.0</v>
      </c>
      <c r="AN169" s="68">
        <v>0.0</v>
      </c>
      <c r="AO169" s="68">
        <v>9.67</v>
      </c>
      <c r="AP169" s="68">
        <v>0.0</v>
      </c>
      <c r="AQ169" s="68">
        <v>0.0</v>
      </c>
      <c r="AR169" s="68">
        <v>0.0</v>
      </c>
      <c r="AS169" s="68">
        <v>0.0</v>
      </c>
      <c r="AT169" s="68">
        <v>0.0</v>
      </c>
      <c r="AU169" s="68">
        <v>0.0</v>
      </c>
      <c r="AV169" s="68">
        <v>0.0</v>
      </c>
      <c r="AW169" s="68">
        <v>0.0</v>
      </c>
      <c r="AX169" s="68">
        <v>0.0</v>
      </c>
      <c r="AY169" s="68">
        <v>0.0</v>
      </c>
      <c r="AZ169" s="68">
        <v>0.0</v>
      </c>
      <c r="BA169" s="68">
        <v>0.0</v>
      </c>
      <c r="BB169" s="68">
        <v>9.67</v>
      </c>
      <c r="BC169" s="68" t="s">
        <v>106</v>
      </c>
      <c r="BD169" s="68"/>
      <c r="BG169" s="70">
        <v>-8.6</v>
      </c>
      <c r="BH169" s="68" t="s">
        <v>107</v>
      </c>
      <c r="BI169" s="68" t="s">
        <v>108</v>
      </c>
      <c r="BJ169" s="68" t="s">
        <v>109</v>
      </c>
      <c r="BK169" s="68" t="s">
        <v>363</v>
      </c>
      <c r="BM169" s="68"/>
      <c r="BN169" s="70" t="s">
        <v>111</v>
      </c>
      <c r="BO169" s="68" t="s">
        <v>112</v>
      </c>
      <c r="BP169" s="68" t="s">
        <v>113</v>
      </c>
      <c r="BQ169" s="68" t="s">
        <v>114</v>
      </c>
      <c r="BR169" s="68">
        <v>2.58</v>
      </c>
      <c r="BS169" s="68"/>
      <c r="BW169" s="64" t="str">
        <f>if(OR(F169="SALE",F169="REFUNDED"),IFERROR(Vlookup(I169,'Listing SKU - Fill SKU Mapping'!A:C,3,false),"Map"),"")</f>
        <v>Keystone</v>
      </c>
      <c r="BX169" s="64" t="str">
        <f>IF(OR(F169="SALE",F169="REFUNDED")=TRUE,iferror(Vlookup(I169,'Listing SKU - Fill SKU Mapping'!A:B,2,false),"Map"),"")</f>
        <v>43517S</v>
      </c>
      <c r="BY169" s="64">
        <f>IF(OR(F169="SALE",F169="REFUNDED")=TRUE,iferror(Vlookup(I169,'Listing SKU - Fill SKU Mapping'!A:D,4,false),"Map"),"")</f>
        <v>33.53</v>
      </c>
      <c r="BZ169" s="66">
        <f t="shared" si="1"/>
        <v>11.5</v>
      </c>
      <c r="CA169" s="66">
        <f t="shared" si="2"/>
        <v>45.03</v>
      </c>
      <c r="CB169" s="66">
        <f t="shared" si="3"/>
        <v>34.93</v>
      </c>
      <c r="CC169" s="64" t="str">
        <f>if(F169="REFUNDED",iferror(Vlookup(I169,'Listing SKU - Fill SKU Mapping'!A:B,2,false),"Map"),"")</f>
        <v/>
      </c>
      <c r="CD169" s="64" t="str">
        <f>if(F169="REFUNDED",iferror(Vlookup(I169,'Listing SKU - Fill SKU Mapping'!A:C,3,false),"Map"),"")</f>
        <v/>
      </c>
      <c r="CE169" s="64" t="str">
        <f t="shared" si="4"/>
        <v>2025</v>
      </c>
      <c r="CF169" s="64" t="str">
        <f t="shared" si="5"/>
        <v>August</v>
      </c>
      <c r="CG169" s="64" t="str">
        <f t="shared" si="6"/>
        <v/>
      </c>
    </row>
    <row r="170">
      <c r="A170" s="55">
        <v>2.0001E14</v>
      </c>
      <c r="B170" s="56">
        <v>1.0</v>
      </c>
      <c r="C170" s="57">
        <v>1.2902E14</v>
      </c>
      <c r="D170" s="58">
        <v>1.0</v>
      </c>
      <c r="F170" s="59" t="s">
        <v>100</v>
      </c>
      <c r="G170" s="60">
        <v>45875.0</v>
      </c>
      <c r="H170" s="58">
        <v>1.0</v>
      </c>
      <c r="I170" s="58" t="s">
        <v>377</v>
      </c>
      <c r="J170" s="61">
        <v>4.66885032336E11</v>
      </c>
      <c r="K170" s="63"/>
      <c r="L170" s="63"/>
      <c r="M170" s="63"/>
      <c r="N170" s="63"/>
      <c r="O170" s="63"/>
      <c r="P170" s="63"/>
      <c r="Q170" s="63"/>
      <c r="R170" s="63"/>
      <c r="S170" s="63"/>
      <c r="T170" s="58" t="s">
        <v>105</v>
      </c>
      <c r="U170" s="59">
        <v>73.42</v>
      </c>
      <c r="V170" s="59">
        <v>70.66</v>
      </c>
      <c r="W170" s="58">
        <v>5.32</v>
      </c>
      <c r="X170" s="58">
        <v>7.0</v>
      </c>
      <c r="Y170" s="68">
        <v>66.9</v>
      </c>
      <c r="Z170" s="69">
        <v>0.0</v>
      </c>
      <c r="AA170" s="68">
        <v>0.0</v>
      </c>
      <c r="AB170" s="68">
        <v>0.0</v>
      </c>
      <c r="AC170" s="68">
        <v>0.0</v>
      </c>
      <c r="AD170" s="68">
        <v>0.0</v>
      </c>
      <c r="AE170" s="68">
        <v>0.0</v>
      </c>
      <c r="AF170" s="68">
        <v>0.0</v>
      </c>
      <c r="AG170" s="68">
        <v>0.0</v>
      </c>
      <c r="AH170" s="68">
        <v>0.0</v>
      </c>
      <c r="AI170" s="68">
        <v>0.0</v>
      </c>
      <c r="AJ170" s="68">
        <v>0.0</v>
      </c>
      <c r="AK170" s="68">
        <v>0.0</v>
      </c>
      <c r="AL170" s="68">
        <v>0.0</v>
      </c>
      <c r="AM170" s="68">
        <v>0.0</v>
      </c>
      <c r="AN170" s="68">
        <v>0.0</v>
      </c>
      <c r="AO170" s="68">
        <v>6.52</v>
      </c>
      <c r="AP170" s="68">
        <v>0.0</v>
      </c>
      <c r="AQ170" s="68">
        <v>0.0</v>
      </c>
      <c r="AR170" s="68">
        <v>0.0</v>
      </c>
      <c r="AS170" s="68">
        <v>0.0</v>
      </c>
      <c r="AT170" s="68">
        <v>0.0</v>
      </c>
      <c r="AU170" s="68">
        <v>0.0</v>
      </c>
      <c r="AV170" s="68">
        <v>0.0</v>
      </c>
      <c r="AW170" s="68">
        <v>0.0</v>
      </c>
      <c r="AX170" s="68">
        <v>0.0</v>
      </c>
      <c r="AY170" s="68">
        <v>0.0</v>
      </c>
      <c r="AZ170" s="68">
        <v>0.0</v>
      </c>
      <c r="BA170" s="68">
        <v>0.0</v>
      </c>
      <c r="BB170" s="68">
        <v>6.52</v>
      </c>
      <c r="BC170" s="68" t="s">
        <v>106</v>
      </c>
      <c r="BD170" s="68"/>
      <c r="BF170" s="70">
        <v>75.98</v>
      </c>
      <c r="BG170" s="68">
        <v>-7.6</v>
      </c>
      <c r="BH170" s="68" t="s">
        <v>107</v>
      </c>
      <c r="BI170" s="68" t="s">
        <v>108</v>
      </c>
      <c r="BJ170" s="68" t="s">
        <v>109</v>
      </c>
      <c r="BK170" s="68" t="s">
        <v>363</v>
      </c>
      <c r="BM170" s="68"/>
      <c r="BN170" s="70" t="s">
        <v>111</v>
      </c>
      <c r="BO170" s="68" t="s">
        <v>112</v>
      </c>
      <c r="BP170" s="68" t="s">
        <v>113</v>
      </c>
      <c r="BQ170" s="68" t="s">
        <v>317</v>
      </c>
      <c r="BR170" s="68">
        <v>2.28</v>
      </c>
      <c r="BS170" s="68"/>
      <c r="BT170" s="70">
        <v>-9.08</v>
      </c>
      <c r="BU170" s="68" t="s">
        <v>318</v>
      </c>
      <c r="BW170" s="64" t="str">
        <f>if(OR(F170="SALE",F170="REFUNDED"),IFERROR(Vlookup(I170,'Listing SKU - Fill SKU Mapping'!A:C,3,false),"Map"),"")</f>
        <v>Keystone</v>
      </c>
      <c r="BX170" s="64" t="str">
        <f>IF(OR(F170="SALE",F170="REFUNDED")=TRUE,iferror(Vlookup(I170,'Listing SKU - Fill SKU Mapping'!A:B,2,false),"Map"),"")</f>
        <v>20515S</v>
      </c>
      <c r="BY170" s="64">
        <f>IF(OR(F170="SALE",F170="REFUNDED")=TRUE,iferror(Vlookup(I170,'Listing SKU - Fill SKU Mapping'!A:D,4,false),"Map"),"")</f>
        <v>26.82</v>
      </c>
      <c r="BZ170" s="66">
        <f t="shared" si="1"/>
        <v>11.5</v>
      </c>
      <c r="CA170" s="66">
        <f t="shared" si="2"/>
        <v>38.32</v>
      </c>
      <c r="CB170" s="66">
        <f t="shared" si="3"/>
        <v>32.34</v>
      </c>
      <c r="CC170" s="64" t="str">
        <f>if(F170="REFUNDED",iferror(Vlookup(I170,'Listing SKU - Fill SKU Mapping'!A:B,2,false),"Map"),"")</f>
        <v/>
      </c>
      <c r="CD170" s="64" t="str">
        <f>if(F170="REFUNDED",iferror(Vlookup(I170,'Listing SKU - Fill SKU Mapping'!A:C,3,false),"Map"),"")</f>
        <v/>
      </c>
      <c r="CE170" s="64" t="str">
        <f t="shared" si="4"/>
        <v>2025</v>
      </c>
      <c r="CF170" s="64" t="str">
        <f t="shared" si="5"/>
        <v>August</v>
      </c>
      <c r="CG170" s="64" t="str">
        <f t="shared" si="6"/>
        <v/>
      </c>
    </row>
    <row r="171">
      <c r="A171" s="55">
        <v>2.0001E14</v>
      </c>
      <c r="B171" s="56">
        <v>1.0</v>
      </c>
      <c r="C171" s="57">
        <v>1.2902E14</v>
      </c>
      <c r="D171" s="58">
        <v>1.0</v>
      </c>
      <c r="F171" s="59" t="s">
        <v>100</v>
      </c>
      <c r="G171" s="60">
        <v>45875.0</v>
      </c>
      <c r="H171" s="58">
        <v>1.0</v>
      </c>
      <c r="I171" s="58" t="s">
        <v>291</v>
      </c>
      <c r="J171" s="61">
        <v>4.67129915064E11</v>
      </c>
      <c r="K171" s="63"/>
      <c r="L171" s="63"/>
      <c r="M171" s="63"/>
      <c r="N171" s="63"/>
      <c r="O171" s="63"/>
      <c r="P171" s="63"/>
      <c r="Q171" s="63"/>
      <c r="R171" s="63"/>
      <c r="S171" s="63"/>
      <c r="T171" s="58" t="s">
        <v>105</v>
      </c>
      <c r="U171" s="59">
        <v>93.26</v>
      </c>
      <c r="V171" s="59">
        <v>81.82</v>
      </c>
      <c r="W171" s="58">
        <v>6.16</v>
      </c>
      <c r="X171" s="58">
        <v>7.0</v>
      </c>
      <c r="Y171" s="68">
        <v>87.98</v>
      </c>
      <c r="Z171" s="69">
        <v>0.0</v>
      </c>
      <c r="AA171" s="68">
        <v>0.0</v>
      </c>
      <c r="AB171" s="68">
        <v>0.0</v>
      </c>
      <c r="AC171" s="68">
        <v>0.0</v>
      </c>
      <c r="AD171" s="68">
        <v>0.0</v>
      </c>
      <c r="AE171" s="68">
        <v>0.0</v>
      </c>
      <c r="AF171" s="68">
        <v>0.0</v>
      </c>
      <c r="AG171" s="68">
        <v>0.0</v>
      </c>
      <c r="AH171" s="68">
        <v>0.0</v>
      </c>
      <c r="AI171" s="68">
        <v>0.0</v>
      </c>
      <c r="AJ171" s="68">
        <v>0.0</v>
      </c>
      <c r="AK171" s="68">
        <v>0.0</v>
      </c>
      <c r="AL171" s="68">
        <v>0.0</v>
      </c>
      <c r="AM171" s="68">
        <v>0.0</v>
      </c>
      <c r="AN171" s="68">
        <v>0.0</v>
      </c>
      <c r="AO171" s="68">
        <v>5.28</v>
      </c>
      <c r="AP171" s="68">
        <v>0.0</v>
      </c>
      <c r="AQ171" s="68">
        <v>0.0</v>
      </c>
      <c r="AR171" s="68">
        <v>0.0</v>
      </c>
      <c r="AS171" s="68">
        <v>0.0</v>
      </c>
      <c r="AT171" s="68">
        <v>0.0</v>
      </c>
      <c r="AU171" s="68">
        <v>0.0</v>
      </c>
      <c r="AV171" s="68">
        <v>0.0</v>
      </c>
      <c r="AW171" s="68">
        <v>0.0</v>
      </c>
      <c r="AX171" s="68">
        <v>0.0</v>
      </c>
      <c r="AY171" s="68">
        <v>0.0</v>
      </c>
      <c r="AZ171" s="68">
        <v>0.0</v>
      </c>
      <c r="BA171" s="68">
        <v>0.0</v>
      </c>
      <c r="BB171" s="68">
        <v>5.28</v>
      </c>
      <c r="BC171" s="68" t="s">
        <v>106</v>
      </c>
      <c r="BD171" s="68"/>
      <c r="BG171" s="70">
        <v>-8.8</v>
      </c>
      <c r="BH171" s="68" t="s">
        <v>107</v>
      </c>
      <c r="BI171" s="68" t="s">
        <v>108</v>
      </c>
      <c r="BJ171" s="68" t="s">
        <v>109</v>
      </c>
      <c r="BK171" s="68" t="s">
        <v>363</v>
      </c>
      <c r="BM171" s="68"/>
      <c r="BN171" s="70" t="s">
        <v>111</v>
      </c>
      <c r="BO171" s="68" t="s">
        <v>112</v>
      </c>
      <c r="BP171" s="68" t="s">
        <v>113</v>
      </c>
      <c r="BQ171" s="68" t="s">
        <v>114</v>
      </c>
      <c r="BR171" s="68">
        <v>2.64</v>
      </c>
      <c r="BS171" s="68"/>
      <c r="BW171" s="64" t="str">
        <f>if(OR(F171="SALE",F171="REFUNDED"),IFERROR(Vlookup(I171,'Listing SKU - Fill SKU Mapping'!A:C,3,false),"Map"),"")</f>
        <v>Keystone</v>
      </c>
      <c r="BX171" s="64" t="str">
        <f>IF(OR(F171="SALE",F171="REFUNDED")=TRUE,iferror(Vlookup(I171,'Listing SKU - Fill SKU Mapping'!A:B,2,false),"Map"),"")</f>
        <v>47218S</v>
      </c>
      <c r="BY171" s="64">
        <f>IF(OR(F171="SALE",F171="REFUNDED")=TRUE,iferror(Vlookup(I171,'Listing SKU - Fill SKU Mapping'!A:D,4,false),"Map"),"")</f>
        <v>34.71</v>
      </c>
      <c r="BZ171" s="66">
        <f t="shared" si="1"/>
        <v>11.5</v>
      </c>
      <c r="CA171" s="66">
        <f t="shared" si="2"/>
        <v>46.21</v>
      </c>
      <c r="CB171" s="66">
        <f t="shared" si="3"/>
        <v>35.61</v>
      </c>
      <c r="CC171" s="64" t="str">
        <f>if(F171="REFUNDED",iferror(Vlookup(I171,'Listing SKU - Fill SKU Mapping'!A:B,2,false),"Map"),"")</f>
        <v/>
      </c>
      <c r="CD171" s="64" t="str">
        <f>if(F171="REFUNDED",iferror(Vlookup(I171,'Listing SKU - Fill SKU Mapping'!A:C,3,false),"Map"),"")</f>
        <v/>
      </c>
      <c r="CE171" s="64" t="str">
        <f t="shared" si="4"/>
        <v>2025</v>
      </c>
      <c r="CF171" s="64" t="str">
        <f t="shared" si="5"/>
        <v>August</v>
      </c>
      <c r="CG171" s="64" t="str">
        <f t="shared" si="6"/>
        <v/>
      </c>
    </row>
    <row r="172">
      <c r="A172" s="55">
        <v>2.0001E14</v>
      </c>
      <c r="B172" s="56">
        <v>1.0</v>
      </c>
      <c r="C172" s="57">
        <v>1.2902E14</v>
      </c>
      <c r="D172" s="58">
        <v>1.0</v>
      </c>
      <c r="F172" s="59" t="s">
        <v>100</v>
      </c>
      <c r="G172" s="60">
        <v>45870.0</v>
      </c>
      <c r="H172" s="58">
        <v>1.0</v>
      </c>
      <c r="I172" s="58" t="s">
        <v>378</v>
      </c>
      <c r="J172" s="61">
        <v>4.67129929344E11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58" t="s">
        <v>105</v>
      </c>
      <c r="U172" s="59">
        <v>120.94</v>
      </c>
      <c r="V172" s="59">
        <v>104.14</v>
      </c>
      <c r="W172" s="58">
        <v>7.84</v>
      </c>
      <c r="X172" s="58">
        <v>7.0</v>
      </c>
      <c r="Y172" s="68">
        <v>111.98</v>
      </c>
      <c r="Z172" s="69">
        <v>0.0</v>
      </c>
      <c r="AA172" s="68">
        <v>0.0</v>
      </c>
      <c r="AB172" s="68">
        <v>0.0</v>
      </c>
      <c r="AC172" s="68">
        <v>0.0</v>
      </c>
      <c r="AD172" s="68">
        <v>0.0</v>
      </c>
      <c r="AE172" s="68">
        <v>0.0</v>
      </c>
      <c r="AF172" s="68">
        <v>0.0</v>
      </c>
      <c r="AG172" s="68">
        <v>0.0</v>
      </c>
      <c r="AH172" s="68">
        <v>0.0</v>
      </c>
      <c r="AI172" s="68">
        <v>0.0</v>
      </c>
      <c r="AJ172" s="68">
        <v>0.0</v>
      </c>
      <c r="AK172" s="68">
        <v>0.0</v>
      </c>
      <c r="AL172" s="68">
        <v>0.0</v>
      </c>
      <c r="AM172" s="68">
        <v>0.0</v>
      </c>
      <c r="AN172" s="68">
        <v>0.0</v>
      </c>
      <c r="AO172" s="68">
        <v>8.96</v>
      </c>
      <c r="AP172" s="68">
        <v>0.0</v>
      </c>
      <c r="AQ172" s="68">
        <v>0.0</v>
      </c>
      <c r="AR172" s="68">
        <v>0.0</v>
      </c>
      <c r="AS172" s="68">
        <v>0.0</v>
      </c>
      <c r="AT172" s="68">
        <v>0.0</v>
      </c>
      <c r="AU172" s="68">
        <v>0.0</v>
      </c>
      <c r="AV172" s="68">
        <v>0.0</v>
      </c>
      <c r="AW172" s="68">
        <v>0.0</v>
      </c>
      <c r="AX172" s="68">
        <v>0.0</v>
      </c>
      <c r="AY172" s="68">
        <v>0.0</v>
      </c>
      <c r="AZ172" s="68">
        <v>0.0</v>
      </c>
      <c r="BA172" s="68">
        <v>0.0</v>
      </c>
      <c r="BB172" s="68">
        <v>8.96</v>
      </c>
      <c r="BC172" s="68" t="s">
        <v>106</v>
      </c>
      <c r="BD172" s="68"/>
      <c r="BG172" s="70">
        <v>-11.2</v>
      </c>
      <c r="BH172" s="68" t="s">
        <v>107</v>
      </c>
      <c r="BI172" s="68" t="s">
        <v>108</v>
      </c>
      <c r="BJ172" s="68" t="s">
        <v>109</v>
      </c>
      <c r="BK172" s="68" t="s">
        <v>363</v>
      </c>
      <c r="BM172" s="68"/>
      <c r="BN172" s="70" t="s">
        <v>111</v>
      </c>
      <c r="BO172" s="68" t="s">
        <v>112</v>
      </c>
      <c r="BP172" s="68" t="s">
        <v>113</v>
      </c>
      <c r="BQ172" s="68" t="s">
        <v>114</v>
      </c>
      <c r="BR172" s="68">
        <v>3.36</v>
      </c>
      <c r="BS172" s="68"/>
      <c r="BW172" s="64" t="str">
        <f>if(OR(F172="SALE",F172="REFUNDED"),IFERROR(Vlookup(I172,'Listing SKU - Fill SKU Mapping'!A:C,3,false),"Map"),"")</f>
        <v>Keystone</v>
      </c>
      <c r="BX172" s="64" t="str">
        <f>IF(OR(F172="SALE",F172="REFUNDED")=TRUE,iferror(Vlookup(I172,'Listing SKU - Fill SKU Mapping'!A:B,2,false),"Map"),"")</f>
        <v>54915BLK</v>
      </c>
      <c r="BY172" s="64">
        <f>IF(OR(F172="SALE",F172="REFUNDED")=TRUE,iferror(Vlookup(I172,'Listing SKU - Fill SKU Mapping'!A:D,4,false),"Map"),"")</f>
        <v>49.71</v>
      </c>
      <c r="BZ172" s="66">
        <f t="shared" si="1"/>
        <v>11.5</v>
      </c>
      <c r="CA172" s="66">
        <f t="shared" si="2"/>
        <v>61.21</v>
      </c>
      <c r="CB172" s="66">
        <f t="shared" si="3"/>
        <v>42.93</v>
      </c>
      <c r="CC172" s="64" t="str">
        <f>if(F172="REFUNDED",iferror(Vlookup(I172,'Listing SKU - Fill SKU Mapping'!A:B,2,false),"Map"),"")</f>
        <v/>
      </c>
      <c r="CD172" s="64" t="str">
        <f>if(F172="REFUNDED",iferror(Vlookup(I172,'Listing SKU - Fill SKU Mapping'!A:C,3,false),"Map"),"")</f>
        <v/>
      </c>
      <c r="CE172" s="64" t="str">
        <f t="shared" si="4"/>
        <v>2025</v>
      </c>
      <c r="CF172" s="64" t="str">
        <f t="shared" si="5"/>
        <v>August</v>
      </c>
      <c r="CG172" s="64" t="str">
        <f t="shared" si="6"/>
        <v/>
      </c>
    </row>
    <row r="173">
      <c r="A173" s="55">
        <v>2.0001E14</v>
      </c>
      <c r="B173" s="56">
        <v>1.0</v>
      </c>
      <c r="C173" s="57">
        <v>1.0902E14</v>
      </c>
      <c r="D173" s="58">
        <v>1.0</v>
      </c>
      <c r="F173" s="59" t="s">
        <v>128</v>
      </c>
      <c r="G173" s="60">
        <v>45875.0</v>
      </c>
      <c r="H173" s="58">
        <v>1.0</v>
      </c>
      <c r="I173" s="58" t="s">
        <v>360</v>
      </c>
      <c r="J173" s="61">
        <v>4.60776272498E11</v>
      </c>
      <c r="K173" s="63"/>
      <c r="L173" s="63"/>
      <c r="M173" s="63"/>
      <c r="N173" s="63"/>
      <c r="O173" s="63"/>
      <c r="P173" s="63"/>
      <c r="Q173" s="63"/>
      <c r="R173" s="63"/>
      <c r="S173" s="63"/>
      <c r="U173" s="59">
        <v>-109.11</v>
      </c>
      <c r="V173" s="59">
        <v>-111.58</v>
      </c>
      <c r="W173" s="58">
        <v>-8.4</v>
      </c>
      <c r="X173" s="58">
        <v>0.0</v>
      </c>
      <c r="Y173" s="68">
        <v>0.0</v>
      </c>
      <c r="Z173" s="69">
        <v>-102.93</v>
      </c>
      <c r="AA173" s="68">
        <v>0.0</v>
      </c>
      <c r="AB173" s="68">
        <v>0.0</v>
      </c>
      <c r="AC173" s="68">
        <v>0.0</v>
      </c>
      <c r="AD173" s="68">
        <v>0.0</v>
      </c>
      <c r="AE173" s="68">
        <v>0.0</v>
      </c>
      <c r="AF173" s="68">
        <v>0.0</v>
      </c>
      <c r="AG173" s="68">
        <v>0.0</v>
      </c>
      <c r="AH173" s="68">
        <v>0.0</v>
      </c>
      <c r="AI173" s="68">
        <v>0.0</v>
      </c>
      <c r="AJ173" s="68">
        <v>0.0</v>
      </c>
      <c r="AK173" s="68">
        <v>0.0</v>
      </c>
      <c r="AL173" s="68">
        <v>0.0</v>
      </c>
      <c r="AM173" s="68">
        <v>0.0</v>
      </c>
      <c r="AN173" s="68">
        <v>0.0</v>
      </c>
      <c r="AO173" s="68">
        <v>0.0</v>
      </c>
      <c r="AP173" s="68">
        <v>0.0</v>
      </c>
      <c r="AQ173" s="68">
        <v>0.0</v>
      </c>
      <c r="AR173" s="68">
        <v>0.0</v>
      </c>
      <c r="AS173" s="68">
        <v>0.0</v>
      </c>
      <c r="AT173" s="68">
        <v>-6.18</v>
      </c>
      <c r="AU173" s="68">
        <v>0.0</v>
      </c>
      <c r="AV173" s="68">
        <v>0.0</v>
      </c>
      <c r="AW173" s="68">
        <v>0.0</v>
      </c>
      <c r="AX173" s="68">
        <v>0.0</v>
      </c>
      <c r="AY173" s="68">
        <v>0.0</v>
      </c>
      <c r="AZ173" s="68">
        <v>0.0</v>
      </c>
      <c r="BA173" s="68">
        <v>0.0</v>
      </c>
      <c r="BB173" s="68">
        <v>-6.18</v>
      </c>
      <c r="BC173" s="68" t="s">
        <v>106</v>
      </c>
      <c r="BD173" s="68" t="s">
        <v>156</v>
      </c>
      <c r="BE173" s="68">
        <v>5010.0</v>
      </c>
      <c r="BF173" s="68">
        <v>119.98</v>
      </c>
      <c r="BG173" s="68"/>
      <c r="BH173" s="70" t="s">
        <v>107</v>
      </c>
      <c r="BI173" s="68" t="s">
        <v>108</v>
      </c>
      <c r="BK173" s="68"/>
      <c r="BL173" s="70">
        <v>1000.0</v>
      </c>
      <c r="BM173" s="68" t="s">
        <v>130</v>
      </c>
      <c r="BN173" s="68" t="s">
        <v>111</v>
      </c>
      <c r="BO173" s="68" t="s">
        <v>112</v>
      </c>
      <c r="BQ173" s="68"/>
      <c r="BT173" s="70">
        <v>17.05</v>
      </c>
      <c r="BU173" s="68"/>
      <c r="BW173" s="64" t="str">
        <f>if(OR(F173="SALE",F173="REFUNDED"),IFERROR(Vlookup(I173,'Listing SKU - Fill SKU Mapping'!A:C,3,false),"Map"),"")</f>
        <v>Keystone</v>
      </c>
      <c r="BX173" s="64" t="str">
        <f>IF(OR(F173="SALE",F173="REFUNDED")=TRUE,iferror(Vlookup(I173,'Listing SKU - Fill SKU Mapping'!A:B,2,false),"Map"),"")</f>
        <v>IMP361BLK</v>
      </c>
      <c r="BY173" s="64">
        <f>IF(OR(F173="SALE",F173="REFUNDED")=TRUE,iferror(Vlookup(I173,'Listing SKU - Fill SKU Mapping'!A:D,4,false),"Map"),"")</f>
        <v>57.2</v>
      </c>
      <c r="BZ173" s="66">
        <f t="shared" si="1"/>
        <v>11.5</v>
      </c>
      <c r="CA173" s="66">
        <f t="shared" si="2"/>
        <v>68.7</v>
      </c>
      <c r="CB173" s="64" t="str">
        <f t="shared" si="3"/>
        <v/>
      </c>
      <c r="CC173" s="64" t="str">
        <f>if(F173="REFUNDED",iferror(Vlookup(I173,'Listing SKU - Fill SKU Mapping'!A:B,2,false),"Map"),"")</f>
        <v>IMP361BLK</v>
      </c>
      <c r="CD173" s="64" t="str">
        <f>if(F173="REFUNDED",iferror(Vlookup(I173,'Listing SKU - Fill SKU Mapping'!A:C,3,false),"Map"),"")</f>
        <v>Keystone</v>
      </c>
      <c r="CE173" s="64" t="str">
        <f t="shared" si="4"/>
        <v>2025</v>
      </c>
      <c r="CF173" s="64" t="str">
        <f t="shared" si="5"/>
        <v>August</v>
      </c>
      <c r="CG173" s="64" t="str">
        <f t="shared" si="6"/>
        <v/>
      </c>
    </row>
    <row r="174">
      <c r="A174" s="55">
        <v>2.0001E14</v>
      </c>
      <c r="B174" s="56">
        <v>1.0</v>
      </c>
      <c r="C174" s="57">
        <v>1.2902E14</v>
      </c>
      <c r="D174" s="58">
        <v>1.0</v>
      </c>
      <c r="F174" s="59" t="s">
        <v>100</v>
      </c>
      <c r="G174" s="60">
        <v>45876.0</v>
      </c>
      <c r="H174" s="58">
        <v>1.0</v>
      </c>
      <c r="I174" s="58" t="s">
        <v>379</v>
      </c>
      <c r="J174" s="61">
        <v>4.6077622914E11</v>
      </c>
      <c r="K174" s="63"/>
      <c r="L174" s="63"/>
      <c r="M174" s="63"/>
      <c r="N174" s="63"/>
      <c r="O174" s="63"/>
      <c r="P174" s="63"/>
      <c r="Q174" s="63"/>
      <c r="R174" s="63"/>
      <c r="S174" s="63"/>
      <c r="T174" s="58" t="s">
        <v>105</v>
      </c>
      <c r="U174" s="59">
        <v>131.74</v>
      </c>
      <c r="V174" s="59">
        <v>113.44</v>
      </c>
      <c r="W174" s="58">
        <v>8.54</v>
      </c>
      <c r="X174" s="58">
        <v>7.0</v>
      </c>
      <c r="Y174" s="68">
        <v>121.98</v>
      </c>
      <c r="Z174" s="69">
        <v>0.0</v>
      </c>
      <c r="AA174" s="68">
        <v>0.0</v>
      </c>
      <c r="AB174" s="68">
        <v>0.0</v>
      </c>
      <c r="AC174" s="68">
        <v>0.0</v>
      </c>
      <c r="AD174" s="68">
        <v>0.0</v>
      </c>
      <c r="AE174" s="68">
        <v>0.0</v>
      </c>
      <c r="AF174" s="68">
        <v>0.0</v>
      </c>
      <c r="AG174" s="68">
        <v>0.0</v>
      </c>
      <c r="AH174" s="68">
        <v>0.0</v>
      </c>
      <c r="AI174" s="68">
        <v>0.0</v>
      </c>
      <c r="AJ174" s="68">
        <v>0.0</v>
      </c>
      <c r="AK174" s="68">
        <v>0.0</v>
      </c>
      <c r="AL174" s="68">
        <v>0.0</v>
      </c>
      <c r="AM174" s="68">
        <v>0.0</v>
      </c>
      <c r="AN174" s="68">
        <v>0.0</v>
      </c>
      <c r="AO174" s="68">
        <v>9.76</v>
      </c>
      <c r="AP174" s="68">
        <v>0.0</v>
      </c>
      <c r="AQ174" s="68">
        <v>0.0</v>
      </c>
      <c r="AR174" s="68">
        <v>0.0</v>
      </c>
      <c r="AS174" s="68">
        <v>0.0</v>
      </c>
      <c r="AT174" s="68">
        <v>0.0</v>
      </c>
      <c r="AU174" s="68">
        <v>0.0</v>
      </c>
      <c r="AV174" s="68">
        <v>0.0</v>
      </c>
      <c r="AW174" s="68">
        <v>0.0</v>
      </c>
      <c r="AX174" s="68">
        <v>0.0</v>
      </c>
      <c r="AY174" s="68">
        <v>0.0</v>
      </c>
      <c r="AZ174" s="68">
        <v>0.0</v>
      </c>
      <c r="BA174" s="68">
        <v>0.0</v>
      </c>
      <c r="BB174" s="68">
        <v>9.76</v>
      </c>
      <c r="BC174" s="68" t="s">
        <v>106</v>
      </c>
      <c r="BD174" s="68"/>
      <c r="BG174" s="70">
        <v>-12.2</v>
      </c>
      <c r="BH174" s="68" t="s">
        <v>107</v>
      </c>
      <c r="BI174" s="68" t="s">
        <v>108</v>
      </c>
      <c r="BJ174" s="68" t="s">
        <v>109</v>
      </c>
      <c r="BK174" s="68" t="s">
        <v>372</v>
      </c>
      <c r="BM174" s="68"/>
      <c r="BN174" s="70" t="s">
        <v>111</v>
      </c>
      <c r="BO174" s="68" t="s">
        <v>112</v>
      </c>
      <c r="BP174" s="68" t="s">
        <v>113</v>
      </c>
      <c r="BQ174" s="68" t="s">
        <v>114</v>
      </c>
      <c r="BR174" s="68">
        <v>3.66</v>
      </c>
      <c r="BS174" s="68"/>
      <c r="BW174" s="64" t="str">
        <f>if(OR(F174="SALE",F174="REFUNDED"),IFERROR(Vlookup(I174,'Listing SKU - Fill SKU Mapping'!A:C,3,false),"Map"),"")</f>
        <v>Keystone</v>
      </c>
      <c r="BX174" s="64" t="str">
        <f>IF(OR(F174="SALE",F174="REFUNDED")=TRUE,iferror(Vlookup(I174,'Listing SKU - Fill SKU Mapping'!A:B,2,false),"Map"),"")</f>
        <v>IMP407X</v>
      </c>
      <c r="BY174" s="64">
        <f>IF(OR(F174="SALE",F174="REFUNDED")=TRUE,iferror(Vlookup(I174,'Listing SKU - Fill SKU Mapping'!A:D,4,false),"Map"),"")</f>
        <v>58.38</v>
      </c>
      <c r="BZ174" s="66">
        <f t="shared" si="1"/>
        <v>11.5</v>
      </c>
      <c r="CA174" s="66">
        <f t="shared" si="2"/>
        <v>69.88</v>
      </c>
      <c r="CB174" s="66">
        <f t="shared" si="3"/>
        <v>43.56</v>
      </c>
      <c r="CC174" s="64" t="str">
        <f>if(F174="REFUNDED",iferror(Vlookup(I174,'Listing SKU - Fill SKU Mapping'!A:B,2,false),"Map"),"")</f>
        <v/>
      </c>
      <c r="CD174" s="64" t="str">
        <f>if(F174="REFUNDED",iferror(Vlookup(I174,'Listing SKU - Fill SKU Mapping'!A:C,3,false),"Map"),"")</f>
        <v/>
      </c>
      <c r="CE174" s="64" t="str">
        <f t="shared" si="4"/>
        <v>2025</v>
      </c>
      <c r="CF174" s="64" t="str">
        <f t="shared" si="5"/>
        <v>August</v>
      </c>
      <c r="CG174" s="64" t="str">
        <f t="shared" si="6"/>
        <v/>
      </c>
    </row>
    <row r="175">
      <c r="A175" s="55">
        <v>2.0001E14</v>
      </c>
      <c r="B175" s="56">
        <v>1.0</v>
      </c>
      <c r="C175" s="57">
        <v>1.2902E14</v>
      </c>
      <c r="D175" s="58">
        <v>1.0</v>
      </c>
      <c r="F175" s="59" t="s">
        <v>100</v>
      </c>
      <c r="G175" s="60">
        <v>45884.0</v>
      </c>
      <c r="H175" s="58">
        <v>1.0</v>
      </c>
      <c r="I175" s="58" t="s">
        <v>342</v>
      </c>
      <c r="J175" s="61">
        <v>4.67129958634E11</v>
      </c>
      <c r="K175" s="63"/>
      <c r="L175" s="63"/>
      <c r="M175" s="63"/>
      <c r="N175" s="63"/>
      <c r="O175" s="63"/>
      <c r="P175" s="63"/>
      <c r="Q175" s="63"/>
      <c r="R175" s="63"/>
      <c r="S175" s="63"/>
      <c r="T175" s="58" t="s">
        <v>105</v>
      </c>
      <c r="U175" s="59">
        <v>90.71</v>
      </c>
      <c r="V175" s="59">
        <v>79.96</v>
      </c>
      <c r="W175" s="58">
        <v>6.02</v>
      </c>
      <c r="X175" s="58">
        <v>7.0</v>
      </c>
      <c r="Y175" s="68">
        <v>85.98</v>
      </c>
      <c r="Z175" s="69">
        <v>0.0</v>
      </c>
      <c r="AA175" s="68">
        <v>0.0</v>
      </c>
      <c r="AB175" s="68">
        <v>0.0</v>
      </c>
      <c r="AC175" s="68">
        <v>0.0</v>
      </c>
      <c r="AD175" s="68">
        <v>0.0</v>
      </c>
      <c r="AE175" s="68">
        <v>0.0</v>
      </c>
      <c r="AF175" s="68">
        <v>0.0</v>
      </c>
      <c r="AG175" s="68">
        <v>0.0</v>
      </c>
      <c r="AH175" s="68">
        <v>0.0</v>
      </c>
      <c r="AI175" s="68">
        <v>0.0</v>
      </c>
      <c r="AJ175" s="68">
        <v>0.0</v>
      </c>
      <c r="AK175" s="68">
        <v>0.0</v>
      </c>
      <c r="AL175" s="68">
        <v>0.0</v>
      </c>
      <c r="AM175" s="68">
        <v>0.0</v>
      </c>
      <c r="AN175" s="68">
        <v>0.0</v>
      </c>
      <c r="AO175" s="68">
        <v>4.73</v>
      </c>
      <c r="AP175" s="68">
        <v>0.0</v>
      </c>
      <c r="AQ175" s="68">
        <v>0.0</v>
      </c>
      <c r="AR175" s="68">
        <v>0.0</v>
      </c>
      <c r="AS175" s="68">
        <v>0.0</v>
      </c>
      <c r="AT175" s="68">
        <v>0.0</v>
      </c>
      <c r="AU175" s="68">
        <v>0.0</v>
      </c>
      <c r="AV175" s="68">
        <v>0.0</v>
      </c>
      <c r="AW175" s="68">
        <v>0.0</v>
      </c>
      <c r="AX175" s="68">
        <v>0.0</v>
      </c>
      <c r="AY175" s="68">
        <v>0.0</v>
      </c>
      <c r="AZ175" s="68">
        <v>0.0</v>
      </c>
      <c r="BA175" s="68">
        <v>0.0</v>
      </c>
      <c r="BB175" s="68">
        <v>4.73</v>
      </c>
      <c r="BC175" s="68" t="s">
        <v>106</v>
      </c>
      <c r="BD175" s="68"/>
      <c r="BG175" s="70">
        <v>-8.6</v>
      </c>
      <c r="BH175" s="68" t="s">
        <v>107</v>
      </c>
      <c r="BI175" s="68" t="s">
        <v>108</v>
      </c>
      <c r="BJ175" s="68" t="s">
        <v>109</v>
      </c>
      <c r="BK175" s="68" t="s">
        <v>372</v>
      </c>
      <c r="BM175" s="68"/>
      <c r="BN175" s="70" t="s">
        <v>106</v>
      </c>
      <c r="BO175" s="68" t="s">
        <v>112</v>
      </c>
      <c r="BP175" s="68" t="s">
        <v>113</v>
      </c>
      <c r="BQ175" s="68" t="s">
        <v>114</v>
      </c>
      <c r="BR175" s="68">
        <v>2.58</v>
      </c>
      <c r="BS175" s="68"/>
      <c r="BW175" s="64" t="str">
        <f>if(OR(F175="SALE",F175="REFUNDED"),IFERROR(Vlookup(I175,'Listing SKU - Fill SKU Mapping'!A:C,3,false),"Map"),"")</f>
        <v>Keystone</v>
      </c>
      <c r="BX175" s="64" t="str">
        <f>IF(OR(F175="SALE",F175="REFUNDED")=TRUE,iferror(Vlookup(I175,'Listing SKU - Fill SKU Mapping'!A:B,2,false),"Map"),"")</f>
        <v>47016S</v>
      </c>
      <c r="BY175" s="64">
        <f>IF(OR(F175="SALE",F175="REFUNDED")=TRUE,iferror(Vlookup(I175,'Listing SKU - Fill SKU Mapping'!A:D,4,false),"Map"),"")</f>
        <v>33.53</v>
      </c>
      <c r="BZ175" s="66">
        <f t="shared" si="1"/>
        <v>11.5</v>
      </c>
      <c r="CA175" s="66">
        <f t="shared" si="2"/>
        <v>45.03</v>
      </c>
      <c r="CB175" s="66">
        <f t="shared" si="3"/>
        <v>34.93</v>
      </c>
      <c r="CC175" s="64" t="str">
        <f>if(F175="REFUNDED",iferror(Vlookup(I175,'Listing SKU - Fill SKU Mapping'!A:B,2,false),"Map"),"")</f>
        <v/>
      </c>
      <c r="CD175" s="64" t="str">
        <f>if(F175="REFUNDED",iferror(Vlookup(I175,'Listing SKU - Fill SKU Mapping'!A:C,3,false),"Map"),"")</f>
        <v/>
      </c>
      <c r="CE175" s="64" t="str">
        <f t="shared" si="4"/>
        <v>2025</v>
      </c>
      <c r="CF175" s="64" t="str">
        <f t="shared" si="5"/>
        <v>August</v>
      </c>
      <c r="CG175" s="64" t="str">
        <f t="shared" si="6"/>
        <v/>
      </c>
    </row>
    <row r="176">
      <c r="A176" s="55">
        <v>2.0001E14</v>
      </c>
      <c r="B176" s="56">
        <v>1.0</v>
      </c>
      <c r="C176" s="57">
        <v>1.2902E14</v>
      </c>
      <c r="D176" s="58">
        <v>1.0</v>
      </c>
      <c r="F176" s="59" t="s">
        <v>128</v>
      </c>
      <c r="G176" s="60">
        <v>45888.0</v>
      </c>
      <c r="H176" s="58">
        <v>1.0</v>
      </c>
      <c r="I176" s="58" t="s">
        <v>342</v>
      </c>
      <c r="J176" s="61">
        <v>4.67129958634E11</v>
      </c>
      <c r="K176" s="63"/>
      <c r="L176" s="63"/>
      <c r="M176" s="63"/>
      <c r="N176" s="63"/>
      <c r="O176" s="63"/>
      <c r="P176" s="63"/>
      <c r="Q176" s="63"/>
      <c r="R176" s="63"/>
      <c r="S176" s="63"/>
      <c r="U176" s="59">
        <v>-90.71</v>
      </c>
      <c r="V176" s="59">
        <v>-79.96</v>
      </c>
      <c r="W176" s="58">
        <v>-6.02</v>
      </c>
      <c r="X176" s="58">
        <v>0.0</v>
      </c>
      <c r="Y176" s="68">
        <v>0.0</v>
      </c>
      <c r="Z176" s="69">
        <v>-85.98</v>
      </c>
      <c r="AA176" s="68">
        <v>0.0</v>
      </c>
      <c r="AB176" s="68">
        <v>0.0</v>
      </c>
      <c r="AC176" s="68">
        <v>0.0</v>
      </c>
      <c r="AD176" s="68">
        <v>0.0</v>
      </c>
      <c r="AE176" s="68">
        <v>0.0</v>
      </c>
      <c r="AF176" s="68">
        <v>0.0</v>
      </c>
      <c r="AG176" s="68">
        <v>0.0</v>
      </c>
      <c r="AH176" s="68">
        <v>0.0</v>
      </c>
      <c r="AI176" s="68">
        <v>0.0</v>
      </c>
      <c r="AJ176" s="68">
        <v>0.0</v>
      </c>
      <c r="AK176" s="68">
        <v>0.0</v>
      </c>
      <c r="AL176" s="68">
        <v>0.0</v>
      </c>
      <c r="AM176" s="68">
        <v>0.0</v>
      </c>
      <c r="AN176" s="68">
        <v>0.0</v>
      </c>
      <c r="AO176" s="68">
        <v>0.0</v>
      </c>
      <c r="AP176" s="68">
        <v>0.0</v>
      </c>
      <c r="AQ176" s="68">
        <v>0.0</v>
      </c>
      <c r="AR176" s="68">
        <v>0.0</v>
      </c>
      <c r="AS176" s="68">
        <v>0.0</v>
      </c>
      <c r="AT176" s="68">
        <v>-4.73</v>
      </c>
      <c r="AU176" s="68">
        <v>0.0</v>
      </c>
      <c r="AV176" s="68">
        <v>0.0</v>
      </c>
      <c r="AW176" s="68">
        <v>0.0</v>
      </c>
      <c r="AX176" s="68">
        <v>0.0</v>
      </c>
      <c r="AY176" s="68">
        <v>0.0</v>
      </c>
      <c r="AZ176" s="68">
        <v>0.0</v>
      </c>
      <c r="BA176" s="68">
        <v>0.0</v>
      </c>
      <c r="BB176" s="68">
        <v>-4.73</v>
      </c>
      <c r="BC176" s="68" t="s">
        <v>106</v>
      </c>
      <c r="BD176" s="68" t="s">
        <v>156</v>
      </c>
      <c r="BE176" s="68">
        <v>5010.0</v>
      </c>
      <c r="BF176" s="68"/>
      <c r="BH176" s="70" t="s">
        <v>107</v>
      </c>
      <c r="BI176" s="68" t="s">
        <v>108</v>
      </c>
      <c r="BK176" s="68"/>
      <c r="BL176" s="70">
        <v>1010.0</v>
      </c>
      <c r="BM176" s="68" t="s">
        <v>204</v>
      </c>
      <c r="BN176" s="68" t="s">
        <v>106</v>
      </c>
      <c r="BO176" s="68" t="s">
        <v>112</v>
      </c>
      <c r="BQ176" s="68"/>
      <c r="BW176" s="64" t="str">
        <f>if(OR(F176="SALE",F176="REFUNDED"),IFERROR(Vlookup(I176,'Listing SKU - Fill SKU Mapping'!A:C,3,false),"Map"),"")</f>
        <v>Keystone</v>
      </c>
      <c r="BX176" s="64" t="str">
        <f>IF(OR(F176="SALE",F176="REFUNDED")=TRUE,iferror(Vlookup(I176,'Listing SKU - Fill SKU Mapping'!A:B,2,false),"Map"),"")</f>
        <v>47016S</v>
      </c>
      <c r="BY176" s="64">
        <f>IF(OR(F176="SALE",F176="REFUNDED")=TRUE,iferror(Vlookup(I176,'Listing SKU - Fill SKU Mapping'!A:D,4,false),"Map"),"")</f>
        <v>33.53</v>
      </c>
      <c r="BZ176" s="66">
        <f t="shared" si="1"/>
        <v>11.5</v>
      </c>
      <c r="CA176" s="66">
        <f t="shared" si="2"/>
        <v>45.03</v>
      </c>
      <c r="CB176" s="64" t="str">
        <f t="shared" si="3"/>
        <v/>
      </c>
      <c r="CC176" s="64" t="str">
        <f>if(F176="REFUNDED",iferror(Vlookup(I176,'Listing SKU - Fill SKU Mapping'!A:B,2,false),"Map"),"")</f>
        <v>47016S</v>
      </c>
      <c r="CD176" s="64" t="str">
        <f>if(F176="REFUNDED",iferror(Vlookup(I176,'Listing SKU - Fill SKU Mapping'!A:C,3,false),"Map"),"")</f>
        <v>Keystone</v>
      </c>
      <c r="CE176" s="64" t="str">
        <f t="shared" si="4"/>
        <v>2025</v>
      </c>
      <c r="CF176" s="64" t="str">
        <f t="shared" si="5"/>
        <v>August</v>
      </c>
      <c r="CG176" s="64" t="str">
        <f t="shared" si="6"/>
        <v/>
      </c>
    </row>
    <row r="177">
      <c r="A177" s="55">
        <v>2.0001E14</v>
      </c>
      <c r="B177" s="56">
        <v>1.0</v>
      </c>
      <c r="C177" s="57">
        <v>1.2902E14</v>
      </c>
      <c r="D177" s="58">
        <v>1.0</v>
      </c>
      <c r="F177" s="59" t="s">
        <v>100</v>
      </c>
      <c r="G177" s="60">
        <v>45884.0</v>
      </c>
      <c r="H177" s="58">
        <v>1.0</v>
      </c>
      <c r="I177" s="58" t="s">
        <v>357</v>
      </c>
      <c r="J177" s="61">
        <v>4.66885096215E11</v>
      </c>
      <c r="K177" s="63"/>
      <c r="L177" s="63"/>
      <c r="M177" s="63"/>
      <c r="N177" s="63"/>
      <c r="O177" s="63"/>
      <c r="P177" s="63"/>
      <c r="Q177" s="63"/>
      <c r="R177" s="63"/>
      <c r="S177" s="63"/>
      <c r="T177" s="58" t="s">
        <v>105</v>
      </c>
      <c r="U177" s="59">
        <v>114.47</v>
      </c>
      <c r="V177" s="59">
        <v>110.65</v>
      </c>
      <c r="W177" s="58">
        <v>8.33</v>
      </c>
      <c r="X177" s="58">
        <v>7.0</v>
      </c>
      <c r="Y177" s="68">
        <v>106.98</v>
      </c>
      <c r="Z177" s="69">
        <v>0.0</v>
      </c>
      <c r="AA177" s="68">
        <v>0.0</v>
      </c>
      <c r="AB177" s="68">
        <v>0.0</v>
      </c>
      <c r="AC177" s="68">
        <v>0.0</v>
      </c>
      <c r="AD177" s="68">
        <v>0.0</v>
      </c>
      <c r="AE177" s="68">
        <v>0.0</v>
      </c>
      <c r="AF177" s="68">
        <v>0.0</v>
      </c>
      <c r="AG177" s="68">
        <v>0.0</v>
      </c>
      <c r="AH177" s="68">
        <v>0.0</v>
      </c>
      <c r="AI177" s="68">
        <v>0.0</v>
      </c>
      <c r="AJ177" s="68">
        <v>0.0</v>
      </c>
      <c r="AK177" s="68">
        <v>0.0</v>
      </c>
      <c r="AL177" s="68">
        <v>0.0</v>
      </c>
      <c r="AM177" s="68">
        <v>0.0</v>
      </c>
      <c r="AN177" s="68">
        <v>0.0</v>
      </c>
      <c r="AO177" s="68">
        <v>7.49</v>
      </c>
      <c r="AP177" s="68">
        <v>0.0</v>
      </c>
      <c r="AQ177" s="68">
        <v>0.0</v>
      </c>
      <c r="AR177" s="68">
        <v>0.0</v>
      </c>
      <c r="AS177" s="68">
        <v>0.0</v>
      </c>
      <c r="AT177" s="68">
        <v>0.0</v>
      </c>
      <c r="AU177" s="68">
        <v>0.0</v>
      </c>
      <c r="AV177" s="68">
        <v>0.0</v>
      </c>
      <c r="AW177" s="68">
        <v>0.0</v>
      </c>
      <c r="AX177" s="68">
        <v>0.0</v>
      </c>
      <c r="AY177" s="68">
        <v>0.0</v>
      </c>
      <c r="AZ177" s="68">
        <v>0.0</v>
      </c>
      <c r="BA177" s="68">
        <v>0.0</v>
      </c>
      <c r="BB177" s="68">
        <v>7.49</v>
      </c>
      <c r="BC177" s="68" t="s">
        <v>106</v>
      </c>
      <c r="BD177" s="68"/>
      <c r="BF177" s="70">
        <v>118.98</v>
      </c>
      <c r="BG177" s="68">
        <v>-11.9</v>
      </c>
      <c r="BH177" s="68" t="s">
        <v>107</v>
      </c>
      <c r="BI177" s="68" t="s">
        <v>108</v>
      </c>
      <c r="BJ177" s="68" t="s">
        <v>109</v>
      </c>
      <c r="BK177" s="68" t="s">
        <v>372</v>
      </c>
      <c r="BM177" s="68"/>
      <c r="BN177" s="70" t="s">
        <v>111</v>
      </c>
      <c r="BO177" s="68" t="s">
        <v>112</v>
      </c>
      <c r="BP177" s="68" t="s">
        <v>113</v>
      </c>
      <c r="BQ177" s="68" t="s">
        <v>317</v>
      </c>
      <c r="BR177" s="68">
        <v>3.57</v>
      </c>
      <c r="BS177" s="68"/>
      <c r="BT177" s="70">
        <v>-12.0</v>
      </c>
      <c r="BU177" s="68" t="s">
        <v>318</v>
      </c>
      <c r="BW177" s="64" t="str">
        <f>if(OR(F177="SALE",F177="REFUNDED"),IFERROR(Vlookup(I177,'Listing SKU - Fill SKU Mapping'!A:C,3,false),"Map"),"")</f>
        <v>Keystone</v>
      </c>
      <c r="BX177" s="64" t="str">
        <f>IF(OR(F177="SALE",F177="REFUNDED")=TRUE,iferror(Vlookup(I177,'Listing SKU - Fill SKU Mapping'!A:B,2,false),"Map"),"")</f>
        <v>55815C</v>
      </c>
      <c r="BY177" s="64">
        <f>IF(OR(F177="SALE",F177="REFUNDED")=TRUE,iferror(Vlookup(I177,'Listing SKU - Fill SKU Mapping'!A:D,4,false),"Map"),"")</f>
        <v>53.65</v>
      </c>
      <c r="BZ177" s="66">
        <f t="shared" si="1"/>
        <v>11.5</v>
      </c>
      <c r="CA177" s="66">
        <f t="shared" si="2"/>
        <v>65.15</v>
      </c>
      <c r="CB177" s="66">
        <f t="shared" si="3"/>
        <v>45.5</v>
      </c>
      <c r="CC177" s="64" t="str">
        <f>if(F177="REFUNDED",iferror(Vlookup(I177,'Listing SKU - Fill SKU Mapping'!A:B,2,false),"Map"),"")</f>
        <v/>
      </c>
      <c r="CD177" s="64" t="str">
        <f>if(F177="REFUNDED",iferror(Vlookup(I177,'Listing SKU - Fill SKU Mapping'!A:C,3,false),"Map"),"")</f>
        <v/>
      </c>
      <c r="CE177" s="64" t="str">
        <f t="shared" si="4"/>
        <v>2025</v>
      </c>
      <c r="CF177" s="64" t="str">
        <f t="shared" si="5"/>
        <v>August</v>
      </c>
      <c r="CG177" s="64" t="str">
        <f t="shared" si="6"/>
        <v/>
      </c>
    </row>
    <row r="178">
      <c r="A178" s="55">
        <v>2.0001E14</v>
      </c>
      <c r="B178" s="56">
        <v>1.0</v>
      </c>
      <c r="C178" s="57">
        <v>1.2902E14</v>
      </c>
      <c r="D178" s="58">
        <v>1.0</v>
      </c>
      <c r="F178" s="59" t="s">
        <v>100</v>
      </c>
      <c r="G178" s="60">
        <v>45889.0</v>
      </c>
      <c r="H178" s="58">
        <v>1.0</v>
      </c>
      <c r="I178" s="58" t="s">
        <v>380</v>
      </c>
      <c r="J178" s="61">
        <v>4.66885054123E11</v>
      </c>
      <c r="K178" s="63"/>
      <c r="L178" s="63"/>
      <c r="M178" s="63"/>
      <c r="N178" s="63"/>
      <c r="O178" s="63"/>
      <c r="P178" s="63"/>
      <c r="Q178" s="63"/>
      <c r="R178" s="63"/>
      <c r="S178" s="63"/>
      <c r="T178" s="58" t="s">
        <v>105</v>
      </c>
      <c r="U178" s="59">
        <v>65.52</v>
      </c>
      <c r="V178" s="59">
        <v>65.08</v>
      </c>
      <c r="W178" s="58">
        <v>4.9</v>
      </c>
      <c r="X178" s="58">
        <v>7.0</v>
      </c>
      <c r="Y178" s="68">
        <v>60.98</v>
      </c>
      <c r="Z178" s="69">
        <v>0.0</v>
      </c>
      <c r="AA178" s="68">
        <v>0.0</v>
      </c>
      <c r="AB178" s="68">
        <v>0.0</v>
      </c>
      <c r="AC178" s="68">
        <v>0.0</v>
      </c>
      <c r="AD178" s="68">
        <v>0.0</v>
      </c>
      <c r="AE178" s="68">
        <v>0.0</v>
      </c>
      <c r="AF178" s="68">
        <v>0.0</v>
      </c>
      <c r="AG178" s="68">
        <v>0.0</v>
      </c>
      <c r="AH178" s="68">
        <v>0.0</v>
      </c>
      <c r="AI178" s="68">
        <v>0.0</v>
      </c>
      <c r="AJ178" s="68">
        <v>0.0</v>
      </c>
      <c r="AK178" s="68">
        <v>0.0</v>
      </c>
      <c r="AL178" s="68">
        <v>0.0</v>
      </c>
      <c r="AM178" s="68">
        <v>0.0</v>
      </c>
      <c r="AN178" s="68">
        <v>0.0</v>
      </c>
      <c r="AO178" s="68">
        <v>4.54</v>
      </c>
      <c r="AP178" s="68">
        <v>0.0</v>
      </c>
      <c r="AQ178" s="68">
        <v>0.0</v>
      </c>
      <c r="AR178" s="68">
        <v>0.0</v>
      </c>
      <c r="AS178" s="68">
        <v>0.0</v>
      </c>
      <c r="AT178" s="68">
        <v>0.0</v>
      </c>
      <c r="AU178" s="68">
        <v>0.0</v>
      </c>
      <c r="AV178" s="68">
        <v>0.0</v>
      </c>
      <c r="AW178" s="68">
        <v>0.0</v>
      </c>
      <c r="AX178" s="68">
        <v>0.0</v>
      </c>
      <c r="AY178" s="68">
        <v>0.0</v>
      </c>
      <c r="AZ178" s="68">
        <v>0.0</v>
      </c>
      <c r="BA178" s="68">
        <v>0.0</v>
      </c>
      <c r="BB178" s="68">
        <v>4.54</v>
      </c>
      <c r="BC178" s="68" t="s">
        <v>106</v>
      </c>
      <c r="BD178" s="68"/>
      <c r="BF178" s="70">
        <v>69.98</v>
      </c>
      <c r="BG178" s="68">
        <v>-7.0</v>
      </c>
      <c r="BH178" s="68" t="s">
        <v>107</v>
      </c>
      <c r="BI178" s="68" t="s">
        <v>108</v>
      </c>
      <c r="BJ178" s="68" t="s">
        <v>109</v>
      </c>
      <c r="BK178" s="68" t="s">
        <v>381</v>
      </c>
      <c r="BM178" s="68"/>
      <c r="BN178" s="70" t="s">
        <v>111</v>
      </c>
      <c r="BO178" s="68" t="s">
        <v>112</v>
      </c>
      <c r="BP178" s="68" t="s">
        <v>113</v>
      </c>
      <c r="BQ178" s="68" t="s">
        <v>317</v>
      </c>
      <c r="BR178" s="68">
        <v>2.1</v>
      </c>
      <c r="BS178" s="68"/>
      <c r="BT178" s="70">
        <v>-9.0</v>
      </c>
      <c r="BU178" s="68" t="s">
        <v>318</v>
      </c>
      <c r="BW178" s="64" t="str">
        <f>if(OR(F178="SALE",F178="REFUNDED"),IFERROR(Vlookup(I178,'Listing SKU - Fill SKU Mapping'!A:C,3,false),"Map"),"")</f>
        <v>Keystone</v>
      </c>
      <c r="BX178" s="64" t="str">
        <f>IF(OR(F178="SALE",F178="REFUNDED")=TRUE,iferror(Vlookup(I178,'Listing SKU - Fill SKU Mapping'!A:B,2,false),"Map"),"")</f>
        <v>52816S</v>
      </c>
      <c r="BY178" s="64">
        <f>IF(OR(F178="SALE",F178="REFUNDED")=TRUE,iferror(Vlookup(I178,'Listing SKU - Fill SKU Mapping'!A:D,4,false),"Map"),"")</f>
        <v>23.27</v>
      </c>
      <c r="BZ178" s="66">
        <f t="shared" si="1"/>
        <v>11.5</v>
      </c>
      <c r="CA178" s="66">
        <f t="shared" si="2"/>
        <v>34.77</v>
      </c>
      <c r="CB178" s="66">
        <f t="shared" si="3"/>
        <v>30.31</v>
      </c>
      <c r="CC178" s="64" t="str">
        <f>if(F178="REFUNDED",iferror(Vlookup(I178,'Listing SKU - Fill SKU Mapping'!A:B,2,false),"Map"),"")</f>
        <v/>
      </c>
      <c r="CD178" s="64" t="str">
        <f>if(F178="REFUNDED",iferror(Vlookup(I178,'Listing SKU - Fill SKU Mapping'!A:C,3,false),"Map"),"")</f>
        <v/>
      </c>
      <c r="CE178" s="64" t="str">
        <f t="shared" si="4"/>
        <v>2025</v>
      </c>
      <c r="CF178" s="64" t="str">
        <f t="shared" si="5"/>
        <v>August</v>
      </c>
      <c r="CG178" s="64" t="str">
        <f t="shared" si="6"/>
        <v/>
      </c>
    </row>
    <row r="179">
      <c r="A179" s="55">
        <v>2.0001E14</v>
      </c>
      <c r="B179" s="56">
        <v>2.0</v>
      </c>
      <c r="C179" s="57">
        <v>1.2902E14</v>
      </c>
      <c r="D179" s="58">
        <v>2.0</v>
      </c>
      <c r="F179" s="59" t="s">
        <v>100</v>
      </c>
      <c r="G179" s="60">
        <v>45891.0</v>
      </c>
      <c r="H179" s="58">
        <v>1.0</v>
      </c>
      <c r="I179" s="58" t="s">
        <v>350</v>
      </c>
      <c r="J179" s="61">
        <v>4.671299282E11</v>
      </c>
      <c r="K179" s="63"/>
      <c r="L179" s="63"/>
      <c r="M179" s="63"/>
      <c r="N179" s="63"/>
      <c r="O179" s="63"/>
      <c r="P179" s="63"/>
      <c r="Q179" s="63"/>
      <c r="R179" s="63"/>
      <c r="S179" s="63"/>
      <c r="T179" s="58" t="s">
        <v>105</v>
      </c>
      <c r="U179" s="59">
        <v>110.87</v>
      </c>
      <c r="V179" s="59">
        <v>96.7</v>
      </c>
      <c r="W179" s="58">
        <v>7.28</v>
      </c>
      <c r="X179" s="58">
        <v>7.0</v>
      </c>
      <c r="Y179" s="68">
        <v>103.98</v>
      </c>
      <c r="Z179" s="69">
        <v>0.0</v>
      </c>
      <c r="AA179" s="68">
        <v>0.0</v>
      </c>
      <c r="AB179" s="68">
        <v>0.0</v>
      </c>
      <c r="AC179" s="68">
        <v>0.0</v>
      </c>
      <c r="AD179" s="68">
        <v>0.0</v>
      </c>
      <c r="AE179" s="68">
        <v>0.0</v>
      </c>
      <c r="AF179" s="68">
        <v>0.0</v>
      </c>
      <c r="AG179" s="68">
        <v>0.0</v>
      </c>
      <c r="AH179" s="68">
        <v>0.0</v>
      </c>
      <c r="AI179" s="68">
        <v>0.0</v>
      </c>
      <c r="AJ179" s="68">
        <v>0.0</v>
      </c>
      <c r="AK179" s="68">
        <v>0.0</v>
      </c>
      <c r="AL179" s="68">
        <v>0.0</v>
      </c>
      <c r="AM179" s="68">
        <v>0.0</v>
      </c>
      <c r="AN179" s="68">
        <v>0.0</v>
      </c>
      <c r="AO179" s="68">
        <v>6.89</v>
      </c>
      <c r="AP179" s="68">
        <v>0.0</v>
      </c>
      <c r="AQ179" s="68">
        <v>0.0</v>
      </c>
      <c r="AR179" s="68">
        <v>0.0</v>
      </c>
      <c r="AS179" s="68">
        <v>0.0</v>
      </c>
      <c r="AT179" s="68">
        <v>0.0</v>
      </c>
      <c r="AU179" s="68">
        <v>0.0</v>
      </c>
      <c r="AV179" s="68">
        <v>0.0</v>
      </c>
      <c r="AW179" s="68">
        <v>0.0</v>
      </c>
      <c r="AX179" s="68">
        <v>0.0</v>
      </c>
      <c r="AY179" s="68">
        <v>0.0</v>
      </c>
      <c r="AZ179" s="68">
        <v>0.0</v>
      </c>
      <c r="BA179" s="68">
        <v>0.0</v>
      </c>
      <c r="BB179" s="68">
        <v>6.89</v>
      </c>
      <c r="BC179" s="68" t="s">
        <v>106</v>
      </c>
      <c r="BD179" s="68"/>
      <c r="BG179" s="70">
        <v>-10.4</v>
      </c>
      <c r="BH179" s="68" t="s">
        <v>107</v>
      </c>
      <c r="BI179" s="68" t="s">
        <v>108</v>
      </c>
      <c r="BJ179" s="68" t="s">
        <v>109</v>
      </c>
      <c r="BK179" s="68" t="s">
        <v>381</v>
      </c>
      <c r="BM179" s="68"/>
      <c r="BN179" s="70" t="s">
        <v>111</v>
      </c>
      <c r="BO179" s="68" t="s">
        <v>112</v>
      </c>
      <c r="BP179" s="68" t="s">
        <v>113</v>
      </c>
      <c r="BQ179" s="68" t="s">
        <v>114</v>
      </c>
      <c r="BR179" s="68">
        <v>3.12</v>
      </c>
      <c r="BS179" s="68"/>
      <c r="BW179" s="64" t="str">
        <f>if(OR(F179="SALE",F179="REFUNDED"),IFERROR(Vlookup(I179,'Listing SKU - Fill SKU Mapping'!A:C,3,false),"Map"),"")</f>
        <v>Keystone</v>
      </c>
      <c r="BX179" s="64" t="str">
        <f>IF(OR(F179="SALE",F179="REFUNDED")=TRUE,iferror(Vlookup(I179,'Listing SKU - Fill SKU Mapping'!A:B,2,false),"Map"),"")</f>
        <v>47117C</v>
      </c>
      <c r="BY179" s="64">
        <f>IF(OR(F179="SALE",F179="REFUNDED")=TRUE,iferror(Vlookup(I179,'Listing SKU - Fill SKU Mapping'!A:D,4,false),"Map"),"")</f>
        <v>44.18</v>
      </c>
      <c r="BZ179" s="66">
        <f t="shared" si="1"/>
        <v>11.5</v>
      </c>
      <c r="CA179" s="66">
        <f t="shared" si="2"/>
        <v>55.68</v>
      </c>
      <c r="CB179" s="66">
        <f t="shared" si="3"/>
        <v>41.02</v>
      </c>
      <c r="CC179" s="64" t="str">
        <f>if(F179="REFUNDED",iferror(Vlookup(I179,'Listing SKU - Fill SKU Mapping'!A:B,2,false),"Map"),"")</f>
        <v/>
      </c>
      <c r="CD179" s="64" t="str">
        <f>if(F179="REFUNDED",iferror(Vlookup(I179,'Listing SKU - Fill SKU Mapping'!A:C,3,false),"Map"),"")</f>
        <v/>
      </c>
      <c r="CE179" s="64" t="str">
        <f t="shared" si="4"/>
        <v>2025</v>
      </c>
      <c r="CF179" s="64" t="str">
        <f t="shared" si="5"/>
        <v>August</v>
      </c>
      <c r="CG179" s="64" t="str">
        <f t="shared" si="6"/>
        <v/>
      </c>
    </row>
    <row r="180">
      <c r="A180" s="55">
        <v>2.0001E14</v>
      </c>
      <c r="B180" s="56">
        <v>1.0</v>
      </c>
      <c r="C180" s="57">
        <v>1.2902E14</v>
      </c>
      <c r="D180" s="58">
        <v>1.0</v>
      </c>
      <c r="F180" s="59" t="s">
        <v>100</v>
      </c>
      <c r="G180" s="60">
        <v>45883.0</v>
      </c>
      <c r="H180" s="58">
        <v>1.0</v>
      </c>
      <c r="I180" s="58" t="s">
        <v>327</v>
      </c>
      <c r="J180" s="61">
        <v>4.67129945405E11</v>
      </c>
      <c r="K180" s="63"/>
      <c r="L180" s="63"/>
      <c r="M180" s="63"/>
      <c r="N180" s="63"/>
      <c r="O180" s="63"/>
      <c r="P180" s="63"/>
      <c r="Q180" s="63"/>
      <c r="R180" s="63"/>
      <c r="S180" s="63"/>
      <c r="T180" s="58" t="s">
        <v>105</v>
      </c>
      <c r="U180" s="59">
        <v>95.15</v>
      </c>
      <c r="V180" s="59">
        <v>92.05</v>
      </c>
      <c r="W180" s="58">
        <v>6.93</v>
      </c>
      <c r="X180" s="58">
        <v>7.0</v>
      </c>
      <c r="Y180" s="68">
        <v>87.9</v>
      </c>
      <c r="Z180" s="69">
        <v>0.0</v>
      </c>
      <c r="AA180" s="68">
        <v>0.0</v>
      </c>
      <c r="AB180" s="68">
        <v>0.0</v>
      </c>
      <c r="AC180" s="68">
        <v>0.0</v>
      </c>
      <c r="AD180" s="68">
        <v>0.0</v>
      </c>
      <c r="AE180" s="68">
        <v>0.0</v>
      </c>
      <c r="AF180" s="68">
        <v>0.0</v>
      </c>
      <c r="AG180" s="68">
        <v>0.0</v>
      </c>
      <c r="AH180" s="68">
        <v>0.0</v>
      </c>
      <c r="AI180" s="68">
        <v>0.0</v>
      </c>
      <c r="AJ180" s="68">
        <v>0.0</v>
      </c>
      <c r="AK180" s="68">
        <v>0.0</v>
      </c>
      <c r="AL180" s="68">
        <v>0.0</v>
      </c>
      <c r="AM180" s="68">
        <v>0.0</v>
      </c>
      <c r="AN180" s="68">
        <v>0.0</v>
      </c>
      <c r="AO180" s="68">
        <v>7.25</v>
      </c>
      <c r="AP180" s="68">
        <v>0.0</v>
      </c>
      <c r="AQ180" s="68">
        <v>0.0</v>
      </c>
      <c r="AR180" s="68">
        <v>0.0</v>
      </c>
      <c r="AS180" s="68">
        <v>0.0</v>
      </c>
      <c r="AT180" s="68">
        <v>0.0</v>
      </c>
      <c r="AU180" s="68">
        <v>0.0</v>
      </c>
      <c r="AV180" s="68">
        <v>0.0</v>
      </c>
      <c r="AW180" s="68">
        <v>0.0</v>
      </c>
      <c r="AX180" s="68">
        <v>0.0</v>
      </c>
      <c r="AY180" s="68">
        <v>0.0</v>
      </c>
      <c r="AZ180" s="68">
        <v>0.0</v>
      </c>
      <c r="BA180" s="68">
        <v>0.0</v>
      </c>
      <c r="BB180" s="68">
        <v>7.25</v>
      </c>
      <c r="BC180" s="68" t="s">
        <v>106</v>
      </c>
      <c r="BD180" s="68"/>
      <c r="BF180" s="70">
        <v>98.98</v>
      </c>
      <c r="BG180" s="68">
        <v>-9.9</v>
      </c>
      <c r="BH180" s="68" t="s">
        <v>107</v>
      </c>
      <c r="BI180" s="68" t="s">
        <v>108</v>
      </c>
      <c r="BJ180" s="68" t="s">
        <v>109</v>
      </c>
      <c r="BK180" s="68" t="s">
        <v>372</v>
      </c>
      <c r="BM180" s="68"/>
      <c r="BN180" s="70" t="s">
        <v>111</v>
      </c>
      <c r="BO180" s="68" t="s">
        <v>112</v>
      </c>
      <c r="BP180" s="68" t="s">
        <v>113</v>
      </c>
      <c r="BQ180" s="68" t="s">
        <v>317</v>
      </c>
      <c r="BR180" s="68">
        <v>2.97</v>
      </c>
      <c r="BS180" s="68"/>
      <c r="BT180" s="70">
        <v>-11.08</v>
      </c>
      <c r="BU180" s="68" t="s">
        <v>318</v>
      </c>
      <c r="BW180" s="64" t="str">
        <f>if(OR(F180="SALE",F180="REFUNDED"),IFERROR(Vlookup(I180,'Listing SKU - Fill SKU Mapping'!A:C,3,false),"Map"),"")</f>
        <v>Keystone</v>
      </c>
      <c r="BX180" s="64" t="str">
        <f>IF(OR(F180="SALE",F180="REFUNDED")=TRUE,iferror(Vlookup(I180,'Listing SKU - Fill SKU Mapping'!A:B,2,false),"Map"),"")</f>
        <v>50516C</v>
      </c>
      <c r="BY180" s="64">
        <f>IF(OR(F180="SALE",F180="REFUNDED")=TRUE,iferror(Vlookup(I180,'Listing SKU - Fill SKU Mapping'!A:D,4,false),"Map"),"")</f>
        <v>41.42</v>
      </c>
      <c r="BZ180" s="66">
        <f t="shared" si="1"/>
        <v>11.5</v>
      </c>
      <c r="CA180" s="66">
        <f t="shared" si="2"/>
        <v>52.92</v>
      </c>
      <c r="CB180" s="66">
        <f t="shared" si="3"/>
        <v>39.13</v>
      </c>
      <c r="CC180" s="64" t="str">
        <f>if(F180="REFUNDED",iferror(Vlookup(I180,'Listing SKU - Fill SKU Mapping'!A:B,2,false),"Map"),"")</f>
        <v/>
      </c>
      <c r="CD180" s="64" t="str">
        <f>if(F180="REFUNDED",iferror(Vlookup(I180,'Listing SKU - Fill SKU Mapping'!A:C,3,false),"Map"),"")</f>
        <v/>
      </c>
      <c r="CE180" s="64" t="str">
        <f t="shared" si="4"/>
        <v>2025</v>
      </c>
      <c r="CF180" s="64" t="str">
        <f t="shared" si="5"/>
        <v>August</v>
      </c>
      <c r="CG180" s="64" t="str">
        <f t="shared" si="6"/>
        <v/>
      </c>
    </row>
    <row r="181">
      <c r="A181" s="55">
        <v>2.0001E14</v>
      </c>
      <c r="B181" s="56">
        <v>3.0</v>
      </c>
      <c r="C181" s="57">
        <v>1.2902E14</v>
      </c>
      <c r="D181" s="58">
        <v>3.0</v>
      </c>
      <c r="F181" s="59" t="s">
        <v>100</v>
      </c>
      <c r="G181" s="60">
        <v>45882.0</v>
      </c>
      <c r="H181" s="58">
        <v>1.0</v>
      </c>
      <c r="I181" s="58" t="s">
        <v>382</v>
      </c>
      <c r="J181" s="61">
        <v>4.67129914852E11</v>
      </c>
      <c r="K181" s="63"/>
      <c r="L181" s="63"/>
      <c r="M181" s="63"/>
      <c r="N181" s="63"/>
      <c r="O181" s="63"/>
      <c r="P181" s="63"/>
      <c r="Q181" s="63"/>
      <c r="R181" s="63"/>
      <c r="S181" s="63"/>
      <c r="T181" s="58" t="s">
        <v>105</v>
      </c>
      <c r="U181" s="59">
        <v>76.9</v>
      </c>
      <c r="V181" s="59">
        <v>81.82</v>
      </c>
      <c r="W181" s="58">
        <v>6.16</v>
      </c>
      <c r="X181" s="58">
        <v>7.0</v>
      </c>
      <c r="Y181" s="68">
        <v>76.9</v>
      </c>
      <c r="Z181" s="69">
        <v>0.0</v>
      </c>
      <c r="AA181" s="68">
        <v>0.0</v>
      </c>
      <c r="AB181" s="68">
        <v>0.0</v>
      </c>
      <c r="AC181" s="68">
        <v>0.0</v>
      </c>
      <c r="AD181" s="68">
        <v>0.0</v>
      </c>
      <c r="AE181" s="68">
        <v>0.0</v>
      </c>
      <c r="AF181" s="68">
        <v>0.0</v>
      </c>
      <c r="AG181" s="68">
        <v>0.0</v>
      </c>
      <c r="AH181" s="68">
        <v>0.0</v>
      </c>
      <c r="AI181" s="68">
        <v>0.0</v>
      </c>
      <c r="AJ181" s="68">
        <v>0.0</v>
      </c>
      <c r="AK181" s="68">
        <v>0.0</v>
      </c>
      <c r="AL181" s="68">
        <v>0.0</v>
      </c>
      <c r="AM181" s="68">
        <v>0.0</v>
      </c>
      <c r="AN181" s="68">
        <v>0.0</v>
      </c>
      <c r="AO181" s="68">
        <v>0.0</v>
      </c>
      <c r="AP181" s="68">
        <v>0.0</v>
      </c>
      <c r="AQ181" s="68">
        <v>0.0</v>
      </c>
      <c r="AR181" s="68">
        <v>0.0</v>
      </c>
      <c r="AS181" s="68">
        <v>0.0</v>
      </c>
      <c r="AT181" s="68">
        <v>0.0</v>
      </c>
      <c r="AU181" s="68">
        <v>0.0</v>
      </c>
      <c r="AV181" s="68">
        <v>0.0</v>
      </c>
      <c r="AW181" s="68">
        <v>0.0</v>
      </c>
      <c r="AX181" s="68">
        <v>0.0</v>
      </c>
      <c r="AY181" s="68">
        <v>0.0</v>
      </c>
      <c r="AZ181" s="68">
        <v>0.0</v>
      </c>
      <c r="BA181" s="68">
        <v>0.0</v>
      </c>
      <c r="BB181" s="68">
        <v>0.0</v>
      </c>
      <c r="BC181" s="68" t="s">
        <v>106</v>
      </c>
      <c r="BD181" s="68"/>
      <c r="BF181" s="70">
        <v>87.98</v>
      </c>
      <c r="BG181" s="68">
        <v>-8.8</v>
      </c>
      <c r="BH181" s="68" t="s">
        <v>107</v>
      </c>
      <c r="BI181" s="68" t="s">
        <v>108</v>
      </c>
      <c r="BJ181" s="68" t="s">
        <v>109</v>
      </c>
      <c r="BK181" s="68" t="s">
        <v>372</v>
      </c>
      <c r="BM181" s="68"/>
      <c r="BN181" s="70" t="s">
        <v>111</v>
      </c>
      <c r="BO181" s="68" t="s">
        <v>112</v>
      </c>
      <c r="BP181" s="68" t="s">
        <v>113</v>
      </c>
      <c r="BQ181" s="68" t="s">
        <v>317</v>
      </c>
      <c r="BR181" s="68">
        <v>2.64</v>
      </c>
      <c r="BS181" s="68"/>
      <c r="BT181" s="70">
        <v>-11.08</v>
      </c>
      <c r="BU181" s="68" t="s">
        <v>318</v>
      </c>
      <c r="BW181" s="64" t="str">
        <f>if(OR(F181="SALE",F181="REFUNDED"),IFERROR(Vlookup(I181,'Listing SKU - Fill SKU Mapping'!A:C,3,false),"Map"),"")</f>
        <v>Keystone</v>
      </c>
      <c r="BX181" s="64" t="str">
        <f>IF(OR(F181="SALE",F181="REFUNDED")=TRUE,iferror(Vlookup(I181,'Listing SKU - Fill SKU Mapping'!A:B,2,false),"Map"),"")</f>
        <v>43116BLK</v>
      </c>
      <c r="BY181" s="64">
        <f>IF(OR(F181="SALE",F181="REFUNDED")=TRUE,iferror(Vlookup(I181,'Listing SKU - Fill SKU Mapping'!A:D,4,false),"Map"),"")</f>
        <v>34.32</v>
      </c>
      <c r="BZ181" s="66">
        <f t="shared" si="1"/>
        <v>11.5</v>
      </c>
      <c r="CA181" s="66">
        <f t="shared" si="2"/>
        <v>45.82</v>
      </c>
      <c r="CB181" s="66">
        <f t="shared" si="3"/>
        <v>36</v>
      </c>
      <c r="CC181" s="64" t="str">
        <f>if(F181="REFUNDED",iferror(Vlookup(I181,'Listing SKU - Fill SKU Mapping'!A:B,2,false),"Map"),"")</f>
        <v/>
      </c>
      <c r="CD181" s="64" t="str">
        <f>if(F181="REFUNDED",iferror(Vlookup(I181,'Listing SKU - Fill SKU Mapping'!A:C,3,false),"Map"),"")</f>
        <v/>
      </c>
      <c r="CE181" s="64" t="str">
        <f t="shared" si="4"/>
        <v>2025</v>
      </c>
      <c r="CF181" s="64" t="str">
        <f t="shared" si="5"/>
        <v>August</v>
      </c>
      <c r="CG181" s="64" t="str">
        <f t="shared" si="6"/>
        <v/>
      </c>
    </row>
    <row r="182">
      <c r="A182" s="55">
        <v>2.0001E14</v>
      </c>
      <c r="B182" s="56">
        <v>1.0</v>
      </c>
      <c r="C182" s="57">
        <v>1.2902E14</v>
      </c>
      <c r="D182" s="58">
        <v>1.0</v>
      </c>
      <c r="F182" s="59" t="s">
        <v>100</v>
      </c>
      <c r="G182" s="60">
        <v>45883.0</v>
      </c>
      <c r="H182" s="58">
        <v>1.0</v>
      </c>
      <c r="I182" s="58" t="s">
        <v>383</v>
      </c>
      <c r="J182" s="61">
        <v>4.6077623764E11</v>
      </c>
      <c r="K182" s="63"/>
      <c r="L182" s="63"/>
      <c r="M182" s="63"/>
      <c r="N182" s="63"/>
      <c r="O182" s="63"/>
      <c r="P182" s="63"/>
      <c r="Q182" s="63"/>
      <c r="R182" s="63"/>
      <c r="S182" s="63"/>
      <c r="T182" s="58" t="s">
        <v>105</v>
      </c>
      <c r="U182" s="59">
        <v>136.89</v>
      </c>
      <c r="V182" s="59">
        <v>133.9</v>
      </c>
      <c r="W182" s="58">
        <v>10.08</v>
      </c>
      <c r="X182" s="58">
        <v>7.0</v>
      </c>
      <c r="Y182" s="68">
        <v>127.93</v>
      </c>
      <c r="Z182" s="69">
        <v>0.0</v>
      </c>
      <c r="AA182" s="68">
        <v>0.0</v>
      </c>
      <c r="AB182" s="68">
        <v>0.0</v>
      </c>
      <c r="AC182" s="68">
        <v>0.0</v>
      </c>
      <c r="AD182" s="68">
        <v>0.0</v>
      </c>
      <c r="AE182" s="68">
        <v>0.0</v>
      </c>
      <c r="AF182" s="68">
        <v>0.0</v>
      </c>
      <c r="AG182" s="68">
        <v>0.0</v>
      </c>
      <c r="AH182" s="68">
        <v>0.0</v>
      </c>
      <c r="AI182" s="68">
        <v>0.0</v>
      </c>
      <c r="AJ182" s="68">
        <v>0.0</v>
      </c>
      <c r="AK182" s="68">
        <v>0.0</v>
      </c>
      <c r="AL182" s="68">
        <v>0.0</v>
      </c>
      <c r="AM182" s="68">
        <v>0.0</v>
      </c>
      <c r="AN182" s="68">
        <v>0.0</v>
      </c>
      <c r="AO182" s="68">
        <v>8.96</v>
      </c>
      <c r="AP182" s="68">
        <v>0.0</v>
      </c>
      <c r="AQ182" s="68">
        <v>0.0</v>
      </c>
      <c r="AR182" s="68">
        <v>0.0</v>
      </c>
      <c r="AS182" s="68">
        <v>0.0</v>
      </c>
      <c r="AT182" s="68">
        <v>0.0</v>
      </c>
      <c r="AU182" s="68">
        <v>0.0</v>
      </c>
      <c r="AV182" s="68">
        <v>0.0</v>
      </c>
      <c r="AW182" s="68">
        <v>0.0</v>
      </c>
      <c r="AX182" s="68">
        <v>0.0</v>
      </c>
      <c r="AY182" s="68">
        <v>0.0</v>
      </c>
      <c r="AZ182" s="68">
        <v>0.0</v>
      </c>
      <c r="BA182" s="68">
        <v>0.0</v>
      </c>
      <c r="BB182" s="68">
        <v>8.96</v>
      </c>
      <c r="BC182" s="68" t="s">
        <v>106</v>
      </c>
      <c r="BD182" s="68"/>
      <c r="BF182" s="70">
        <v>143.98</v>
      </c>
      <c r="BG182" s="68">
        <v>-14.4</v>
      </c>
      <c r="BH182" s="68" t="s">
        <v>107</v>
      </c>
      <c r="BI182" s="68" t="s">
        <v>108</v>
      </c>
      <c r="BJ182" s="68" t="s">
        <v>109</v>
      </c>
      <c r="BK182" s="68" t="s">
        <v>372</v>
      </c>
      <c r="BM182" s="68"/>
      <c r="BN182" s="70" t="s">
        <v>111</v>
      </c>
      <c r="BO182" s="68" t="s">
        <v>112</v>
      </c>
      <c r="BP182" s="68" t="s">
        <v>113</v>
      </c>
      <c r="BQ182" s="68" t="s">
        <v>317</v>
      </c>
      <c r="BR182" s="68">
        <v>4.32</v>
      </c>
      <c r="BS182" s="68"/>
      <c r="BT182" s="70">
        <v>-16.05</v>
      </c>
      <c r="BU182" s="68" t="s">
        <v>318</v>
      </c>
      <c r="BW182" s="64" t="str">
        <f>if(OR(F182="SALE",F182="REFUNDED"),IFERROR(Vlookup(I182,'Listing SKU - Fill SKU Mapping'!A:C,3,false),"Map"),"")</f>
        <v>Keystone</v>
      </c>
      <c r="BX182" s="64" t="str">
        <f>IF(OR(F182="SALE",F182="REFUNDED")=TRUE,iferror(Vlookup(I182,'Listing SKU - Fill SKU Mapping'!A:B,2,false),"Map"),"")</f>
        <v>IMP415BLK</v>
      </c>
      <c r="BY182" s="64">
        <f>IF(OR(F182="SALE",F182="REFUNDED")=TRUE,iferror(Vlookup(I182,'Listing SKU - Fill SKU Mapping'!A:D,4,false),"Map"),"")</f>
        <v>72.59</v>
      </c>
      <c r="BZ182" s="66">
        <f t="shared" si="1"/>
        <v>11.5</v>
      </c>
      <c r="CA182" s="66">
        <f t="shared" si="2"/>
        <v>84.09</v>
      </c>
      <c r="CB182" s="66">
        <f t="shared" si="3"/>
        <v>49.81</v>
      </c>
      <c r="CC182" s="64" t="str">
        <f>if(F182="REFUNDED",iferror(Vlookup(I182,'Listing SKU - Fill SKU Mapping'!A:B,2,false),"Map"),"")</f>
        <v/>
      </c>
      <c r="CD182" s="64" t="str">
        <f>if(F182="REFUNDED",iferror(Vlookup(I182,'Listing SKU - Fill SKU Mapping'!A:C,3,false),"Map"),"")</f>
        <v/>
      </c>
      <c r="CE182" s="64" t="str">
        <f t="shared" si="4"/>
        <v>2025</v>
      </c>
      <c r="CF182" s="64" t="str">
        <f t="shared" si="5"/>
        <v>August</v>
      </c>
      <c r="CG182" s="64" t="str">
        <f t="shared" si="6"/>
        <v/>
      </c>
    </row>
    <row r="183">
      <c r="A183" s="55">
        <v>2.0001E14</v>
      </c>
      <c r="B183" s="56">
        <v>1.0</v>
      </c>
      <c r="C183" s="57">
        <v>1.2902E14</v>
      </c>
      <c r="D183" s="58">
        <v>1.0</v>
      </c>
      <c r="F183" s="59" t="s">
        <v>128</v>
      </c>
      <c r="G183" s="60">
        <v>45886.0</v>
      </c>
      <c r="H183" s="58">
        <v>1.0</v>
      </c>
      <c r="I183" s="58" t="s">
        <v>383</v>
      </c>
      <c r="J183" s="61">
        <v>4.6077623764E11</v>
      </c>
      <c r="K183" s="63"/>
      <c r="L183" s="63"/>
      <c r="M183" s="63"/>
      <c r="N183" s="63"/>
      <c r="O183" s="63"/>
      <c r="P183" s="63"/>
      <c r="Q183" s="63"/>
      <c r="R183" s="63"/>
      <c r="S183" s="63"/>
      <c r="U183" s="59">
        <v>-136.89</v>
      </c>
      <c r="V183" s="59">
        <v>-133.9</v>
      </c>
      <c r="W183" s="58">
        <v>-10.08</v>
      </c>
      <c r="X183" s="58">
        <v>0.0</v>
      </c>
      <c r="Y183" s="68">
        <v>0.0</v>
      </c>
      <c r="Z183" s="69">
        <v>-127.93</v>
      </c>
      <c r="AA183" s="68">
        <v>0.0</v>
      </c>
      <c r="AB183" s="68">
        <v>0.0</v>
      </c>
      <c r="AC183" s="68">
        <v>0.0</v>
      </c>
      <c r="AD183" s="68">
        <v>0.0</v>
      </c>
      <c r="AE183" s="68">
        <v>0.0</v>
      </c>
      <c r="AF183" s="68">
        <v>0.0</v>
      </c>
      <c r="AG183" s="68">
        <v>0.0</v>
      </c>
      <c r="AH183" s="68">
        <v>0.0</v>
      </c>
      <c r="AI183" s="68">
        <v>0.0</v>
      </c>
      <c r="AJ183" s="68">
        <v>0.0</v>
      </c>
      <c r="AK183" s="68">
        <v>0.0</v>
      </c>
      <c r="AL183" s="68">
        <v>0.0</v>
      </c>
      <c r="AM183" s="68">
        <v>0.0</v>
      </c>
      <c r="AN183" s="68">
        <v>0.0</v>
      </c>
      <c r="AO183" s="68">
        <v>0.0</v>
      </c>
      <c r="AP183" s="68">
        <v>0.0</v>
      </c>
      <c r="AQ183" s="68">
        <v>0.0</v>
      </c>
      <c r="AR183" s="68">
        <v>0.0</v>
      </c>
      <c r="AS183" s="68">
        <v>0.0</v>
      </c>
      <c r="AT183" s="68">
        <v>-8.96</v>
      </c>
      <c r="AU183" s="68">
        <v>0.0</v>
      </c>
      <c r="AV183" s="68">
        <v>0.0</v>
      </c>
      <c r="AW183" s="68">
        <v>0.0</v>
      </c>
      <c r="AX183" s="68">
        <v>0.0</v>
      </c>
      <c r="AY183" s="68">
        <v>0.0</v>
      </c>
      <c r="AZ183" s="68">
        <v>0.0</v>
      </c>
      <c r="BA183" s="68">
        <v>0.0</v>
      </c>
      <c r="BB183" s="68">
        <v>-8.96</v>
      </c>
      <c r="BC183" s="68" t="s">
        <v>106</v>
      </c>
      <c r="BD183" s="68" t="s">
        <v>156</v>
      </c>
      <c r="BE183" s="68">
        <v>5010.0</v>
      </c>
      <c r="BF183" s="68">
        <v>143.98</v>
      </c>
      <c r="BG183" s="68"/>
      <c r="BH183" s="70" t="s">
        <v>107</v>
      </c>
      <c r="BI183" s="68" t="s">
        <v>108</v>
      </c>
      <c r="BK183" s="68"/>
      <c r="BL183" s="70">
        <v>1000.0</v>
      </c>
      <c r="BM183" s="68" t="s">
        <v>130</v>
      </c>
      <c r="BN183" s="68" t="s">
        <v>111</v>
      </c>
      <c r="BO183" s="68" t="s">
        <v>112</v>
      </c>
      <c r="BQ183" s="68"/>
      <c r="BT183" s="70">
        <v>16.05</v>
      </c>
      <c r="BU183" s="68"/>
      <c r="BW183" s="64" t="str">
        <f>if(OR(F183="SALE",F183="REFUNDED"),IFERROR(Vlookup(I183,'Listing SKU - Fill SKU Mapping'!A:C,3,false),"Map"),"")</f>
        <v>Keystone</v>
      </c>
      <c r="BX183" s="64" t="str">
        <f>IF(OR(F183="SALE",F183="REFUNDED")=TRUE,iferror(Vlookup(I183,'Listing SKU - Fill SKU Mapping'!A:B,2,false),"Map"),"")</f>
        <v>IMP415BLK</v>
      </c>
      <c r="BY183" s="64">
        <f>IF(OR(F183="SALE",F183="REFUNDED")=TRUE,iferror(Vlookup(I183,'Listing SKU - Fill SKU Mapping'!A:D,4,false),"Map"),"")</f>
        <v>72.59</v>
      </c>
      <c r="BZ183" s="66">
        <f t="shared" si="1"/>
        <v>11.5</v>
      </c>
      <c r="CA183" s="66">
        <f t="shared" si="2"/>
        <v>84.09</v>
      </c>
      <c r="CB183" s="64" t="str">
        <f t="shared" si="3"/>
        <v/>
      </c>
      <c r="CC183" s="64" t="str">
        <f>if(F183="REFUNDED",iferror(Vlookup(I183,'Listing SKU - Fill SKU Mapping'!A:B,2,false),"Map"),"")</f>
        <v>IMP415BLK</v>
      </c>
      <c r="CD183" s="64" t="str">
        <f>if(F183="REFUNDED",iferror(Vlookup(I183,'Listing SKU - Fill SKU Mapping'!A:C,3,false),"Map"),"")</f>
        <v>Keystone</v>
      </c>
      <c r="CE183" s="64" t="str">
        <f t="shared" si="4"/>
        <v>2025</v>
      </c>
      <c r="CF183" s="64" t="str">
        <f t="shared" si="5"/>
        <v>August</v>
      </c>
      <c r="CG183" s="64" t="str">
        <f t="shared" si="6"/>
        <v/>
      </c>
    </row>
    <row r="184">
      <c r="A184" s="55">
        <v>2.0001E14</v>
      </c>
      <c r="B184" s="56">
        <v>2.0</v>
      </c>
      <c r="C184" s="57">
        <v>1.2902E14</v>
      </c>
      <c r="D184" s="58">
        <v>2.0</v>
      </c>
      <c r="F184" s="59" t="s">
        <v>100</v>
      </c>
      <c r="G184" s="60">
        <v>45882.0</v>
      </c>
      <c r="H184" s="58">
        <v>1.0</v>
      </c>
      <c r="I184" s="58" t="s">
        <v>384</v>
      </c>
      <c r="J184" s="61">
        <v>4.67129946433E11</v>
      </c>
      <c r="K184" s="63"/>
      <c r="L184" s="63"/>
      <c r="M184" s="63"/>
      <c r="N184" s="63"/>
      <c r="O184" s="63"/>
      <c r="P184" s="63"/>
      <c r="Q184" s="63"/>
      <c r="R184" s="63"/>
      <c r="S184" s="63"/>
      <c r="T184" s="58" t="s">
        <v>105</v>
      </c>
      <c r="U184" s="59">
        <v>101.23</v>
      </c>
      <c r="V184" s="59">
        <v>96.7</v>
      </c>
      <c r="W184" s="58">
        <v>7.28</v>
      </c>
      <c r="X184" s="58">
        <v>7.0</v>
      </c>
      <c r="Y184" s="68">
        <v>92.98</v>
      </c>
      <c r="Z184" s="69">
        <v>0.0</v>
      </c>
      <c r="AA184" s="68">
        <v>0.0</v>
      </c>
      <c r="AB184" s="68">
        <v>0.0</v>
      </c>
      <c r="AC184" s="68">
        <v>0.0</v>
      </c>
      <c r="AD184" s="68">
        <v>0.0</v>
      </c>
      <c r="AE184" s="68">
        <v>0.0</v>
      </c>
      <c r="AF184" s="68">
        <v>0.0</v>
      </c>
      <c r="AG184" s="68">
        <v>0.0</v>
      </c>
      <c r="AH184" s="68">
        <v>0.0</v>
      </c>
      <c r="AI184" s="68">
        <v>0.0</v>
      </c>
      <c r="AJ184" s="68">
        <v>0.0</v>
      </c>
      <c r="AK184" s="68">
        <v>0.0</v>
      </c>
      <c r="AL184" s="68">
        <v>0.0</v>
      </c>
      <c r="AM184" s="68">
        <v>0.0</v>
      </c>
      <c r="AN184" s="68">
        <v>0.0</v>
      </c>
      <c r="AO184" s="68">
        <v>8.25</v>
      </c>
      <c r="AP184" s="68">
        <v>0.0</v>
      </c>
      <c r="AQ184" s="68">
        <v>0.0</v>
      </c>
      <c r="AR184" s="68">
        <v>0.0</v>
      </c>
      <c r="AS184" s="68">
        <v>0.0</v>
      </c>
      <c r="AT184" s="68">
        <v>0.0</v>
      </c>
      <c r="AU184" s="68">
        <v>0.0</v>
      </c>
      <c r="AV184" s="68">
        <v>0.0</v>
      </c>
      <c r="AW184" s="68">
        <v>0.0</v>
      </c>
      <c r="AX184" s="68">
        <v>0.0</v>
      </c>
      <c r="AY184" s="68">
        <v>0.0</v>
      </c>
      <c r="AZ184" s="68">
        <v>0.0</v>
      </c>
      <c r="BA184" s="68">
        <v>0.0</v>
      </c>
      <c r="BB184" s="68">
        <v>8.25</v>
      </c>
      <c r="BC184" s="68" t="s">
        <v>106</v>
      </c>
      <c r="BD184" s="68"/>
      <c r="BF184" s="70">
        <v>103.98</v>
      </c>
      <c r="BG184" s="68">
        <v>-10.4</v>
      </c>
      <c r="BH184" s="68" t="s">
        <v>107</v>
      </c>
      <c r="BI184" s="68" t="s">
        <v>108</v>
      </c>
      <c r="BJ184" s="68" t="s">
        <v>109</v>
      </c>
      <c r="BK184" s="68" t="s">
        <v>372</v>
      </c>
      <c r="BM184" s="68"/>
      <c r="BN184" s="70" t="s">
        <v>111</v>
      </c>
      <c r="BO184" s="68" t="s">
        <v>112</v>
      </c>
      <c r="BP184" s="68" t="s">
        <v>113</v>
      </c>
      <c r="BQ184" s="68" t="s">
        <v>317</v>
      </c>
      <c r="BR184" s="68">
        <v>3.12</v>
      </c>
      <c r="BS184" s="68"/>
      <c r="BT184" s="70">
        <v>-11.0</v>
      </c>
      <c r="BU184" s="68" t="s">
        <v>318</v>
      </c>
      <c r="BW184" s="64" t="str">
        <f>if(OR(F184="SALE",F184="REFUNDED"),IFERROR(Vlookup(I184,'Listing SKU - Fill SKU Mapping'!A:C,3,false),"Map"),"")</f>
        <v>Keystone</v>
      </c>
      <c r="BX184" s="64" t="str">
        <f>IF(OR(F184="SALE",F184="REFUNDED")=TRUE,iferror(Vlookup(I184,'Listing SKU - Fill SKU Mapping'!A:B,2,false),"Map"),"")</f>
        <v>B9416S</v>
      </c>
      <c r="BY184" s="64">
        <f>IF(OR(F184="SALE",F184="REFUNDED")=TRUE,iferror(Vlookup(I184,'Listing SKU - Fill SKU Mapping'!A:D,4,false),"Map"),"")</f>
        <v>44.18</v>
      </c>
      <c r="BZ184" s="66">
        <f t="shared" si="1"/>
        <v>11.5</v>
      </c>
      <c r="CA184" s="66">
        <f t="shared" si="2"/>
        <v>55.68</v>
      </c>
      <c r="CB184" s="66">
        <f t="shared" si="3"/>
        <v>41.02</v>
      </c>
      <c r="CC184" s="64" t="str">
        <f>if(F184="REFUNDED",iferror(Vlookup(I184,'Listing SKU - Fill SKU Mapping'!A:B,2,false),"Map"),"")</f>
        <v/>
      </c>
      <c r="CD184" s="64" t="str">
        <f>if(F184="REFUNDED",iferror(Vlookup(I184,'Listing SKU - Fill SKU Mapping'!A:C,3,false),"Map"),"")</f>
        <v/>
      </c>
      <c r="CE184" s="64" t="str">
        <f t="shared" si="4"/>
        <v>2025</v>
      </c>
      <c r="CF184" s="64" t="str">
        <f t="shared" si="5"/>
        <v>August</v>
      </c>
      <c r="CG184" s="64" t="str">
        <f t="shared" si="6"/>
        <v/>
      </c>
    </row>
    <row r="185">
      <c r="A185" s="55">
        <v>2.0001E14</v>
      </c>
      <c r="B185" s="56">
        <v>1.0</v>
      </c>
      <c r="C185" s="57">
        <v>1.2902E14</v>
      </c>
      <c r="D185" s="58">
        <v>1.0</v>
      </c>
      <c r="F185" s="59" t="s">
        <v>100</v>
      </c>
      <c r="G185" s="60">
        <v>45884.0</v>
      </c>
      <c r="H185" s="58">
        <v>1.0</v>
      </c>
      <c r="I185" s="58" t="s">
        <v>360</v>
      </c>
      <c r="J185" s="61">
        <v>4.60776272498E11</v>
      </c>
      <c r="K185" s="63"/>
      <c r="L185" s="63"/>
      <c r="M185" s="63"/>
      <c r="N185" s="63"/>
      <c r="O185" s="63"/>
      <c r="P185" s="63"/>
      <c r="Q185" s="63"/>
      <c r="R185" s="63"/>
      <c r="S185" s="63"/>
      <c r="T185" s="58" t="s">
        <v>105</v>
      </c>
      <c r="U185" s="59">
        <v>110.14</v>
      </c>
      <c r="V185" s="59">
        <v>111.58</v>
      </c>
      <c r="W185" s="58">
        <v>8.4</v>
      </c>
      <c r="X185" s="58">
        <v>7.0</v>
      </c>
      <c r="Y185" s="68">
        <v>102.93</v>
      </c>
      <c r="Z185" s="69">
        <v>0.0</v>
      </c>
      <c r="AA185" s="68">
        <v>0.0</v>
      </c>
      <c r="AB185" s="68">
        <v>0.0</v>
      </c>
      <c r="AC185" s="68">
        <v>0.0</v>
      </c>
      <c r="AD185" s="68">
        <v>0.0</v>
      </c>
      <c r="AE185" s="68">
        <v>0.0</v>
      </c>
      <c r="AF185" s="68">
        <v>0.0</v>
      </c>
      <c r="AG185" s="68">
        <v>0.0</v>
      </c>
      <c r="AH185" s="68">
        <v>0.0</v>
      </c>
      <c r="AI185" s="68">
        <v>0.0</v>
      </c>
      <c r="AJ185" s="68">
        <v>0.0</v>
      </c>
      <c r="AK185" s="68">
        <v>0.0</v>
      </c>
      <c r="AL185" s="68">
        <v>0.0</v>
      </c>
      <c r="AM185" s="68">
        <v>0.0</v>
      </c>
      <c r="AN185" s="68">
        <v>0.0</v>
      </c>
      <c r="AO185" s="68">
        <v>7.21</v>
      </c>
      <c r="AP185" s="68">
        <v>0.0</v>
      </c>
      <c r="AQ185" s="68">
        <v>0.0</v>
      </c>
      <c r="AR185" s="68">
        <v>0.0</v>
      </c>
      <c r="AS185" s="68">
        <v>0.0</v>
      </c>
      <c r="AT185" s="68">
        <v>0.0</v>
      </c>
      <c r="AU185" s="68">
        <v>0.0</v>
      </c>
      <c r="AV185" s="68">
        <v>0.0</v>
      </c>
      <c r="AW185" s="68">
        <v>0.0</v>
      </c>
      <c r="AX185" s="68">
        <v>0.0</v>
      </c>
      <c r="AY185" s="68">
        <v>0.0</v>
      </c>
      <c r="AZ185" s="68">
        <v>0.0</v>
      </c>
      <c r="BA185" s="68">
        <v>0.0</v>
      </c>
      <c r="BB185" s="68">
        <v>7.21</v>
      </c>
      <c r="BC185" s="68" t="s">
        <v>106</v>
      </c>
      <c r="BD185" s="68"/>
      <c r="BF185" s="70">
        <v>119.98</v>
      </c>
      <c r="BG185" s="68">
        <v>-12.0</v>
      </c>
      <c r="BH185" s="68" t="s">
        <v>107</v>
      </c>
      <c r="BI185" s="68" t="s">
        <v>108</v>
      </c>
      <c r="BJ185" s="68" t="s">
        <v>109</v>
      </c>
      <c r="BK185" s="68" t="s">
        <v>372</v>
      </c>
      <c r="BM185" s="68"/>
      <c r="BN185" s="70" t="s">
        <v>111</v>
      </c>
      <c r="BO185" s="68" t="s">
        <v>112</v>
      </c>
      <c r="BP185" s="68" t="s">
        <v>113</v>
      </c>
      <c r="BQ185" s="68" t="s">
        <v>317</v>
      </c>
      <c r="BR185" s="68">
        <v>3.6</v>
      </c>
      <c r="BS185" s="68"/>
      <c r="BT185" s="70">
        <v>-17.05</v>
      </c>
      <c r="BU185" s="68" t="s">
        <v>318</v>
      </c>
      <c r="BW185" s="64" t="str">
        <f>if(OR(F185="SALE",F185="REFUNDED"),IFERROR(Vlookup(I185,'Listing SKU - Fill SKU Mapping'!A:C,3,false),"Map"),"")</f>
        <v>Keystone</v>
      </c>
      <c r="BX185" s="64" t="str">
        <f>IF(OR(F185="SALE",F185="REFUNDED")=TRUE,iferror(Vlookup(I185,'Listing SKU - Fill SKU Mapping'!A:B,2,false),"Map"),"")</f>
        <v>IMP361BLK</v>
      </c>
      <c r="BY185" s="64">
        <f>IF(OR(F185="SALE",F185="REFUNDED")=TRUE,iferror(Vlookup(I185,'Listing SKU - Fill SKU Mapping'!A:D,4,false),"Map"),"")</f>
        <v>57.2</v>
      </c>
      <c r="BZ185" s="66">
        <f t="shared" si="1"/>
        <v>11.5</v>
      </c>
      <c r="CA185" s="66">
        <f t="shared" si="2"/>
        <v>68.7</v>
      </c>
      <c r="CB185" s="66">
        <f t="shared" si="3"/>
        <v>42.88</v>
      </c>
      <c r="CC185" s="64" t="str">
        <f>if(F185="REFUNDED",iferror(Vlookup(I185,'Listing SKU - Fill SKU Mapping'!A:B,2,false),"Map"),"")</f>
        <v/>
      </c>
      <c r="CD185" s="64" t="str">
        <f>if(F185="REFUNDED",iferror(Vlookup(I185,'Listing SKU - Fill SKU Mapping'!A:C,3,false),"Map"),"")</f>
        <v/>
      </c>
      <c r="CE185" s="64" t="str">
        <f t="shared" si="4"/>
        <v>2025</v>
      </c>
      <c r="CF185" s="64" t="str">
        <f t="shared" si="5"/>
        <v>August</v>
      </c>
      <c r="CG185" s="64" t="str">
        <f t="shared" si="6"/>
        <v/>
      </c>
    </row>
    <row r="186">
      <c r="A186" s="55">
        <v>2.0001E14</v>
      </c>
      <c r="B186" s="56">
        <v>1.0</v>
      </c>
      <c r="C186" s="57">
        <v>1.2902E14</v>
      </c>
      <c r="D186" s="58">
        <v>1.0</v>
      </c>
      <c r="F186" s="59" t="s">
        <v>100</v>
      </c>
      <c r="G186" s="60">
        <v>45891.0</v>
      </c>
      <c r="H186" s="58">
        <v>1.0</v>
      </c>
      <c r="I186" s="58" t="s">
        <v>385</v>
      </c>
      <c r="J186" s="61">
        <v>4.64567104616E11</v>
      </c>
      <c r="K186" s="63"/>
      <c r="L186" s="63"/>
      <c r="M186" s="63"/>
      <c r="N186" s="63"/>
      <c r="O186" s="63"/>
      <c r="P186" s="63"/>
      <c r="Q186" s="63"/>
      <c r="R186" s="63"/>
      <c r="S186" s="63"/>
      <c r="T186" s="58" t="s">
        <v>105</v>
      </c>
      <c r="U186" s="59">
        <v>109.26</v>
      </c>
      <c r="V186" s="59">
        <v>101.35</v>
      </c>
      <c r="W186" s="58">
        <v>7.63</v>
      </c>
      <c r="X186" s="58">
        <v>7.0</v>
      </c>
      <c r="Y186" s="68">
        <v>100.93</v>
      </c>
      <c r="Z186" s="69">
        <v>0.0</v>
      </c>
      <c r="AA186" s="68">
        <v>0.0</v>
      </c>
      <c r="AB186" s="68">
        <v>0.0</v>
      </c>
      <c r="AC186" s="68">
        <v>0.0</v>
      </c>
      <c r="AD186" s="68">
        <v>0.0</v>
      </c>
      <c r="AE186" s="68">
        <v>0.0</v>
      </c>
      <c r="AF186" s="68">
        <v>0.0</v>
      </c>
      <c r="AG186" s="68">
        <v>0.0</v>
      </c>
      <c r="AH186" s="68">
        <v>0.0</v>
      </c>
      <c r="AI186" s="68">
        <v>0.0</v>
      </c>
      <c r="AJ186" s="68">
        <v>0.0</v>
      </c>
      <c r="AK186" s="68">
        <v>0.0</v>
      </c>
      <c r="AL186" s="68">
        <v>0.0</v>
      </c>
      <c r="AM186" s="68">
        <v>0.0</v>
      </c>
      <c r="AN186" s="68">
        <v>0.0</v>
      </c>
      <c r="AO186" s="68">
        <v>8.33</v>
      </c>
      <c r="AP186" s="68">
        <v>0.0</v>
      </c>
      <c r="AQ186" s="68">
        <v>0.0</v>
      </c>
      <c r="AR186" s="68">
        <v>0.0</v>
      </c>
      <c r="AS186" s="68">
        <v>0.0</v>
      </c>
      <c r="AT186" s="68">
        <v>0.0</v>
      </c>
      <c r="AU186" s="68">
        <v>0.0</v>
      </c>
      <c r="AV186" s="68">
        <v>0.0</v>
      </c>
      <c r="AW186" s="68">
        <v>0.0</v>
      </c>
      <c r="AX186" s="68">
        <v>0.0</v>
      </c>
      <c r="AY186" s="68">
        <v>0.0</v>
      </c>
      <c r="AZ186" s="68">
        <v>0.0</v>
      </c>
      <c r="BA186" s="68">
        <v>0.0</v>
      </c>
      <c r="BB186" s="68">
        <v>8.33</v>
      </c>
      <c r="BC186" s="68" t="s">
        <v>106</v>
      </c>
      <c r="BD186" s="68"/>
      <c r="BF186" s="70">
        <v>108.98</v>
      </c>
      <c r="BG186" s="68">
        <v>-10.9</v>
      </c>
      <c r="BH186" s="68" t="s">
        <v>107</v>
      </c>
      <c r="BI186" s="68" t="s">
        <v>108</v>
      </c>
      <c r="BJ186" s="68" t="s">
        <v>109</v>
      </c>
      <c r="BK186" s="68" t="s">
        <v>381</v>
      </c>
      <c r="BM186" s="68"/>
      <c r="BN186" s="70" t="s">
        <v>111</v>
      </c>
      <c r="BO186" s="68" t="s">
        <v>112</v>
      </c>
      <c r="BP186" s="68" t="s">
        <v>113</v>
      </c>
      <c r="BQ186" s="68" t="s">
        <v>317</v>
      </c>
      <c r="BR186" s="68">
        <v>3.27</v>
      </c>
      <c r="BS186" s="68"/>
      <c r="BT186" s="70">
        <v>-8.05</v>
      </c>
      <c r="BU186" s="68" t="s">
        <v>318</v>
      </c>
      <c r="BW186" s="64" t="str">
        <f>if(OR(F186="SALE",F186="REFUNDED"),IFERROR(Vlookup(I186,'Listing SKU - Fill SKU Mapping'!A:C,3,false),"Map"),"")</f>
        <v>Keystone</v>
      </c>
      <c r="BX186" s="64" t="str">
        <f>IF(OR(F186="SALE",F186="REFUNDED")=TRUE,iferror(Vlookup(I186,'Listing SKU - Fill SKU Mapping'!A:B,2,false),"Map"),"")</f>
        <v>IMP89X</v>
      </c>
      <c r="BY186" s="64">
        <f>IF(OR(F186="SALE",F186="REFUNDED")=TRUE,iferror(Vlookup(I186,'Listing SKU - Fill SKU Mapping'!A:D,4,false),"Map"),"")</f>
        <v>54.44</v>
      </c>
      <c r="BZ186" s="66">
        <f t="shared" si="1"/>
        <v>11.5</v>
      </c>
      <c r="CA186" s="66">
        <f t="shared" si="2"/>
        <v>65.94</v>
      </c>
      <c r="CB186" s="66">
        <f t="shared" si="3"/>
        <v>35.41</v>
      </c>
      <c r="CC186" s="64" t="str">
        <f>if(F186="REFUNDED",iferror(Vlookup(I186,'Listing SKU - Fill SKU Mapping'!A:B,2,false),"Map"),"")</f>
        <v/>
      </c>
      <c r="CD186" s="64" t="str">
        <f>if(F186="REFUNDED",iferror(Vlookup(I186,'Listing SKU - Fill SKU Mapping'!A:C,3,false),"Map"),"")</f>
        <v/>
      </c>
      <c r="CE186" s="64" t="str">
        <f t="shared" si="4"/>
        <v>2025</v>
      </c>
      <c r="CF186" s="64" t="str">
        <f t="shared" si="5"/>
        <v>August</v>
      </c>
      <c r="CG186" s="64" t="str">
        <f t="shared" si="6"/>
        <v/>
      </c>
    </row>
    <row r="187">
      <c r="A187" s="55">
        <v>2.0001E14</v>
      </c>
      <c r="B187" s="56">
        <v>1.0</v>
      </c>
      <c r="C187" s="57">
        <v>1.2902E14</v>
      </c>
      <c r="D187" s="58">
        <v>1.0</v>
      </c>
      <c r="F187" s="59" t="s">
        <v>100</v>
      </c>
      <c r="G187" s="60">
        <v>45891.0</v>
      </c>
      <c r="H187" s="58">
        <v>1.0</v>
      </c>
      <c r="I187" s="58" t="s">
        <v>324</v>
      </c>
      <c r="J187" s="61">
        <v>4.67620062434E11</v>
      </c>
      <c r="K187" s="63"/>
      <c r="L187" s="63"/>
      <c r="M187" s="63"/>
      <c r="N187" s="63"/>
      <c r="O187" s="63"/>
      <c r="P187" s="63"/>
      <c r="Q187" s="63"/>
      <c r="R187" s="63"/>
      <c r="S187" s="63"/>
      <c r="T187" s="58" t="s">
        <v>105</v>
      </c>
      <c r="U187" s="59">
        <v>40.74</v>
      </c>
      <c r="V187" s="59">
        <v>35.33</v>
      </c>
      <c r="W187" s="58">
        <v>2.66</v>
      </c>
      <c r="X187" s="58">
        <v>7.0</v>
      </c>
      <c r="Y187" s="68">
        <v>37.99</v>
      </c>
      <c r="Z187" s="69">
        <v>0.0</v>
      </c>
      <c r="AA187" s="68">
        <v>0.0</v>
      </c>
      <c r="AB187" s="68">
        <v>0.0</v>
      </c>
      <c r="AC187" s="68">
        <v>0.0</v>
      </c>
      <c r="AD187" s="68">
        <v>0.0</v>
      </c>
      <c r="AE187" s="68">
        <v>0.0</v>
      </c>
      <c r="AF187" s="68">
        <v>0.0</v>
      </c>
      <c r="AG187" s="68">
        <v>0.0</v>
      </c>
      <c r="AH187" s="68">
        <v>0.0</v>
      </c>
      <c r="AI187" s="68">
        <v>0.0</v>
      </c>
      <c r="AJ187" s="68">
        <v>0.0</v>
      </c>
      <c r="AK187" s="68">
        <v>0.0</v>
      </c>
      <c r="AL187" s="68">
        <v>0.0</v>
      </c>
      <c r="AM187" s="68">
        <v>0.0</v>
      </c>
      <c r="AN187" s="68">
        <v>0.0</v>
      </c>
      <c r="AO187" s="68">
        <v>2.75</v>
      </c>
      <c r="AP187" s="68">
        <v>0.0</v>
      </c>
      <c r="AQ187" s="68">
        <v>0.0</v>
      </c>
      <c r="AR187" s="68">
        <v>0.0</v>
      </c>
      <c r="AS187" s="68">
        <v>0.0</v>
      </c>
      <c r="AT187" s="68">
        <v>0.0</v>
      </c>
      <c r="AU187" s="68">
        <v>0.0</v>
      </c>
      <c r="AV187" s="68">
        <v>0.0</v>
      </c>
      <c r="AW187" s="68">
        <v>0.0</v>
      </c>
      <c r="AX187" s="68">
        <v>0.0</v>
      </c>
      <c r="AY187" s="68">
        <v>0.0</v>
      </c>
      <c r="AZ187" s="68">
        <v>0.0</v>
      </c>
      <c r="BA187" s="68">
        <v>0.0</v>
      </c>
      <c r="BB187" s="68">
        <v>2.75</v>
      </c>
      <c r="BC187" s="68" t="s">
        <v>106</v>
      </c>
      <c r="BD187" s="68"/>
      <c r="BG187" s="70">
        <v>-3.8</v>
      </c>
      <c r="BH187" s="68" t="s">
        <v>107</v>
      </c>
      <c r="BI187" s="68" t="s">
        <v>108</v>
      </c>
      <c r="BJ187" s="68" t="s">
        <v>325</v>
      </c>
      <c r="BK187" s="68" t="s">
        <v>381</v>
      </c>
      <c r="BM187" s="68"/>
      <c r="BN187" s="70" t="s">
        <v>111</v>
      </c>
      <c r="BO187" s="68" t="s">
        <v>112</v>
      </c>
      <c r="BP187" s="68" t="s">
        <v>113</v>
      </c>
      <c r="BQ187" s="68" t="s">
        <v>114</v>
      </c>
      <c r="BR187" s="68">
        <v>1.14</v>
      </c>
      <c r="BS187" s="68"/>
      <c r="BW187" s="64" t="str">
        <f>if(OR(F187="SALE",F187="REFUNDED"),IFERROR(Vlookup(I187,'Listing SKU - Fill SKU Mapping'!A:C,3,false),"Map"),"")</f>
        <v>Keystone</v>
      </c>
      <c r="BX187" s="64" t="str">
        <f>IF(OR(F187="SALE",F187="REFUNDED")=TRUE,iferror(Vlookup(I187,'Listing SKU - Fill SKU Mapping'!A:B,2,false),"Map"),"")</f>
        <v>1515TP</v>
      </c>
      <c r="BY187" s="64">
        <f>IF(OR(F187="SALE",F187="REFUNDED")=TRUE,iferror(Vlookup(I187,'Listing SKU - Fill SKU Mapping'!A:D,4,false),"Map"),"")</f>
        <v>14.99</v>
      </c>
      <c r="BZ187" s="66">
        <f t="shared" si="1"/>
        <v>11.5</v>
      </c>
      <c r="CA187" s="66">
        <f t="shared" si="2"/>
        <v>26.49</v>
      </c>
      <c r="CB187" s="66">
        <f t="shared" si="3"/>
        <v>8.84</v>
      </c>
      <c r="CC187" s="64" t="str">
        <f>if(F187="REFUNDED",iferror(Vlookup(I187,'Listing SKU - Fill SKU Mapping'!A:B,2,false),"Map"),"")</f>
        <v/>
      </c>
      <c r="CD187" s="64" t="str">
        <f>if(F187="REFUNDED",iferror(Vlookup(I187,'Listing SKU - Fill SKU Mapping'!A:C,3,false),"Map"),"")</f>
        <v/>
      </c>
      <c r="CE187" s="64" t="str">
        <f t="shared" si="4"/>
        <v>2025</v>
      </c>
      <c r="CF187" s="64" t="str">
        <f t="shared" si="5"/>
        <v>August</v>
      </c>
      <c r="CG187" s="64" t="str">
        <f t="shared" si="6"/>
        <v/>
      </c>
    </row>
    <row r="188">
      <c r="A188" s="55">
        <v>2.0001E14</v>
      </c>
      <c r="B188" s="56">
        <v>1.0</v>
      </c>
      <c r="C188" s="57">
        <v>1.2902E14</v>
      </c>
      <c r="D188" s="58">
        <v>1.0</v>
      </c>
      <c r="F188" s="59" t="s">
        <v>100</v>
      </c>
      <c r="G188" s="60">
        <v>45891.0</v>
      </c>
      <c r="H188" s="58">
        <v>2.0</v>
      </c>
      <c r="I188" s="58" t="s">
        <v>386</v>
      </c>
      <c r="J188" s="61">
        <v>4.67620062427E11</v>
      </c>
      <c r="K188" s="63"/>
      <c r="L188" s="63"/>
      <c r="M188" s="63"/>
      <c r="N188" s="63"/>
      <c r="O188" s="63"/>
      <c r="P188" s="63"/>
      <c r="Q188" s="63"/>
      <c r="R188" s="63"/>
      <c r="S188" s="63"/>
      <c r="T188" s="58" t="s">
        <v>105</v>
      </c>
      <c r="U188" s="59">
        <v>133.59</v>
      </c>
      <c r="V188" s="59">
        <v>115.3</v>
      </c>
      <c r="W188" s="58">
        <v>8.68</v>
      </c>
      <c r="X188" s="58">
        <v>7.0</v>
      </c>
      <c r="Y188" s="68">
        <v>123.98</v>
      </c>
      <c r="Z188" s="69">
        <v>0.0</v>
      </c>
      <c r="AA188" s="68">
        <v>0.0</v>
      </c>
      <c r="AB188" s="68">
        <v>0.0</v>
      </c>
      <c r="AC188" s="68">
        <v>0.0</v>
      </c>
      <c r="AD188" s="68">
        <v>0.0</v>
      </c>
      <c r="AE188" s="68">
        <v>0.0</v>
      </c>
      <c r="AF188" s="68">
        <v>0.0</v>
      </c>
      <c r="AG188" s="68">
        <v>0.0</v>
      </c>
      <c r="AH188" s="68">
        <v>0.0</v>
      </c>
      <c r="AI188" s="68">
        <v>0.0</v>
      </c>
      <c r="AJ188" s="68">
        <v>0.0</v>
      </c>
      <c r="AK188" s="68">
        <v>0.0</v>
      </c>
      <c r="AL188" s="68">
        <v>0.0</v>
      </c>
      <c r="AM188" s="68">
        <v>0.0</v>
      </c>
      <c r="AN188" s="68">
        <v>0.0</v>
      </c>
      <c r="AO188" s="68">
        <v>9.61</v>
      </c>
      <c r="AP188" s="68">
        <v>0.0</v>
      </c>
      <c r="AQ188" s="68">
        <v>0.0</v>
      </c>
      <c r="AR188" s="68">
        <v>0.0</v>
      </c>
      <c r="AS188" s="68">
        <v>0.0</v>
      </c>
      <c r="AT188" s="68">
        <v>0.0</v>
      </c>
      <c r="AU188" s="68">
        <v>0.0</v>
      </c>
      <c r="AV188" s="68">
        <v>0.0</v>
      </c>
      <c r="AW188" s="68">
        <v>0.0</v>
      </c>
      <c r="AX188" s="68">
        <v>0.0</v>
      </c>
      <c r="AY188" s="68">
        <v>0.0</v>
      </c>
      <c r="AZ188" s="68">
        <v>0.0</v>
      </c>
      <c r="BA188" s="68">
        <v>0.0</v>
      </c>
      <c r="BB188" s="68">
        <v>9.61</v>
      </c>
      <c r="BC188" s="68" t="s">
        <v>106</v>
      </c>
      <c r="BD188" s="68"/>
      <c r="BG188" s="70">
        <v>-12.4</v>
      </c>
      <c r="BH188" s="68" t="s">
        <v>107</v>
      </c>
      <c r="BI188" s="68" t="s">
        <v>108</v>
      </c>
      <c r="BJ188" s="68" t="s">
        <v>325</v>
      </c>
      <c r="BK188" s="68" t="s">
        <v>381</v>
      </c>
      <c r="BM188" s="68"/>
      <c r="BN188" s="70" t="s">
        <v>111</v>
      </c>
      <c r="BO188" s="68" t="s">
        <v>112</v>
      </c>
      <c r="BP188" s="68" t="s">
        <v>113</v>
      </c>
      <c r="BQ188" s="68" t="s">
        <v>114</v>
      </c>
      <c r="BR188" s="68">
        <v>3.72</v>
      </c>
      <c r="BS188" s="68"/>
      <c r="BW188" s="64" t="str">
        <f>if(OR(F188="SALE",F188="REFUNDED"),IFERROR(Vlookup(I188,'Listing SKU - Fill SKU Mapping'!A:C,3,false),"Map"),"")</f>
        <v>Keystone</v>
      </c>
      <c r="BX188" s="64" t="str">
        <f>IF(OR(F188="SALE",F188="REFUNDED")=TRUE,iferror(Vlookup(I188,'Listing SKU - Fill SKU Mapping'!A:B,2,false),"Map"),"")</f>
        <v>1515P</v>
      </c>
      <c r="BY188" s="64">
        <f>IF(OR(F188="SALE",F188="REFUNDED")=TRUE,iferror(Vlookup(I188,'Listing SKU - Fill SKU Mapping'!A:D,4,false),"Map"),"")</f>
        <v>24.46</v>
      </c>
      <c r="BZ188" s="66">
        <f t="shared" si="1"/>
        <v>11.5</v>
      </c>
      <c r="CA188" s="66">
        <f t="shared" si="2"/>
        <v>35.96</v>
      </c>
      <c r="CB188" s="66">
        <f t="shared" si="3"/>
        <v>79.34</v>
      </c>
      <c r="CC188" s="64" t="str">
        <f>if(F188="REFUNDED",iferror(Vlookup(I188,'Listing SKU - Fill SKU Mapping'!A:B,2,false),"Map"),"")</f>
        <v/>
      </c>
      <c r="CD188" s="64" t="str">
        <f>if(F188="REFUNDED",iferror(Vlookup(I188,'Listing SKU - Fill SKU Mapping'!A:C,3,false),"Map"),"")</f>
        <v/>
      </c>
      <c r="CE188" s="64" t="str">
        <f t="shared" si="4"/>
        <v>2025</v>
      </c>
      <c r="CF188" s="64" t="str">
        <f t="shared" si="5"/>
        <v>August</v>
      </c>
      <c r="CG188" s="64" t="str">
        <f t="shared" si="6"/>
        <v/>
      </c>
    </row>
    <row r="189">
      <c r="A189" s="55">
        <v>2.0001E14</v>
      </c>
      <c r="B189" s="56">
        <v>2.0</v>
      </c>
      <c r="C189" s="57">
        <v>1.2902E14</v>
      </c>
      <c r="D189" s="58">
        <v>2.0</v>
      </c>
      <c r="F189" s="59" t="s">
        <v>100</v>
      </c>
      <c r="G189" s="60">
        <v>45887.0</v>
      </c>
      <c r="H189" s="58">
        <v>1.0</v>
      </c>
      <c r="I189" s="58" t="s">
        <v>347</v>
      </c>
      <c r="J189" s="61">
        <v>4.67129950577E11</v>
      </c>
      <c r="K189" s="63"/>
      <c r="L189" s="63"/>
      <c r="M189" s="63"/>
      <c r="N189" s="63"/>
      <c r="O189" s="63"/>
      <c r="P189" s="63"/>
      <c r="Q189" s="63"/>
      <c r="R189" s="63"/>
      <c r="S189" s="63"/>
      <c r="T189" s="58" t="s">
        <v>105</v>
      </c>
      <c r="U189" s="59">
        <v>83.71</v>
      </c>
      <c r="V189" s="59">
        <v>73.45</v>
      </c>
      <c r="W189" s="58">
        <v>5.53</v>
      </c>
      <c r="X189" s="58">
        <v>7.0</v>
      </c>
      <c r="Y189" s="68">
        <v>78.98</v>
      </c>
      <c r="Z189" s="69">
        <v>0.0</v>
      </c>
      <c r="AA189" s="68">
        <v>0.0</v>
      </c>
      <c r="AB189" s="68">
        <v>0.0</v>
      </c>
      <c r="AC189" s="68">
        <v>0.0</v>
      </c>
      <c r="AD189" s="68">
        <v>0.0</v>
      </c>
      <c r="AE189" s="68">
        <v>0.0</v>
      </c>
      <c r="AF189" s="68">
        <v>0.0</v>
      </c>
      <c r="AG189" s="68">
        <v>0.0</v>
      </c>
      <c r="AH189" s="68">
        <v>0.0</v>
      </c>
      <c r="AI189" s="68">
        <v>0.0</v>
      </c>
      <c r="AJ189" s="68">
        <v>0.0</v>
      </c>
      <c r="AK189" s="68">
        <v>0.0</v>
      </c>
      <c r="AL189" s="68">
        <v>0.0</v>
      </c>
      <c r="AM189" s="68">
        <v>0.0</v>
      </c>
      <c r="AN189" s="68">
        <v>0.0</v>
      </c>
      <c r="AO189" s="68">
        <v>4.73</v>
      </c>
      <c r="AP189" s="68">
        <v>0.0</v>
      </c>
      <c r="AQ189" s="68">
        <v>0.0</v>
      </c>
      <c r="AR189" s="68">
        <v>0.0</v>
      </c>
      <c r="AS189" s="68">
        <v>0.0</v>
      </c>
      <c r="AT189" s="68">
        <v>0.0</v>
      </c>
      <c r="AU189" s="68">
        <v>0.0</v>
      </c>
      <c r="AV189" s="68">
        <v>0.0</v>
      </c>
      <c r="AW189" s="68">
        <v>0.0</v>
      </c>
      <c r="AX189" s="68">
        <v>0.0</v>
      </c>
      <c r="AY189" s="68">
        <v>0.0</v>
      </c>
      <c r="AZ189" s="68">
        <v>0.0</v>
      </c>
      <c r="BA189" s="68">
        <v>0.0</v>
      </c>
      <c r="BB189" s="68">
        <v>4.73</v>
      </c>
      <c r="BC189" s="68" t="s">
        <v>106</v>
      </c>
      <c r="BD189" s="68"/>
      <c r="BG189" s="70">
        <v>-7.9</v>
      </c>
      <c r="BH189" s="68" t="s">
        <v>107</v>
      </c>
      <c r="BI189" s="68" t="s">
        <v>108</v>
      </c>
      <c r="BJ189" s="68" t="s">
        <v>109</v>
      </c>
      <c r="BK189" s="68" t="s">
        <v>381</v>
      </c>
      <c r="BM189" s="68"/>
      <c r="BN189" s="70" t="s">
        <v>111</v>
      </c>
      <c r="BO189" s="68" t="s">
        <v>112</v>
      </c>
      <c r="BP189" s="68" t="s">
        <v>113</v>
      </c>
      <c r="BQ189" s="68" t="s">
        <v>114</v>
      </c>
      <c r="BR189" s="68">
        <v>2.37</v>
      </c>
      <c r="BS189" s="68"/>
      <c r="BW189" s="64" t="str">
        <f>if(OR(F189="SALE",F189="REFUNDED"),IFERROR(Vlookup(I189,'Listing SKU - Fill SKU Mapping'!A:C,3,false),"Map"),"")</f>
        <v>Keystone</v>
      </c>
      <c r="BX189" s="64" t="str">
        <f>IF(OR(F189="SALE",F189="REFUNDED")=TRUE,iferror(Vlookup(I189,'Listing SKU - Fill SKU Mapping'!A:B,2,false),"Map"),"")</f>
        <v>51015S</v>
      </c>
      <c r="BY189" s="64">
        <f>IF(OR(F189="SALE",F189="REFUNDED")=TRUE,iferror(Vlookup(I189,'Listing SKU - Fill SKU Mapping'!A:D,4,false),"Map"),"")</f>
        <v>28.8</v>
      </c>
      <c r="BZ189" s="66">
        <f t="shared" si="1"/>
        <v>11.5</v>
      </c>
      <c r="CA189" s="66">
        <f t="shared" si="2"/>
        <v>40.3</v>
      </c>
      <c r="CB189" s="66">
        <f t="shared" si="3"/>
        <v>33.15</v>
      </c>
      <c r="CC189" s="64" t="str">
        <f>if(F189="REFUNDED",iferror(Vlookup(I189,'Listing SKU - Fill SKU Mapping'!A:B,2,false),"Map"),"")</f>
        <v/>
      </c>
      <c r="CD189" s="64" t="str">
        <f>if(F189="REFUNDED",iferror(Vlookup(I189,'Listing SKU - Fill SKU Mapping'!A:C,3,false),"Map"),"")</f>
        <v/>
      </c>
      <c r="CE189" s="64" t="str">
        <f t="shared" si="4"/>
        <v>2025</v>
      </c>
      <c r="CF189" s="64" t="str">
        <f t="shared" si="5"/>
        <v>August</v>
      </c>
      <c r="CG189" s="64" t="str">
        <f t="shared" si="6"/>
        <v/>
      </c>
    </row>
    <row r="190">
      <c r="A190" s="55">
        <v>2.0001E14</v>
      </c>
      <c r="B190" s="56">
        <v>1.0</v>
      </c>
      <c r="C190" s="57">
        <v>1.2902E14</v>
      </c>
      <c r="D190" s="58">
        <v>1.0</v>
      </c>
      <c r="F190" s="59" t="s">
        <v>100</v>
      </c>
      <c r="G190" s="60">
        <v>45884.0</v>
      </c>
      <c r="H190" s="58">
        <v>1.0</v>
      </c>
      <c r="I190" s="58" t="s">
        <v>305</v>
      </c>
      <c r="J190" s="61">
        <v>4.67129944255E11</v>
      </c>
      <c r="K190" s="63"/>
      <c r="L190" s="63"/>
      <c r="M190" s="63"/>
      <c r="N190" s="63"/>
      <c r="O190" s="63"/>
      <c r="P190" s="63"/>
      <c r="Q190" s="63"/>
      <c r="R190" s="63"/>
      <c r="S190" s="63"/>
      <c r="T190" s="58" t="s">
        <v>105</v>
      </c>
      <c r="U190" s="59">
        <v>89.75</v>
      </c>
      <c r="V190" s="59">
        <v>76.24</v>
      </c>
      <c r="W190" s="58">
        <v>5.74</v>
      </c>
      <c r="X190" s="58">
        <v>7.0</v>
      </c>
      <c r="Y190" s="68">
        <v>81.98</v>
      </c>
      <c r="Z190" s="69">
        <v>0.0</v>
      </c>
      <c r="AA190" s="68">
        <v>0.0</v>
      </c>
      <c r="AB190" s="68">
        <v>0.0</v>
      </c>
      <c r="AC190" s="68">
        <v>0.0</v>
      </c>
      <c r="AD190" s="68">
        <v>0.0</v>
      </c>
      <c r="AE190" s="68">
        <v>0.0</v>
      </c>
      <c r="AF190" s="68">
        <v>0.0</v>
      </c>
      <c r="AG190" s="68">
        <v>0.0</v>
      </c>
      <c r="AH190" s="68">
        <v>0.0</v>
      </c>
      <c r="AI190" s="68">
        <v>0.0</v>
      </c>
      <c r="AJ190" s="68">
        <v>0.0</v>
      </c>
      <c r="AK190" s="68">
        <v>0.0</v>
      </c>
      <c r="AL190" s="68">
        <v>0.0</v>
      </c>
      <c r="AM190" s="68">
        <v>0.0</v>
      </c>
      <c r="AN190" s="68">
        <v>0.0</v>
      </c>
      <c r="AO190" s="68">
        <v>7.77</v>
      </c>
      <c r="AP190" s="68">
        <v>0.0</v>
      </c>
      <c r="AQ190" s="68">
        <v>0.0</v>
      </c>
      <c r="AR190" s="68">
        <v>0.0</v>
      </c>
      <c r="AS190" s="68">
        <v>0.0</v>
      </c>
      <c r="AT190" s="68">
        <v>0.0</v>
      </c>
      <c r="AU190" s="68">
        <v>0.0</v>
      </c>
      <c r="AV190" s="68">
        <v>0.0</v>
      </c>
      <c r="AW190" s="68">
        <v>0.0</v>
      </c>
      <c r="AX190" s="68">
        <v>0.0</v>
      </c>
      <c r="AY190" s="68">
        <v>0.0</v>
      </c>
      <c r="AZ190" s="68">
        <v>0.0</v>
      </c>
      <c r="BA190" s="68">
        <v>0.0</v>
      </c>
      <c r="BB190" s="68">
        <v>7.77</v>
      </c>
      <c r="BC190" s="68" t="s">
        <v>106</v>
      </c>
      <c r="BD190" s="68"/>
      <c r="BG190" s="70">
        <v>-8.2</v>
      </c>
      <c r="BH190" s="68" t="s">
        <v>107</v>
      </c>
      <c r="BI190" s="68" t="s">
        <v>108</v>
      </c>
      <c r="BJ190" s="68" t="s">
        <v>109</v>
      </c>
      <c r="BK190" s="68" t="s">
        <v>372</v>
      </c>
      <c r="BM190" s="68"/>
      <c r="BN190" s="70" t="s">
        <v>111</v>
      </c>
      <c r="BO190" s="68" t="s">
        <v>112</v>
      </c>
      <c r="BP190" s="68" t="s">
        <v>113</v>
      </c>
      <c r="BQ190" s="68" t="s">
        <v>114</v>
      </c>
      <c r="BR190" s="68">
        <v>2.46</v>
      </c>
      <c r="BS190" s="68"/>
      <c r="BW190" s="64" t="str">
        <f>if(OR(F190="SALE",F190="REFUNDED"),IFERROR(Vlookup(I190,'Listing SKU - Fill SKU Mapping'!A:C,3,false),"Map"),"")</f>
        <v>Keystone</v>
      </c>
      <c r="BX190" s="64" t="str">
        <f>IF(OR(F190="SALE",F190="REFUNDED")=TRUE,iferror(Vlookup(I190,'Listing SKU - Fill SKU Mapping'!A:B,2,false),"Map"),"")</f>
        <v>45116S</v>
      </c>
      <c r="BY190" s="64">
        <f>IF(OR(F190="SALE",F190="REFUNDED")=TRUE,iferror(Vlookup(I190,'Listing SKU - Fill SKU Mapping'!A:D,4,false),"Map"),"")</f>
        <v>30.77</v>
      </c>
      <c r="BZ190" s="66">
        <f t="shared" si="1"/>
        <v>11.5</v>
      </c>
      <c r="CA190" s="66">
        <f t="shared" si="2"/>
        <v>42.27</v>
      </c>
      <c r="CB190" s="66">
        <f t="shared" si="3"/>
        <v>33.97</v>
      </c>
      <c r="CC190" s="64" t="str">
        <f>if(F190="REFUNDED",iferror(Vlookup(I190,'Listing SKU - Fill SKU Mapping'!A:B,2,false),"Map"),"")</f>
        <v/>
      </c>
      <c r="CD190" s="64" t="str">
        <f>if(F190="REFUNDED",iferror(Vlookup(I190,'Listing SKU - Fill SKU Mapping'!A:C,3,false),"Map"),"")</f>
        <v/>
      </c>
      <c r="CE190" s="64" t="str">
        <f t="shared" si="4"/>
        <v>2025</v>
      </c>
      <c r="CF190" s="64" t="str">
        <f t="shared" si="5"/>
        <v>August</v>
      </c>
      <c r="CG190" s="64" t="str">
        <f t="shared" si="6"/>
        <v/>
      </c>
    </row>
    <row r="191">
      <c r="A191" s="55">
        <v>2.0001E14</v>
      </c>
      <c r="B191" s="56">
        <v>1.0</v>
      </c>
      <c r="C191" s="57">
        <v>1.2902E14</v>
      </c>
      <c r="D191" s="58">
        <v>1.0</v>
      </c>
      <c r="F191" s="59" t="s">
        <v>100</v>
      </c>
      <c r="G191" s="60">
        <v>45884.0</v>
      </c>
      <c r="H191" s="58">
        <v>1.0</v>
      </c>
      <c r="I191" s="58" t="s">
        <v>364</v>
      </c>
      <c r="J191" s="61">
        <v>4.60776231099E11</v>
      </c>
      <c r="K191" s="63"/>
      <c r="L191" s="63"/>
      <c r="M191" s="63"/>
      <c r="N191" s="63"/>
      <c r="O191" s="63"/>
      <c r="P191" s="63"/>
      <c r="Q191" s="63"/>
      <c r="R191" s="63"/>
      <c r="S191" s="63"/>
      <c r="T191" s="58" t="s">
        <v>105</v>
      </c>
      <c r="U191" s="59">
        <v>135.87</v>
      </c>
      <c r="V191" s="59">
        <v>118.09</v>
      </c>
      <c r="W191" s="58">
        <v>8.89</v>
      </c>
      <c r="X191" s="58">
        <v>7.0</v>
      </c>
      <c r="Y191" s="68">
        <v>126.98</v>
      </c>
      <c r="Z191" s="69">
        <v>0.0</v>
      </c>
      <c r="AA191" s="68">
        <v>0.0</v>
      </c>
      <c r="AB191" s="68">
        <v>0.0</v>
      </c>
      <c r="AC191" s="68">
        <v>0.0</v>
      </c>
      <c r="AD191" s="68">
        <v>0.0</v>
      </c>
      <c r="AE191" s="68">
        <v>0.0</v>
      </c>
      <c r="AF191" s="68">
        <v>0.0</v>
      </c>
      <c r="AG191" s="68">
        <v>0.0</v>
      </c>
      <c r="AH191" s="68">
        <v>0.0</v>
      </c>
      <c r="AI191" s="68">
        <v>0.0</v>
      </c>
      <c r="AJ191" s="68">
        <v>0.0</v>
      </c>
      <c r="AK191" s="68">
        <v>0.0</v>
      </c>
      <c r="AL191" s="68">
        <v>0.0</v>
      </c>
      <c r="AM191" s="68">
        <v>0.0</v>
      </c>
      <c r="AN191" s="68">
        <v>0.0</v>
      </c>
      <c r="AO191" s="68">
        <v>8.89</v>
      </c>
      <c r="AP191" s="68">
        <v>0.0</v>
      </c>
      <c r="AQ191" s="68">
        <v>0.0</v>
      </c>
      <c r="AR191" s="68">
        <v>0.0</v>
      </c>
      <c r="AS191" s="68">
        <v>0.0</v>
      </c>
      <c r="AT191" s="68">
        <v>0.0</v>
      </c>
      <c r="AU191" s="68">
        <v>0.0</v>
      </c>
      <c r="AV191" s="68">
        <v>0.0</v>
      </c>
      <c r="AW191" s="68">
        <v>0.0</v>
      </c>
      <c r="AX191" s="68">
        <v>0.0</v>
      </c>
      <c r="AY191" s="68">
        <v>0.0</v>
      </c>
      <c r="AZ191" s="68">
        <v>0.0</v>
      </c>
      <c r="BA191" s="68">
        <v>0.0</v>
      </c>
      <c r="BB191" s="68">
        <v>8.89</v>
      </c>
      <c r="BC191" s="68" t="s">
        <v>106</v>
      </c>
      <c r="BD191" s="68"/>
      <c r="BG191" s="70">
        <v>-12.7</v>
      </c>
      <c r="BH191" s="68" t="s">
        <v>107</v>
      </c>
      <c r="BI191" s="68" t="s">
        <v>108</v>
      </c>
      <c r="BJ191" s="68" t="s">
        <v>109</v>
      </c>
      <c r="BK191" s="68" t="s">
        <v>372</v>
      </c>
      <c r="BM191" s="68"/>
      <c r="BN191" s="70" t="s">
        <v>111</v>
      </c>
      <c r="BO191" s="68" t="s">
        <v>112</v>
      </c>
      <c r="BP191" s="68" t="s">
        <v>113</v>
      </c>
      <c r="BQ191" s="68" t="s">
        <v>114</v>
      </c>
      <c r="BR191" s="68">
        <v>3.81</v>
      </c>
      <c r="BS191" s="68"/>
      <c r="BW191" s="64" t="str">
        <f>if(OR(F191="SALE",F191="REFUNDED"),IFERROR(Vlookup(I191,'Listing SKU - Fill SKU Mapping'!A:C,3,false),"Map"),"")</f>
        <v>Keystone</v>
      </c>
      <c r="BX191" s="64" t="str">
        <f>IF(OR(F191="SALE",F191="REFUNDED")=TRUE,iferror(Vlookup(I191,'Listing SKU - Fill SKU Mapping'!A:B,2,false),"Map"),"")</f>
        <v>IMP406BLK</v>
      </c>
      <c r="BY191" s="64">
        <f>IF(OR(F191="SALE",F191="REFUNDED")=TRUE,iferror(Vlookup(I191,'Listing SKU - Fill SKU Mapping'!A:D,4,false),"Map"),"")</f>
        <v>61.94</v>
      </c>
      <c r="BZ191" s="66">
        <f t="shared" si="1"/>
        <v>11.5</v>
      </c>
      <c r="CA191" s="66">
        <f t="shared" si="2"/>
        <v>73.44</v>
      </c>
      <c r="CB191" s="66">
        <f t="shared" si="3"/>
        <v>44.65</v>
      </c>
      <c r="CC191" s="64" t="str">
        <f>if(F191="REFUNDED",iferror(Vlookup(I191,'Listing SKU - Fill SKU Mapping'!A:B,2,false),"Map"),"")</f>
        <v/>
      </c>
      <c r="CD191" s="64" t="str">
        <f>if(F191="REFUNDED",iferror(Vlookup(I191,'Listing SKU - Fill SKU Mapping'!A:C,3,false),"Map"),"")</f>
        <v/>
      </c>
      <c r="CE191" s="64" t="str">
        <f t="shared" si="4"/>
        <v>2025</v>
      </c>
      <c r="CF191" s="64" t="str">
        <f t="shared" si="5"/>
        <v>August</v>
      </c>
      <c r="CG191" s="64" t="str">
        <f t="shared" si="6"/>
        <v/>
      </c>
    </row>
    <row r="192">
      <c r="A192" s="55">
        <v>2.0001E14</v>
      </c>
      <c r="B192" s="56">
        <v>1.0</v>
      </c>
      <c r="C192" s="57">
        <v>1.2902E14</v>
      </c>
      <c r="D192" s="58">
        <v>1.0</v>
      </c>
      <c r="F192" s="59" t="s">
        <v>128</v>
      </c>
      <c r="G192" s="60">
        <v>45887.0</v>
      </c>
      <c r="H192" s="58">
        <v>1.0</v>
      </c>
      <c r="I192" s="58" t="s">
        <v>352</v>
      </c>
      <c r="J192" s="61">
        <v>4.60776230177E11</v>
      </c>
      <c r="K192" s="63"/>
      <c r="L192" s="63"/>
      <c r="M192" s="63"/>
      <c r="N192" s="63"/>
      <c r="O192" s="63"/>
      <c r="P192" s="63"/>
      <c r="Q192" s="63"/>
      <c r="R192" s="63"/>
      <c r="S192" s="63"/>
      <c r="U192" s="59">
        <v>-124.14</v>
      </c>
      <c r="V192" s="59">
        <v>-105.07</v>
      </c>
      <c r="W192" s="58">
        <v>-7.91</v>
      </c>
      <c r="X192" s="58">
        <v>0.0</v>
      </c>
      <c r="Y192" s="68">
        <v>0.0</v>
      </c>
      <c r="Z192" s="69">
        <v>-112.98</v>
      </c>
      <c r="AA192" s="68">
        <v>0.0</v>
      </c>
      <c r="AB192" s="68">
        <v>0.0</v>
      </c>
      <c r="AC192" s="68">
        <v>0.0</v>
      </c>
      <c r="AD192" s="68">
        <v>0.0</v>
      </c>
      <c r="AE192" s="68">
        <v>0.0</v>
      </c>
      <c r="AF192" s="68">
        <v>0.0</v>
      </c>
      <c r="AG192" s="68">
        <v>0.0</v>
      </c>
      <c r="AH192" s="68">
        <v>0.0</v>
      </c>
      <c r="AI192" s="68">
        <v>0.0</v>
      </c>
      <c r="AJ192" s="68">
        <v>0.0</v>
      </c>
      <c r="AK192" s="68">
        <v>0.0</v>
      </c>
      <c r="AL192" s="68">
        <v>0.0</v>
      </c>
      <c r="AM192" s="68">
        <v>0.0</v>
      </c>
      <c r="AN192" s="68">
        <v>0.0</v>
      </c>
      <c r="AO192" s="68">
        <v>0.0</v>
      </c>
      <c r="AP192" s="68">
        <v>0.0</v>
      </c>
      <c r="AQ192" s="68">
        <v>0.0</v>
      </c>
      <c r="AR192" s="68">
        <v>0.0</v>
      </c>
      <c r="AS192" s="68">
        <v>0.0</v>
      </c>
      <c r="AT192" s="68">
        <v>-11.16</v>
      </c>
      <c r="AU192" s="68">
        <v>0.0</v>
      </c>
      <c r="AV192" s="68">
        <v>0.0</v>
      </c>
      <c r="AW192" s="68">
        <v>0.0</v>
      </c>
      <c r="AX192" s="68">
        <v>0.0</v>
      </c>
      <c r="AY192" s="68">
        <v>0.0</v>
      </c>
      <c r="AZ192" s="68">
        <v>0.0</v>
      </c>
      <c r="BA192" s="68">
        <v>0.0</v>
      </c>
      <c r="BB192" s="68">
        <v>-11.16</v>
      </c>
      <c r="BC192" s="68" t="s">
        <v>106</v>
      </c>
      <c r="BD192" s="68" t="s">
        <v>129</v>
      </c>
      <c r="BE192" s="68">
        <v>5009.0</v>
      </c>
      <c r="BF192" s="68"/>
      <c r="BH192" s="70" t="s">
        <v>107</v>
      </c>
      <c r="BI192" s="68" t="s">
        <v>108</v>
      </c>
      <c r="BK192" s="68"/>
      <c r="BL192" s="70">
        <v>1000.0</v>
      </c>
      <c r="BM192" s="68" t="s">
        <v>130</v>
      </c>
      <c r="BN192" s="68" t="s">
        <v>111</v>
      </c>
      <c r="BO192" s="68" t="s">
        <v>112</v>
      </c>
      <c r="BQ192" s="68"/>
      <c r="BW192" s="64" t="str">
        <f>if(OR(F192="SALE",F192="REFUNDED"),IFERROR(Vlookup(I192,'Listing SKU - Fill SKU Mapping'!A:C,3,false),"Map"),"")</f>
        <v>Keystone</v>
      </c>
      <c r="BX192" s="64" t="str">
        <f>IF(OR(F192="SALE",F192="REFUNDED")=TRUE,iferror(Vlookup(I192,'Listing SKU - Fill SKU Mapping'!A:B,2,false),"Map"),"")</f>
        <v>IMP434X</v>
      </c>
      <c r="BY192" s="64">
        <f>IF(OR(F192="SALE",F192="REFUNDED")=TRUE,iferror(Vlookup(I192,'Listing SKU - Fill SKU Mapping'!A:D,4,false),"Map"),"")</f>
        <v>52.47</v>
      </c>
      <c r="BZ192" s="66">
        <f t="shared" si="1"/>
        <v>11.5</v>
      </c>
      <c r="CA192" s="66">
        <f t="shared" si="2"/>
        <v>63.97</v>
      </c>
      <c r="CB192" s="64" t="str">
        <f t="shared" si="3"/>
        <v/>
      </c>
      <c r="CC192" s="64" t="str">
        <f>if(F192="REFUNDED",iferror(Vlookup(I192,'Listing SKU - Fill SKU Mapping'!A:B,2,false),"Map"),"")</f>
        <v>IMP434X</v>
      </c>
      <c r="CD192" s="64" t="str">
        <f>if(F192="REFUNDED",iferror(Vlookup(I192,'Listing SKU - Fill SKU Mapping'!A:C,3,false),"Map"),"")</f>
        <v>Keystone</v>
      </c>
      <c r="CE192" s="64" t="str">
        <f t="shared" si="4"/>
        <v>2025</v>
      </c>
      <c r="CF192" s="64" t="str">
        <f t="shared" si="5"/>
        <v>August</v>
      </c>
      <c r="CG192" s="64" t="str">
        <f t="shared" si="6"/>
        <v/>
      </c>
    </row>
    <row r="193">
      <c r="A193" s="55">
        <v>2.0001E14</v>
      </c>
      <c r="B193" s="56">
        <v>1.0</v>
      </c>
      <c r="C193" s="57">
        <v>1.2902E14</v>
      </c>
      <c r="D193" s="58">
        <v>1.0</v>
      </c>
      <c r="F193" s="59" t="s">
        <v>100</v>
      </c>
      <c r="G193" s="60">
        <v>45890.0</v>
      </c>
      <c r="H193" s="58">
        <v>1.0</v>
      </c>
      <c r="I193" s="58" t="s">
        <v>387</v>
      </c>
      <c r="J193" s="61">
        <v>4.6712995887E11</v>
      </c>
      <c r="K193" s="63"/>
      <c r="L193" s="63"/>
      <c r="M193" s="63"/>
      <c r="N193" s="63"/>
      <c r="O193" s="63"/>
      <c r="P193" s="63"/>
      <c r="Q193" s="63"/>
      <c r="R193" s="63"/>
      <c r="S193" s="63"/>
      <c r="T193" s="58" t="s">
        <v>105</v>
      </c>
      <c r="U193" s="59">
        <v>62.14</v>
      </c>
      <c r="V193" s="59">
        <v>61.36</v>
      </c>
      <c r="W193" s="58">
        <v>4.62</v>
      </c>
      <c r="X193" s="58">
        <v>7.0</v>
      </c>
      <c r="Y193" s="68">
        <v>58.9</v>
      </c>
      <c r="Z193" s="69">
        <v>0.0</v>
      </c>
      <c r="AA193" s="68">
        <v>0.0</v>
      </c>
      <c r="AB193" s="68">
        <v>0.0</v>
      </c>
      <c r="AC193" s="68">
        <v>0.0</v>
      </c>
      <c r="AD193" s="68">
        <v>0.0</v>
      </c>
      <c r="AE193" s="68">
        <v>0.0</v>
      </c>
      <c r="AF193" s="68">
        <v>0.0</v>
      </c>
      <c r="AG193" s="68">
        <v>0.0</v>
      </c>
      <c r="AH193" s="68">
        <v>0.0</v>
      </c>
      <c r="AI193" s="68">
        <v>0.0</v>
      </c>
      <c r="AJ193" s="68">
        <v>0.0</v>
      </c>
      <c r="AK193" s="68">
        <v>0.0</v>
      </c>
      <c r="AL193" s="68">
        <v>0.0</v>
      </c>
      <c r="AM193" s="68">
        <v>0.0</v>
      </c>
      <c r="AN193" s="68">
        <v>0.0</v>
      </c>
      <c r="AO193" s="68">
        <v>3.24</v>
      </c>
      <c r="AP193" s="68">
        <v>0.0</v>
      </c>
      <c r="AQ193" s="68">
        <v>0.0</v>
      </c>
      <c r="AR193" s="68">
        <v>0.0</v>
      </c>
      <c r="AS193" s="68">
        <v>0.0</v>
      </c>
      <c r="AT193" s="68">
        <v>0.0</v>
      </c>
      <c r="AU193" s="68">
        <v>0.0</v>
      </c>
      <c r="AV193" s="68">
        <v>0.0</v>
      </c>
      <c r="AW193" s="68">
        <v>0.0</v>
      </c>
      <c r="AX193" s="68">
        <v>0.0</v>
      </c>
      <c r="AY193" s="68">
        <v>0.0</v>
      </c>
      <c r="AZ193" s="68">
        <v>0.0</v>
      </c>
      <c r="BA193" s="68">
        <v>0.0</v>
      </c>
      <c r="BB193" s="68">
        <v>3.24</v>
      </c>
      <c r="BC193" s="68" t="s">
        <v>106</v>
      </c>
      <c r="BD193" s="68"/>
      <c r="BF193" s="70">
        <v>65.98</v>
      </c>
      <c r="BG193" s="68">
        <v>-6.6</v>
      </c>
      <c r="BH193" s="68" t="s">
        <v>107</v>
      </c>
      <c r="BI193" s="68" t="s">
        <v>108</v>
      </c>
      <c r="BJ193" s="68" t="s">
        <v>109</v>
      </c>
      <c r="BK193" s="68" t="s">
        <v>381</v>
      </c>
      <c r="BM193" s="68"/>
      <c r="BN193" s="70" t="s">
        <v>111</v>
      </c>
      <c r="BO193" s="68" t="s">
        <v>112</v>
      </c>
      <c r="BP193" s="68" t="s">
        <v>113</v>
      </c>
      <c r="BQ193" s="68" t="s">
        <v>317</v>
      </c>
      <c r="BR193" s="68">
        <v>1.98</v>
      </c>
      <c r="BS193" s="68"/>
      <c r="BT193" s="70">
        <v>-7.08</v>
      </c>
      <c r="BU193" s="68" t="s">
        <v>318</v>
      </c>
      <c r="BW193" s="64" t="str">
        <f>if(OR(F193="SALE",F193="REFUNDED"),IFERROR(Vlookup(I193,'Listing SKU - Fill SKU Mapping'!A:C,3,false),"Map"),"")</f>
        <v>Keystone</v>
      </c>
      <c r="BX193" s="64" t="str">
        <f>IF(OR(F193="SALE",F193="REFUNDED")=TRUE,iferror(Vlookup(I193,'Listing SKU - Fill SKU Mapping'!A:B,2,false),"Map"),"")</f>
        <v>42215S</v>
      </c>
      <c r="BY193" s="64">
        <f>IF(OR(F193="SALE",F193="REFUNDED")=TRUE,iferror(Vlookup(I193,'Listing SKU - Fill SKU Mapping'!A:D,4,false),"Map"),"")</f>
        <v>20.83</v>
      </c>
      <c r="BZ193" s="66">
        <f t="shared" si="1"/>
        <v>11.5</v>
      </c>
      <c r="CA193" s="66">
        <f t="shared" si="2"/>
        <v>32.33</v>
      </c>
      <c r="CB193" s="66">
        <f t="shared" si="3"/>
        <v>29.03</v>
      </c>
      <c r="CC193" s="64" t="str">
        <f>if(F193="REFUNDED",iferror(Vlookup(I193,'Listing SKU - Fill SKU Mapping'!A:B,2,false),"Map"),"")</f>
        <v/>
      </c>
      <c r="CD193" s="64" t="str">
        <f>if(F193="REFUNDED",iferror(Vlookup(I193,'Listing SKU - Fill SKU Mapping'!A:C,3,false),"Map"),"")</f>
        <v/>
      </c>
      <c r="CE193" s="64" t="str">
        <f t="shared" si="4"/>
        <v>2025</v>
      </c>
      <c r="CF193" s="64" t="str">
        <f t="shared" si="5"/>
        <v>August</v>
      </c>
      <c r="CG193" s="64" t="str">
        <f t="shared" si="6"/>
        <v/>
      </c>
    </row>
    <row r="194">
      <c r="A194" s="55">
        <v>2.0001E14</v>
      </c>
      <c r="B194" s="56">
        <v>1.0</v>
      </c>
      <c r="C194" s="57">
        <v>1.2902E14</v>
      </c>
      <c r="D194" s="58">
        <v>1.0</v>
      </c>
      <c r="F194" s="59" t="s">
        <v>100</v>
      </c>
      <c r="G194" s="60">
        <v>45884.0</v>
      </c>
      <c r="H194" s="58">
        <v>1.0</v>
      </c>
      <c r="I194" s="58" t="s">
        <v>386</v>
      </c>
      <c r="J194" s="61">
        <v>4.67620062427E11</v>
      </c>
      <c r="K194" s="63"/>
      <c r="L194" s="63"/>
      <c r="M194" s="63"/>
      <c r="N194" s="63"/>
      <c r="O194" s="63"/>
      <c r="P194" s="63"/>
      <c r="Q194" s="63"/>
      <c r="R194" s="63"/>
      <c r="S194" s="63"/>
      <c r="T194" s="58" t="s">
        <v>105</v>
      </c>
      <c r="U194" s="59">
        <v>67.01</v>
      </c>
      <c r="V194" s="59">
        <v>57.65</v>
      </c>
      <c r="W194" s="58">
        <v>4.34</v>
      </c>
      <c r="X194" s="58">
        <v>7.0</v>
      </c>
      <c r="Y194" s="68">
        <v>61.99</v>
      </c>
      <c r="Z194" s="69">
        <v>0.0</v>
      </c>
      <c r="AA194" s="68">
        <v>0.0</v>
      </c>
      <c r="AB194" s="68">
        <v>0.0</v>
      </c>
      <c r="AC194" s="68">
        <v>0.0</v>
      </c>
      <c r="AD194" s="68">
        <v>0.0</v>
      </c>
      <c r="AE194" s="68">
        <v>0.0</v>
      </c>
      <c r="AF194" s="68">
        <v>0.0</v>
      </c>
      <c r="AG194" s="68">
        <v>0.0</v>
      </c>
      <c r="AH194" s="68">
        <v>0.0</v>
      </c>
      <c r="AI194" s="68">
        <v>0.0</v>
      </c>
      <c r="AJ194" s="68">
        <v>0.0</v>
      </c>
      <c r="AK194" s="68">
        <v>0.0</v>
      </c>
      <c r="AL194" s="68">
        <v>0.0</v>
      </c>
      <c r="AM194" s="68">
        <v>0.0</v>
      </c>
      <c r="AN194" s="68">
        <v>0.0</v>
      </c>
      <c r="AO194" s="68">
        <v>5.02</v>
      </c>
      <c r="AP194" s="68">
        <v>0.0</v>
      </c>
      <c r="AQ194" s="68">
        <v>0.0</v>
      </c>
      <c r="AR194" s="68">
        <v>0.0</v>
      </c>
      <c r="AS194" s="68">
        <v>0.0</v>
      </c>
      <c r="AT194" s="68">
        <v>0.0</v>
      </c>
      <c r="AU194" s="68">
        <v>0.0</v>
      </c>
      <c r="AV194" s="68">
        <v>0.0</v>
      </c>
      <c r="AW194" s="68">
        <v>0.0</v>
      </c>
      <c r="AX194" s="68">
        <v>0.0</v>
      </c>
      <c r="AY194" s="68">
        <v>0.0</v>
      </c>
      <c r="AZ194" s="68">
        <v>0.0</v>
      </c>
      <c r="BA194" s="68">
        <v>0.0</v>
      </c>
      <c r="BB194" s="68">
        <v>5.02</v>
      </c>
      <c r="BC194" s="68" t="s">
        <v>106</v>
      </c>
      <c r="BD194" s="68"/>
      <c r="BG194" s="70">
        <v>-6.2</v>
      </c>
      <c r="BH194" s="68" t="s">
        <v>107</v>
      </c>
      <c r="BI194" s="68" t="s">
        <v>108</v>
      </c>
      <c r="BJ194" s="68" t="s">
        <v>325</v>
      </c>
      <c r="BK194" s="68" t="s">
        <v>372</v>
      </c>
      <c r="BM194" s="68"/>
      <c r="BN194" s="70" t="s">
        <v>111</v>
      </c>
      <c r="BO194" s="68" t="s">
        <v>112</v>
      </c>
      <c r="BP194" s="68" t="s">
        <v>113</v>
      </c>
      <c r="BQ194" s="68" t="s">
        <v>114</v>
      </c>
      <c r="BR194" s="68">
        <v>1.86</v>
      </c>
      <c r="BS194" s="68"/>
      <c r="BW194" s="64" t="str">
        <f>if(OR(F194="SALE",F194="REFUNDED"),IFERROR(Vlookup(I194,'Listing SKU - Fill SKU Mapping'!A:C,3,false),"Map"),"")</f>
        <v>Keystone</v>
      </c>
      <c r="BX194" s="64" t="str">
        <f>IF(OR(F194="SALE",F194="REFUNDED")=TRUE,iferror(Vlookup(I194,'Listing SKU - Fill SKU Mapping'!A:B,2,false),"Map"),"")</f>
        <v>1515P</v>
      </c>
      <c r="BY194" s="64">
        <f>IF(OR(F194="SALE",F194="REFUNDED")=TRUE,iferror(Vlookup(I194,'Listing SKU - Fill SKU Mapping'!A:D,4,false),"Map"),"")</f>
        <v>24.46</v>
      </c>
      <c r="BZ194" s="66">
        <f t="shared" si="1"/>
        <v>11.5</v>
      </c>
      <c r="CA194" s="66">
        <f t="shared" si="2"/>
        <v>35.96</v>
      </c>
      <c r="CB194" s="66">
        <f t="shared" si="3"/>
        <v>21.69</v>
      </c>
      <c r="CC194" s="64" t="str">
        <f>if(F194="REFUNDED",iferror(Vlookup(I194,'Listing SKU - Fill SKU Mapping'!A:B,2,false),"Map"),"")</f>
        <v/>
      </c>
      <c r="CD194" s="64" t="str">
        <f>if(F194="REFUNDED",iferror(Vlookup(I194,'Listing SKU - Fill SKU Mapping'!A:C,3,false),"Map"),"")</f>
        <v/>
      </c>
      <c r="CE194" s="64" t="str">
        <f t="shared" si="4"/>
        <v>2025</v>
      </c>
      <c r="CF194" s="64" t="str">
        <f t="shared" si="5"/>
        <v>August</v>
      </c>
      <c r="CG194" s="64" t="str">
        <f t="shared" si="6"/>
        <v/>
      </c>
    </row>
    <row r="195">
      <c r="A195" s="55">
        <v>2.0001E14</v>
      </c>
      <c r="B195" s="56">
        <v>1.0</v>
      </c>
      <c r="C195" s="57">
        <v>1.2902E14</v>
      </c>
      <c r="D195" s="58">
        <v>1.0</v>
      </c>
      <c r="F195" s="59" t="s">
        <v>100</v>
      </c>
      <c r="G195" s="60">
        <v>45884.0</v>
      </c>
      <c r="H195" s="58">
        <v>1.0</v>
      </c>
      <c r="I195" s="58" t="s">
        <v>388</v>
      </c>
      <c r="J195" s="61">
        <v>4.67129914982E11</v>
      </c>
      <c r="K195" s="63"/>
      <c r="L195" s="63"/>
      <c r="M195" s="63"/>
      <c r="N195" s="63"/>
      <c r="O195" s="63"/>
      <c r="P195" s="63"/>
      <c r="Q195" s="63"/>
      <c r="R195" s="63"/>
      <c r="S195" s="63"/>
      <c r="T195" s="58" t="s">
        <v>105</v>
      </c>
      <c r="U195" s="59">
        <v>87.16</v>
      </c>
      <c r="V195" s="59">
        <v>74.38</v>
      </c>
      <c r="W195" s="58">
        <v>5.6</v>
      </c>
      <c r="X195" s="58">
        <v>7.0</v>
      </c>
      <c r="Y195" s="68">
        <v>79.98</v>
      </c>
      <c r="Z195" s="69">
        <v>0.0</v>
      </c>
      <c r="AA195" s="68">
        <v>0.0</v>
      </c>
      <c r="AB195" s="68">
        <v>0.0</v>
      </c>
      <c r="AC195" s="68">
        <v>0.0</v>
      </c>
      <c r="AD195" s="68">
        <v>0.0</v>
      </c>
      <c r="AE195" s="68">
        <v>0.0</v>
      </c>
      <c r="AF195" s="68">
        <v>0.0</v>
      </c>
      <c r="AG195" s="68">
        <v>0.0</v>
      </c>
      <c r="AH195" s="68">
        <v>0.0</v>
      </c>
      <c r="AI195" s="68">
        <v>0.0</v>
      </c>
      <c r="AJ195" s="68">
        <v>0.0</v>
      </c>
      <c r="AK195" s="68">
        <v>0.0</v>
      </c>
      <c r="AL195" s="68">
        <v>0.0</v>
      </c>
      <c r="AM195" s="68">
        <v>0.0</v>
      </c>
      <c r="AN195" s="68">
        <v>0.0</v>
      </c>
      <c r="AO195" s="68">
        <v>7.18</v>
      </c>
      <c r="AP195" s="68">
        <v>0.0</v>
      </c>
      <c r="AQ195" s="68">
        <v>0.0</v>
      </c>
      <c r="AR195" s="68">
        <v>0.0</v>
      </c>
      <c r="AS195" s="68">
        <v>0.0</v>
      </c>
      <c r="AT195" s="68">
        <v>0.0</v>
      </c>
      <c r="AU195" s="68">
        <v>0.0</v>
      </c>
      <c r="AV195" s="68">
        <v>0.0</v>
      </c>
      <c r="AW195" s="68">
        <v>0.0</v>
      </c>
      <c r="AX195" s="68">
        <v>0.0</v>
      </c>
      <c r="AY195" s="68">
        <v>0.0</v>
      </c>
      <c r="AZ195" s="68">
        <v>0.0</v>
      </c>
      <c r="BA195" s="68">
        <v>0.0</v>
      </c>
      <c r="BB195" s="68">
        <v>7.18</v>
      </c>
      <c r="BC195" s="68" t="s">
        <v>106</v>
      </c>
      <c r="BD195" s="68"/>
      <c r="BG195" s="70">
        <v>-8.0</v>
      </c>
      <c r="BH195" s="68" t="s">
        <v>107</v>
      </c>
      <c r="BI195" s="68" t="s">
        <v>108</v>
      </c>
      <c r="BJ195" s="68" t="s">
        <v>109</v>
      </c>
      <c r="BK195" s="68" t="s">
        <v>372</v>
      </c>
      <c r="BM195" s="68"/>
      <c r="BN195" s="70" t="s">
        <v>111</v>
      </c>
      <c r="BO195" s="68" t="s">
        <v>112</v>
      </c>
      <c r="BP195" s="68" t="s">
        <v>113</v>
      </c>
      <c r="BQ195" s="68" t="s">
        <v>114</v>
      </c>
      <c r="BR195" s="68">
        <v>2.4</v>
      </c>
      <c r="BS195" s="68"/>
      <c r="BW195" s="64" t="str">
        <f>if(OR(F195="SALE",F195="REFUNDED"),IFERROR(Vlookup(I195,'Listing SKU - Fill SKU Mapping'!A:C,3,false),"Map"),"")</f>
        <v>Keystone</v>
      </c>
      <c r="BX195" s="64" t="str">
        <f>IF(OR(F195="SALE",F195="REFUNDED")=TRUE,iferror(Vlookup(I195,'Listing SKU - Fill SKU Mapping'!A:B,2,false),"Map"),"")</f>
        <v>49615S</v>
      </c>
      <c r="BY195" s="64">
        <f>IF(OR(F195="SALE",F195="REFUNDED")=TRUE,iferror(Vlookup(I195,'Listing SKU - Fill SKU Mapping'!A:D,4,false),"Map"),"")</f>
        <v>29.58</v>
      </c>
      <c r="BZ195" s="66">
        <f t="shared" si="1"/>
        <v>11.5</v>
      </c>
      <c r="CA195" s="66">
        <f t="shared" si="2"/>
        <v>41.08</v>
      </c>
      <c r="CB195" s="66">
        <f t="shared" si="3"/>
        <v>33.3</v>
      </c>
      <c r="CC195" s="64" t="str">
        <f>if(F195="REFUNDED",iferror(Vlookup(I195,'Listing SKU - Fill SKU Mapping'!A:B,2,false),"Map"),"")</f>
        <v/>
      </c>
      <c r="CD195" s="64" t="str">
        <f>if(F195="REFUNDED",iferror(Vlookup(I195,'Listing SKU - Fill SKU Mapping'!A:C,3,false),"Map"),"")</f>
        <v/>
      </c>
      <c r="CE195" s="64" t="str">
        <f t="shared" si="4"/>
        <v>2025</v>
      </c>
      <c r="CF195" s="64" t="str">
        <f t="shared" si="5"/>
        <v>August</v>
      </c>
      <c r="CG195" s="64" t="str">
        <f t="shared" si="6"/>
        <v/>
      </c>
    </row>
    <row r="196">
      <c r="A196" s="55">
        <v>2.0001E14</v>
      </c>
      <c r="B196" s="56">
        <v>1.0</v>
      </c>
      <c r="C196" s="57">
        <v>1.2902E14</v>
      </c>
      <c r="D196" s="58">
        <v>1.0</v>
      </c>
      <c r="F196" s="59" t="s">
        <v>100</v>
      </c>
      <c r="G196" s="60">
        <v>45891.0</v>
      </c>
      <c r="H196" s="58">
        <v>1.0</v>
      </c>
      <c r="I196" s="58" t="s">
        <v>359</v>
      </c>
      <c r="J196" s="61">
        <v>4.6712995845E11</v>
      </c>
      <c r="K196" s="63"/>
      <c r="L196" s="63"/>
      <c r="M196" s="63"/>
      <c r="N196" s="63"/>
      <c r="O196" s="63"/>
      <c r="P196" s="63"/>
      <c r="Q196" s="63"/>
      <c r="R196" s="63"/>
      <c r="S196" s="63"/>
      <c r="T196" s="58" t="s">
        <v>105</v>
      </c>
      <c r="U196" s="59">
        <v>80.7</v>
      </c>
      <c r="V196" s="59">
        <v>78.1</v>
      </c>
      <c r="W196" s="58">
        <v>5.88</v>
      </c>
      <c r="X196" s="58">
        <v>7.0</v>
      </c>
      <c r="Y196" s="68">
        <v>74.9</v>
      </c>
      <c r="Z196" s="69">
        <v>0.0</v>
      </c>
      <c r="AA196" s="68">
        <v>0.0</v>
      </c>
      <c r="AB196" s="68">
        <v>0.0</v>
      </c>
      <c r="AC196" s="68">
        <v>0.0</v>
      </c>
      <c r="AD196" s="68">
        <v>0.0</v>
      </c>
      <c r="AE196" s="68">
        <v>0.0</v>
      </c>
      <c r="AF196" s="68">
        <v>0.0</v>
      </c>
      <c r="AG196" s="68">
        <v>0.0</v>
      </c>
      <c r="AH196" s="68">
        <v>0.0</v>
      </c>
      <c r="AI196" s="68">
        <v>0.0</v>
      </c>
      <c r="AJ196" s="68">
        <v>0.0</v>
      </c>
      <c r="AK196" s="68">
        <v>0.0</v>
      </c>
      <c r="AL196" s="68">
        <v>0.0</v>
      </c>
      <c r="AM196" s="68">
        <v>0.0</v>
      </c>
      <c r="AN196" s="68">
        <v>0.0</v>
      </c>
      <c r="AO196" s="68">
        <v>5.8</v>
      </c>
      <c r="AP196" s="68">
        <v>0.0</v>
      </c>
      <c r="AQ196" s="68">
        <v>0.0</v>
      </c>
      <c r="AR196" s="68">
        <v>0.0</v>
      </c>
      <c r="AS196" s="68">
        <v>0.0</v>
      </c>
      <c r="AT196" s="68">
        <v>0.0</v>
      </c>
      <c r="AU196" s="68">
        <v>0.0</v>
      </c>
      <c r="AV196" s="68">
        <v>0.0</v>
      </c>
      <c r="AW196" s="68">
        <v>0.0</v>
      </c>
      <c r="AX196" s="68">
        <v>0.0</v>
      </c>
      <c r="AY196" s="68">
        <v>0.0</v>
      </c>
      <c r="AZ196" s="68">
        <v>0.0</v>
      </c>
      <c r="BA196" s="68">
        <v>0.0</v>
      </c>
      <c r="BB196" s="68">
        <v>5.8</v>
      </c>
      <c r="BC196" s="68" t="s">
        <v>106</v>
      </c>
      <c r="BD196" s="68"/>
      <c r="BF196" s="70">
        <v>83.98</v>
      </c>
      <c r="BG196" s="68">
        <v>-8.4</v>
      </c>
      <c r="BH196" s="68" t="s">
        <v>107</v>
      </c>
      <c r="BI196" s="68" t="s">
        <v>108</v>
      </c>
      <c r="BJ196" s="68" t="s">
        <v>109</v>
      </c>
      <c r="BK196" s="68" t="s">
        <v>381</v>
      </c>
      <c r="BM196" s="68"/>
      <c r="BN196" s="70" t="s">
        <v>111</v>
      </c>
      <c r="BO196" s="68" t="s">
        <v>112</v>
      </c>
      <c r="BP196" s="68" t="s">
        <v>113</v>
      </c>
      <c r="BQ196" s="68" t="s">
        <v>317</v>
      </c>
      <c r="BR196" s="68">
        <v>2.52</v>
      </c>
      <c r="BS196" s="68"/>
      <c r="BT196" s="70">
        <v>-9.08</v>
      </c>
      <c r="BU196" s="68" t="s">
        <v>318</v>
      </c>
      <c r="BW196" s="64" t="str">
        <f>if(OR(F196="SALE",F196="REFUNDED"),IFERROR(Vlookup(I196,'Listing SKU - Fill SKU Mapping'!A:C,3,false),"Map"),"")</f>
        <v>Keystone</v>
      </c>
      <c r="BX196" s="64" t="str">
        <f>IF(OR(F196="SALE",F196="REFUNDED")=TRUE,iferror(Vlookup(I196,'Listing SKU - Fill SKU Mapping'!A:B,2,false),"Map"),"")</f>
        <v>43916S</v>
      </c>
      <c r="BY196" s="64">
        <f>IF(OR(F196="SALE",F196="REFUNDED")=TRUE,iferror(Vlookup(I196,'Listing SKU - Fill SKU Mapping'!A:D,4,false),"Map"),"")</f>
        <v>32.35</v>
      </c>
      <c r="BZ196" s="66">
        <f t="shared" si="1"/>
        <v>11.5</v>
      </c>
      <c r="CA196" s="66">
        <f t="shared" si="2"/>
        <v>43.85</v>
      </c>
      <c r="CB196" s="66">
        <f t="shared" si="3"/>
        <v>34.25</v>
      </c>
      <c r="CC196" s="64" t="str">
        <f>if(F196="REFUNDED",iferror(Vlookup(I196,'Listing SKU - Fill SKU Mapping'!A:B,2,false),"Map"),"")</f>
        <v/>
      </c>
      <c r="CD196" s="64" t="str">
        <f>if(F196="REFUNDED",iferror(Vlookup(I196,'Listing SKU - Fill SKU Mapping'!A:C,3,false),"Map"),"")</f>
        <v/>
      </c>
      <c r="CE196" s="64" t="str">
        <f t="shared" si="4"/>
        <v>2025</v>
      </c>
      <c r="CF196" s="64" t="str">
        <f t="shared" si="5"/>
        <v>August</v>
      </c>
      <c r="CG196" s="64" t="str">
        <f t="shared" si="6"/>
        <v/>
      </c>
    </row>
    <row r="197">
      <c r="A197" s="55">
        <v>2.0001E14</v>
      </c>
      <c r="B197" s="56">
        <v>2.0</v>
      </c>
      <c r="C197" s="57">
        <v>1.2902E14</v>
      </c>
      <c r="D197" s="58">
        <v>2.0</v>
      </c>
      <c r="F197" s="59" t="s">
        <v>100</v>
      </c>
      <c r="G197" s="60">
        <v>45891.0</v>
      </c>
      <c r="H197" s="58">
        <v>1.0</v>
      </c>
      <c r="I197" s="58" t="s">
        <v>389</v>
      </c>
      <c r="J197" s="61">
        <v>4.67129945535E11</v>
      </c>
      <c r="K197" s="63"/>
      <c r="L197" s="63"/>
      <c r="M197" s="63"/>
      <c r="N197" s="63"/>
      <c r="O197" s="63"/>
      <c r="P197" s="63"/>
      <c r="Q197" s="63"/>
      <c r="R197" s="63"/>
      <c r="S197" s="63"/>
      <c r="T197" s="58" t="s">
        <v>105</v>
      </c>
      <c r="U197" s="59">
        <v>115.22</v>
      </c>
      <c r="V197" s="59">
        <v>97.63</v>
      </c>
      <c r="W197" s="58">
        <v>7.35</v>
      </c>
      <c r="X197" s="58">
        <v>7.0</v>
      </c>
      <c r="Y197" s="68">
        <v>104.98</v>
      </c>
      <c r="Z197" s="69">
        <v>0.0</v>
      </c>
      <c r="AA197" s="68">
        <v>0.0</v>
      </c>
      <c r="AB197" s="68">
        <v>0.0</v>
      </c>
      <c r="AC197" s="68">
        <v>0.0</v>
      </c>
      <c r="AD197" s="68">
        <v>0.0</v>
      </c>
      <c r="AE197" s="68">
        <v>0.0</v>
      </c>
      <c r="AF197" s="68">
        <v>0.0</v>
      </c>
      <c r="AG197" s="68">
        <v>0.0</v>
      </c>
      <c r="AH197" s="68">
        <v>0.0</v>
      </c>
      <c r="AI197" s="68">
        <v>0.0</v>
      </c>
      <c r="AJ197" s="68">
        <v>0.0</v>
      </c>
      <c r="AK197" s="68">
        <v>0.0</v>
      </c>
      <c r="AL197" s="68">
        <v>0.0</v>
      </c>
      <c r="AM197" s="68">
        <v>0.0</v>
      </c>
      <c r="AN197" s="68">
        <v>0.0</v>
      </c>
      <c r="AO197" s="68">
        <v>10.24</v>
      </c>
      <c r="AP197" s="68">
        <v>0.0</v>
      </c>
      <c r="AQ197" s="68">
        <v>0.0</v>
      </c>
      <c r="AR197" s="68">
        <v>0.0</v>
      </c>
      <c r="AS197" s="68">
        <v>0.0</v>
      </c>
      <c r="AT197" s="68">
        <v>0.0</v>
      </c>
      <c r="AU197" s="68">
        <v>0.0</v>
      </c>
      <c r="AV197" s="68">
        <v>0.0</v>
      </c>
      <c r="AW197" s="68">
        <v>0.0</v>
      </c>
      <c r="AX197" s="68">
        <v>0.0</v>
      </c>
      <c r="AY197" s="68">
        <v>0.0</v>
      </c>
      <c r="AZ197" s="68">
        <v>0.0</v>
      </c>
      <c r="BA197" s="68">
        <v>0.0</v>
      </c>
      <c r="BB197" s="68">
        <v>10.24</v>
      </c>
      <c r="BC197" s="68" t="s">
        <v>106</v>
      </c>
      <c r="BD197" s="68"/>
      <c r="BG197" s="70">
        <v>-10.5</v>
      </c>
      <c r="BH197" s="68" t="s">
        <v>107</v>
      </c>
      <c r="BI197" s="68" t="s">
        <v>108</v>
      </c>
      <c r="BJ197" s="68" t="s">
        <v>109</v>
      </c>
      <c r="BK197" s="68" t="s">
        <v>381</v>
      </c>
      <c r="BM197" s="68"/>
      <c r="BN197" s="70" t="s">
        <v>111</v>
      </c>
      <c r="BO197" s="68" t="s">
        <v>112</v>
      </c>
      <c r="BP197" s="68" t="s">
        <v>113</v>
      </c>
      <c r="BQ197" s="68" t="s">
        <v>114</v>
      </c>
      <c r="BR197" s="68">
        <v>3.15</v>
      </c>
      <c r="BS197" s="68"/>
      <c r="BW197" s="64" t="str">
        <f>if(OR(F197="SALE",F197="REFUNDED"),IFERROR(Vlookup(I197,'Listing SKU - Fill SKU Mapping'!A:C,3,false),"Map"),"")</f>
        <v>Keystone</v>
      </c>
      <c r="BX197" s="64" t="str">
        <f>IF(OR(F197="SALE",F197="REFUNDED")=TRUE,iferror(Vlookup(I197,'Listing SKU - Fill SKU Mapping'!A:B,2,false),"Map"),"")</f>
        <v>52517BLK</v>
      </c>
      <c r="BY197" s="64">
        <f>IF(OR(F197="SALE",F197="REFUNDED")=TRUE,iferror(Vlookup(I197,'Listing SKU - Fill SKU Mapping'!A:D,4,false),"Map"),"")</f>
        <v>45.36</v>
      </c>
      <c r="BZ197" s="66">
        <f t="shared" si="1"/>
        <v>11.5</v>
      </c>
      <c r="CA197" s="66">
        <f t="shared" si="2"/>
        <v>56.86</v>
      </c>
      <c r="CB197" s="66">
        <f t="shared" si="3"/>
        <v>40.77</v>
      </c>
      <c r="CC197" s="64" t="str">
        <f>if(F197="REFUNDED",iferror(Vlookup(I197,'Listing SKU - Fill SKU Mapping'!A:B,2,false),"Map"),"")</f>
        <v/>
      </c>
      <c r="CD197" s="64" t="str">
        <f>if(F197="REFUNDED",iferror(Vlookup(I197,'Listing SKU - Fill SKU Mapping'!A:C,3,false),"Map"),"")</f>
        <v/>
      </c>
      <c r="CE197" s="64" t="str">
        <f t="shared" si="4"/>
        <v>2025</v>
      </c>
      <c r="CF197" s="64" t="str">
        <f t="shared" si="5"/>
        <v>August</v>
      </c>
      <c r="CG197" s="64" t="str">
        <f t="shared" si="6"/>
        <v/>
      </c>
    </row>
    <row r="198">
      <c r="A198" s="55">
        <v>2.0001E14</v>
      </c>
      <c r="B198" s="56">
        <v>1.0</v>
      </c>
      <c r="C198" s="57">
        <v>1.2902E14</v>
      </c>
      <c r="D198" s="58">
        <v>1.0</v>
      </c>
      <c r="F198" s="59" t="s">
        <v>100</v>
      </c>
      <c r="G198" s="60">
        <v>45880.0</v>
      </c>
      <c r="H198" s="58">
        <v>1.0</v>
      </c>
      <c r="I198" s="58" t="s">
        <v>326</v>
      </c>
      <c r="J198" s="61">
        <v>4.60776228945E11</v>
      </c>
      <c r="K198" s="63"/>
      <c r="L198" s="63"/>
      <c r="M198" s="63"/>
      <c r="N198" s="63"/>
      <c r="O198" s="63"/>
      <c r="P198" s="63"/>
      <c r="Q198" s="63"/>
      <c r="R198" s="63"/>
      <c r="S198" s="63"/>
      <c r="T198" s="58" t="s">
        <v>105</v>
      </c>
      <c r="U198" s="59">
        <v>100.98</v>
      </c>
      <c r="V198" s="59">
        <v>93.91</v>
      </c>
      <c r="W198" s="58">
        <v>7.07</v>
      </c>
      <c r="X198" s="58">
        <v>7.0</v>
      </c>
      <c r="Y198" s="68">
        <v>100.98</v>
      </c>
      <c r="Z198" s="69">
        <v>0.0</v>
      </c>
      <c r="AA198" s="68">
        <v>0.0</v>
      </c>
      <c r="AB198" s="68">
        <v>0.0</v>
      </c>
      <c r="AC198" s="68">
        <v>0.0</v>
      </c>
      <c r="AD198" s="68">
        <v>0.0</v>
      </c>
      <c r="AE198" s="68">
        <v>0.0</v>
      </c>
      <c r="AF198" s="68">
        <v>0.0</v>
      </c>
      <c r="AG198" s="68">
        <v>0.0</v>
      </c>
      <c r="AH198" s="68">
        <v>0.0</v>
      </c>
      <c r="AI198" s="68">
        <v>0.0</v>
      </c>
      <c r="AJ198" s="68">
        <v>0.0</v>
      </c>
      <c r="AK198" s="68">
        <v>0.0</v>
      </c>
      <c r="AL198" s="68">
        <v>0.0</v>
      </c>
      <c r="AM198" s="68">
        <v>0.0</v>
      </c>
      <c r="AN198" s="68">
        <v>0.0</v>
      </c>
      <c r="AO198" s="68">
        <v>0.0</v>
      </c>
      <c r="AP198" s="68">
        <v>0.0</v>
      </c>
      <c r="AQ198" s="68">
        <v>0.0</v>
      </c>
      <c r="AR198" s="68">
        <v>0.0</v>
      </c>
      <c r="AS198" s="68">
        <v>0.0</v>
      </c>
      <c r="AT198" s="68">
        <v>0.0</v>
      </c>
      <c r="AU198" s="68">
        <v>0.0</v>
      </c>
      <c r="AV198" s="68">
        <v>0.0</v>
      </c>
      <c r="AW198" s="68">
        <v>0.0</v>
      </c>
      <c r="AX198" s="68">
        <v>0.0</v>
      </c>
      <c r="AY198" s="68">
        <v>0.0</v>
      </c>
      <c r="AZ198" s="68">
        <v>0.0</v>
      </c>
      <c r="BA198" s="68">
        <v>0.0</v>
      </c>
      <c r="BB198" s="68">
        <v>0.0</v>
      </c>
      <c r="BC198" s="68" t="s">
        <v>106</v>
      </c>
      <c r="BD198" s="68"/>
      <c r="BG198" s="70">
        <v>-10.1</v>
      </c>
      <c r="BH198" s="68" t="s">
        <v>107</v>
      </c>
      <c r="BI198" s="68" t="s">
        <v>108</v>
      </c>
      <c r="BJ198" s="68" t="s">
        <v>109</v>
      </c>
      <c r="BK198" s="68" t="s">
        <v>372</v>
      </c>
      <c r="BM198" s="68"/>
      <c r="BN198" s="70" t="s">
        <v>111</v>
      </c>
      <c r="BO198" s="68" t="s">
        <v>112</v>
      </c>
      <c r="BP198" s="68" t="s">
        <v>113</v>
      </c>
      <c r="BQ198" s="68" t="s">
        <v>114</v>
      </c>
      <c r="BR198" s="68">
        <v>3.03</v>
      </c>
      <c r="BS198" s="68"/>
      <c r="BW198" s="64" t="str">
        <f>if(OR(F198="SALE",F198="REFUNDED"),IFERROR(Vlookup(I198,'Listing SKU - Fill SKU Mapping'!A:C,3,false),"Map"),"")</f>
        <v>Keystone</v>
      </c>
      <c r="BX198" s="64" t="str">
        <f>IF(OR(F198="SALE",F198="REFUNDED")=TRUE,iferror(Vlookup(I198,'Listing SKU - Fill SKU Mapping'!A:B,2,false),"Map"),"")</f>
        <v>IMP373BLK</v>
      </c>
      <c r="BY198" s="64">
        <f>IF(OR(F198="SALE",F198="REFUNDED")=TRUE,iferror(Vlookup(I198,'Listing SKU - Fill SKU Mapping'!A:D,4,false),"Map"),"")</f>
        <v>44.97</v>
      </c>
      <c r="BZ198" s="66">
        <f t="shared" si="1"/>
        <v>11.5</v>
      </c>
      <c r="CA198" s="66">
        <f t="shared" si="2"/>
        <v>56.47</v>
      </c>
      <c r="CB198" s="66">
        <f t="shared" si="3"/>
        <v>37.44</v>
      </c>
      <c r="CC198" s="64" t="str">
        <f>if(F198="REFUNDED",iferror(Vlookup(I198,'Listing SKU - Fill SKU Mapping'!A:B,2,false),"Map"),"")</f>
        <v/>
      </c>
      <c r="CD198" s="64" t="str">
        <f>if(F198="REFUNDED",iferror(Vlookup(I198,'Listing SKU - Fill SKU Mapping'!A:C,3,false),"Map"),"")</f>
        <v/>
      </c>
      <c r="CE198" s="64" t="str">
        <f t="shared" si="4"/>
        <v>2025</v>
      </c>
      <c r="CF198" s="64" t="str">
        <f t="shared" si="5"/>
        <v>August</v>
      </c>
      <c r="CG198" s="64" t="str">
        <f t="shared" si="6"/>
        <v/>
      </c>
    </row>
    <row r="199">
      <c r="A199" s="55">
        <v>2.0001E14</v>
      </c>
      <c r="B199" s="56">
        <v>1.0</v>
      </c>
      <c r="C199" s="57">
        <v>1.2902E14</v>
      </c>
      <c r="D199" s="58">
        <v>1.0</v>
      </c>
      <c r="F199" s="59" t="s">
        <v>100</v>
      </c>
      <c r="G199" s="60">
        <v>45882.0</v>
      </c>
      <c r="H199" s="58">
        <v>1.0</v>
      </c>
      <c r="I199" s="58" t="s">
        <v>360</v>
      </c>
      <c r="J199" s="61">
        <v>4.60776272498E11</v>
      </c>
      <c r="K199" s="63"/>
      <c r="L199" s="63"/>
      <c r="M199" s="63"/>
      <c r="N199" s="63"/>
      <c r="O199" s="63"/>
      <c r="P199" s="63"/>
      <c r="Q199" s="63"/>
      <c r="R199" s="63"/>
      <c r="S199" s="63"/>
      <c r="T199" s="58" t="s">
        <v>105</v>
      </c>
      <c r="U199" s="59">
        <v>109.11</v>
      </c>
      <c r="V199" s="59">
        <v>111.58</v>
      </c>
      <c r="W199" s="58">
        <v>8.4</v>
      </c>
      <c r="X199" s="58">
        <v>7.0</v>
      </c>
      <c r="Y199" s="68">
        <v>102.93</v>
      </c>
      <c r="Z199" s="69">
        <v>0.0</v>
      </c>
      <c r="AA199" s="68">
        <v>0.0</v>
      </c>
      <c r="AB199" s="68">
        <v>0.0</v>
      </c>
      <c r="AC199" s="68">
        <v>0.0</v>
      </c>
      <c r="AD199" s="68">
        <v>0.0</v>
      </c>
      <c r="AE199" s="68">
        <v>0.0</v>
      </c>
      <c r="AF199" s="68">
        <v>0.0</v>
      </c>
      <c r="AG199" s="68">
        <v>0.0</v>
      </c>
      <c r="AH199" s="68">
        <v>0.0</v>
      </c>
      <c r="AI199" s="68">
        <v>0.0</v>
      </c>
      <c r="AJ199" s="68">
        <v>0.0</v>
      </c>
      <c r="AK199" s="68">
        <v>0.0</v>
      </c>
      <c r="AL199" s="68">
        <v>0.0</v>
      </c>
      <c r="AM199" s="68">
        <v>0.0</v>
      </c>
      <c r="AN199" s="68">
        <v>0.0</v>
      </c>
      <c r="AO199" s="68">
        <v>6.18</v>
      </c>
      <c r="AP199" s="68">
        <v>0.0</v>
      </c>
      <c r="AQ199" s="68">
        <v>0.0</v>
      </c>
      <c r="AR199" s="68">
        <v>0.0</v>
      </c>
      <c r="AS199" s="68">
        <v>0.0</v>
      </c>
      <c r="AT199" s="68">
        <v>0.0</v>
      </c>
      <c r="AU199" s="68">
        <v>0.0</v>
      </c>
      <c r="AV199" s="68">
        <v>0.0</v>
      </c>
      <c r="AW199" s="68">
        <v>0.0</v>
      </c>
      <c r="AX199" s="68">
        <v>0.0</v>
      </c>
      <c r="AY199" s="68">
        <v>0.0</v>
      </c>
      <c r="AZ199" s="68">
        <v>0.0</v>
      </c>
      <c r="BA199" s="68">
        <v>0.0</v>
      </c>
      <c r="BB199" s="68">
        <v>6.18</v>
      </c>
      <c r="BC199" s="68" t="s">
        <v>106</v>
      </c>
      <c r="BD199" s="68"/>
      <c r="BF199" s="70">
        <v>119.98</v>
      </c>
      <c r="BG199" s="68">
        <v>-12.0</v>
      </c>
      <c r="BH199" s="68" t="s">
        <v>107</v>
      </c>
      <c r="BI199" s="68" t="s">
        <v>108</v>
      </c>
      <c r="BJ199" s="68" t="s">
        <v>109</v>
      </c>
      <c r="BK199" s="68" t="s">
        <v>372</v>
      </c>
      <c r="BM199" s="68"/>
      <c r="BN199" s="70" t="s">
        <v>111</v>
      </c>
      <c r="BO199" s="68" t="s">
        <v>112</v>
      </c>
      <c r="BP199" s="68" t="s">
        <v>113</v>
      </c>
      <c r="BQ199" s="68" t="s">
        <v>317</v>
      </c>
      <c r="BR199" s="68">
        <v>3.6</v>
      </c>
      <c r="BS199" s="68"/>
      <c r="BT199" s="70">
        <v>-17.05</v>
      </c>
      <c r="BU199" s="68" t="s">
        <v>318</v>
      </c>
      <c r="BW199" s="64" t="str">
        <f>if(OR(F199="SALE",F199="REFUNDED"),IFERROR(Vlookup(I199,'Listing SKU - Fill SKU Mapping'!A:C,3,false),"Map"),"")</f>
        <v>Keystone</v>
      </c>
      <c r="BX199" s="64" t="str">
        <f>IF(OR(F199="SALE",F199="REFUNDED")=TRUE,iferror(Vlookup(I199,'Listing SKU - Fill SKU Mapping'!A:B,2,false),"Map"),"")</f>
        <v>IMP361BLK</v>
      </c>
      <c r="BY199" s="64">
        <f>IF(OR(F199="SALE",F199="REFUNDED")=TRUE,iferror(Vlookup(I199,'Listing SKU - Fill SKU Mapping'!A:D,4,false),"Map"),"")</f>
        <v>57.2</v>
      </c>
      <c r="BZ199" s="66">
        <f t="shared" si="1"/>
        <v>11.5</v>
      </c>
      <c r="CA199" s="66">
        <f t="shared" si="2"/>
        <v>68.7</v>
      </c>
      <c r="CB199" s="66">
        <f t="shared" si="3"/>
        <v>42.88</v>
      </c>
      <c r="CC199" s="64" t="str">
        <f>if(F199="REFUNDED",iferror(Vlookup(I199,'Listing SKU - Fill SKU Mapping'!A:B,2,false),"Map"),"")</f>
        <v/>
      </c>
      <c r="CD199" s="64" t="str">
        <f>if(F199="REFUNDED",iferror(Vlookup(I199,'Listing SKU - Fill SKU Mapping'!A:C,3,false),"Map"),"")</f>
        <v/>
      </c>
      <c r="CE199" s="64" t="str">
        <f t="shared" si="4"/>
        <v>2025</v>
      </c>
      <c r="CF199" s="64" t="str">
        <f t="shared" si="5"/>
        <v>August</v>
      </c>
      <c r="CG199" s="64" t="str">
        <f t="shared" si="6"/>
        <v/>
      </c>
    </row>
    <row r="200">
      <c r="A200" s="55">
        <v>2.0001E14</v>
      </c>
      <c r="B200" s="56">
        <v>1.0</v>
      </c>
      <c r="C200" s="57">
        <v>1.2902E14</v>
      </c>
      <c r="D200" s="58">
        <v>1.0</v>
      </c>
      <c r="F200" s="59" t="s">
        <v>100</v>
      </c>
      <c r="G200" s="60">
        <v>45891.0</v>
      </c>
      <c r="H200" s="58">
        <v>1.0</v>
      </c>
      <c r="I200" s="58" t="s">
        <v>337</v>
      </c>
      <c r="J200" s="61">
        <v>4.60776238326E11</v>
      </c>
      <c r="K200" s="63"/>
      <c r="L200" s="63"/>
      <c r="M200" s="63"/>
      <c r="N200" s="63"/>
      <c r="O200" s="63"/>
      <c r="P200" s="63"/>
      <c r="Q200" s="63"/>
      <c r="R200" s="63"/>
      <c r="S200" s="63"/>
      <c r="T200" s="58" t="s">
        <v>105</v>
      </c>
      <c r="U200" s="59">
        <v>111.16</v>
      </c>
      <c r="V200" s="59">
        <v>94.84</v>
      </c>
      <c r="W200" s="58">
        <v>7.14</v>
      </c>
      <c r="X200" s="58">
        <v>7.0</v>
      </c>
      <c r="Y200" s="68">
        <v>101.98</v>
      </c>
      <c r="Z200" s="69">
        <v>0.0</v>
      </c>
      <c r="AA200" s="68">
        <v>0.0</v>
      </c>
      <c r="AB200" s="68">
        <v>0.0</v>
      </c>
      <c r="AC200" s="68">
        <v>0.0</v>
      </c>
      <c r="AD200" s="68">
        <v>0.0</v>
      </c>
      <c r="AE200" s="68">
        <v>0.0</v>
      </c>
      <c r="AF200" s="68">
        <v>0.0</v>
      </c>
      <c r="AG200" s="68">
        <v>0.0</v>
      </c>
      <c r="AH200" s="68">
        <v>0.0</v>
      </c>
      <c r="AI200" s="68">
        <v>0.0</v>
      </c>
      <c r="AJ200" s="68">
        <v>0.0</v>
      </c>
      <c r="AK200" s="68">
        <v>0.0</v>
      </c>
      <c r="AL200" s="68">
        <v>0.0</v>
      </c>
      <c r="AM200" s="68">
        <v>0.0</v>
      </c>
      <c r="AN200" s="68">
        <v>0.0</v>
      </c>
      <c r="AO200" s="68">
        <v>9.18</v>
      </c>
      <c r="AP200" s="68">
        <v>0.0</v>
      </c>
      <c r="AQ200" s="68">
        <v>0.0</v>
      </c>
      <c r="AR200" s="68">
        <v>0.0</v>
      </c>
      <c r="AS200" s="68">
        <v>0.0</v>
      </c>
      <c r="AT200" s="68">
        <v>0.0</v>
      </c>
      <c r="AU200" s="68">
        <v>0.0</v>
      </c>
      <c r="AV200" s="68">
        <v>0.0</v>
      </c>
      <c r="AW200" s="68">
        <v>0.0</v>
      </c>
      <c r="AX200" s="68">
        <v>0.0</v>
      </c>
      <c r="AY200" s="68">
        <v>0.0</v>
      </c>
      <c r="AZ200" s="68">
        <v>0.0</v>
      </c>
      <c r="BA200" s="68">
        <v>0.0</v>
      </c>
      <c r="BB200" s="68">
        <v>9.18</v>
      </c>
      <c r="BC200" s="68" t="s">
        <v>106</v>
      </c>
      <c r="BD200" s="68"/>
      <c r="BG200" s="70">
        <v>-10.2</v>
      </c>
      <c r="BH200" s="68" t="s">
        <v>107</v>
      </c>
      <c r="BI200" s="68" t="s">
        <v>108</v>
      </c>
      <c r="BJ200" s="68" t="s">
        <v>109</v>
      </c>
      <c r="BK200" s="68" t="s">
        <v>381</v>
      </c>
      <c r="BM200" s="68"/>
      <c r="BN200" s="70" t="s">
        <v>111</v>
      </c>
      <c r="BO200" s="68" t="s">
        <v>112</v>
      </c>
      <c r="BP200" s="68" t="s">
        <v>113</v>
      </c>
      <c r="BQ200" s="68" t="s">
        <v>114</v>
      </c>
      <c r="BR200" s="68">
        <v>3.06</v>
      </c>
      <c r="BS200" s="68"/>
      <c r="BW200" s="64" t="str">
        <f>if(OR(F200="SALE",F200="REFUNDED"),IFERROR(Vlookup(I200,'Listing SKU - Fill SKU Mapping'!A:C,3,false),"Map"),"")</f>
        <v>Keystone</v>
      </c>
      <c r="BX200" s="64" t="str">
        <f>IF(OR(F200="SALE",F200="REFUNDED")=TRUE,iferror(Vlookup(I200,'Listing SKU - Fill SKU Mapping'!A:B,2,false),"Map"),"")</f>
        <v>IMP340BLK</v>
      </c>
      <c r="BY200" s="64">
        <f>IF(OR(F200="SALE",F200="REFUNDED")=TRUE,iferror(Vlookup(I200,'Listing SKU - Fill SKU Mapping'!A:D,4,false),"Map"),"")</f>
        <v>45.76</v>
      </c>
      <c r="BZ200" s="66">
        <f t="shared" si="1"/>
        <v>11.5</v>
      </c>
      <c r="CA200" s="66">
        <f t="shared" si="2"/>
        <v>57.26</v>
      </c>
      <c r="CB200" s="66">
        <f t="shared" si="3"/>
        <v>37.58</v>
      </c>
      <c r="CC200" s="64" t="str">
        <f>if(F200="REFUNDED",iferror(Vlookup(I200,'Listing SKU - Fill SKU Mapping'!A:B,2,false),"Map"),"")</f>
        <v/>
      </c>
      <c r="CD200" s="64" t="str">
        <f>if(F200="REFUNDED",iferror(Vlookup(I200,'Listing SKU - Fill SKU Mapping'!A:C,3,false),"Map"),"")</f>
        <v/>
      </c>
      <c r="CE200" s="64" t="str">
        <f t="shared" si="4"/>
        <v>2025</v>
      </c>
      <c r="CF200" s="64" t="str">
        <f t="shared" si="5"/>
        <v>August</v>
      </c>
      <c r="CG200" s="64" t="str">
        <f t="shared" si="6"/>
        <v/>
      </c>
    </row>
    <row r="201">
      <c r="A201" s="55">
        <v>2.0001E14</v>
      </c>
      <c r="B201" s="56">
        <v>1.0</v>
      </c>
      <c r="C201" s="57">
        <v>1.2902E14</v>
      </c>
      <c r="D201" s="58">
        <v>1.0</v>
      </c>
      <c r="F201" s="59" t="s">
        <v>100</v>
      </c>
      <c r="G201" s="60">
        <v>45887.0</v>
      </c>
      <c r="H201" s="58">
        <v>1.0</v>
      </c>
      <c r="I201" s="58" t="s">
        <v>365</v>
      </c>
      <c r="J201" s="61">
        <v>4.65595333757E11</v>
      </c>
      <c r="K201" s="63"/>
      <c r="L201" s="63"/>
      <c r="M201" s="63"/>
      <c r="N201" s="63"/>
      <c r="O201" s="63"/>
      <c r="P201" s="63"/>
      <c r="Q201" s="63"/>
      <c r="R201" s="63"/>
      <c r="S201" s="63"/>
      <c r="T201" s="58" t="s">
        <v>105</v>
      </c>
      <c r="U201" s="59">
        <v>100.65</v>
      </c>
      <c r="V201" s="59">
        <v>86.47</v>
      </c>
      <c r="W201" s="58">
        <v>6.51</v>
      </c>
      <c r="X201" s="58">
        <v>7.0</v>
      </c>
      <c r="Y201" s="68">
        <v>92.98</v>
      </c>
      <c r="Z201" s="69">
        <v>0.0</v>
      </c>
      <c r="AA201" s="68">
        <v>0.0</v>
      </c>
      <c r="AB201" s="68">
        <v>0.0</v>
      </c>
      <c r="AC201" s="68">
        <v>0.0</v>
      </c>
      <c r="AD201" s="68">
        <v>0.0</v>
      </c>
      <c r="AE201" s="68">
        <v>0.0</v>
      </c>
      <c r="AF201" s="68">
        <v>0.0</v>
      </c>
      <c r="AG201" s="68">
        <v>0.0</v>
      </c>
      <c r="AH201" s="68">
        <v>0.0</v>
      </c>
      <c r="AI201" s="68">
        <v>0.0</v>
      </c>
      <c r="AJ201" s="68">
        <v>0.0</v>
      </c>
      <c r="AK201" s="68">
        <v>0.0</v>
      </c>
      <c r="AL201" s="68">
        <v>0.0</v>
      </c>
      <c r="AM201" s="68">
        <v>0.0</v>
      </c>
      <c r="AN201" s="68">
        <v>0.0</v>
      </c>
      <c r="AO201" s="68">
        <v>7.67</v>
      </c>
      <c r="AP201" s="68">
        <v>0.0</v>
      </c>
      <c r="AQ201" s="68">
        <v>0.0</v>
      </c>
      <c r="AR201" s="68">
        <v>0.0</v>
      </c>
      <c r="AS201" s="68">
        <v>0.0</v>
      </c>
      <c r="AT201" s="68">
        <v>0.0</v>
      </c>
      <c r="AU201" s="68">
        <v>0.0</v>
      </c>
      <c r="AV201" s="68">
        <v>0.0</v>
      </c>
      <c r="AW201" s="68">
        <v>0.0</v>
      </c>
      <c r="AX201" s="68">
        <v>0.0</v>
      </c>
      <c r="AY201" s="68">
        <v>0.0</v>
      </c>
      <c r="AZ201" s="68">
        <v>0.0</v>
      </c>
      <c r="BA201" s="68">
        <v>0.0</v>
      </c>
      <c r="BB201" s="68">
        <v>7.67</v>
      </c>
      <c r="BC201" s="68" t="s">
        <v>106</v>
      </c>
      <c r="BD201" s="68"/>
      <c r="BG201" s="70">
        <v>-9.3</v>
      </c>
      <c r="BH201" s="68" t="s">
        <v>107</v>
      </c>
      <c r="BI201" s="68" t="s">
        <v>108</v>
      </c>
      <c r="BJ201" s="68" t="s">
        <v>109</v>
      </c>
      <c r="BK201" s="68" t="s">
        <v>381</v>
      </c>
      <c r="BM201" s="68"/>
      <c r="BN201" s="70" t="s">
        <v>111</v>
      </c>
      <c r="BO201" s="68" t="s">
        <v>112</v>
      </c>
      <c r="BP201" s="68" t="s">
        <v>113</v>
      </c>
      <c r="BQ201" s="68" t="s">
        <v>114</v>
      </c>
      <c r="BR201" s="68">
        <v>2.79</v>
      </c>
      <c r="BS201" s="68"/>
      <c r="BW201" s="64" t="str">
        <f>if(OR(F201="SALE",F201="REFUNDED"),IFERROR(Vlookup(I201,'Listing SKU - Fill SKU Mapping'!A:C,3,false),"Map"),"")</f>
        <v>Keystone</v>
      </c>
      <c r="BX201" s="64" t="str">
        <f>IF(OR(F201="SALE",F201="REFUNDED")=TRUE,iferror(Vlookup(I201,'Listing SKU - Fill SKU Mapping'!A:B,2,false),"Map"),"")</f>
        <v>IMP471BLK</v>
      </c>
      <c r="BY201" s="64">
        <f>IF(OR(F201="SALE",F201="REFUNDED")=TRUE,iferror(Vlookup(I201,'Listing SKU - Fill SKU Mapping'!A:D,4,false),"Map"),"")</f>
        <v>44.58</v>
      </c>
      <c r="BZ201" s="66">
        <f t="shared" si="1"/>
        <v>11.5</v>
      </c>
      <c r="CA201" s="66">
        <f t="shared" si="2"/>
        <v>56.08</v>
      </c>
      <c r="CB201" s="66">
        <f t="shared" si="3"/>
        <v>30.39</v>
      </c>
      <c r="CC201" s="64" t="str">
        <f>if(F201="REFUNDED",iferror(Vlookup(I201,'Listing SKU - Fill SKU Mapping'!A:B,2,false),"Map"),"")</f>
        <v/>
      </c>
      <c r="CD201" s="64" t="str">
        <f>if(F201="REFUNDED",iferror(Vlookup(I201,'Listing SKU - Fill SKU Mapping'!A:C,3,false),"Map"),"")</f>
        <v/>
      </c>
      <c r="CE201" s="64" t="str">
        <f t="shared" si="4"/>
        <v>2025</v>
      </c>
      <c r="CF201" s="64" t="str">
        <f t="shared" si="5"/>
        <v>August</v>
      </c>
      <c r="CG201" s="64" t="str">
        <f t="shared" si="6"/>
        <v/>
      </c>
    </row>
    <row r="202">
      <c r="A202" s="55">
        <v>2.0001E14</v>
      </c>
      <c r="B202" s="56">
        <v>3.0</v>
      </c>
      <c r="C202" s="57">
        <v>1.2902E14</v>
      </c>
      <c r="D202" s="58">
        <v>3.0</v>
      </c>
      <c r="F202" s="59" t="s">
        <v>100</v>
      </c>
      <c r="G202" s="60">
        <v>45881.0</v>
      </c>
      <c r="H202" s="58">
        <v>1.0</v>
      </c>
      <c r="I202" s="58" t="s">
        <v>120</v>
      </c>
      <c r="J202" s="61">
        <v>4.67129945498E11</v>
      </c>
      <c r="K202" s="63"/>
      <c r="L202" s="63"/>
      <c r="M202" s="63"/>
      <c r="N202" s="63"/>
      <c r="O202" s="63"/>
      <c r="P202" s="63"/>
      <c r="Q202" s="63"/>
      <c r="R202" s="63"/>
      <c r="S202" s="63"/>
      <c r="T202" s="58" t="s">
        <v>105</v>
      </c>
      <c r="U202" s="59">
        <v>73.5</v>
      </c>
      <c r="V202" s="59">
        <v>70.66</v>
      </c>
      <c r="W202" s="58">
        <v>5.32</v>
      </c>
      <c r="X202" s="58">
        <v>7.0</v>
      </c>
      <c r="Y202" s="68">
        <v>67.9</v>
      </c>
      <c r="Z202" s="69">
        <v>0.0</v>
      </c>
      <c r="AA202" s="68">
        <v>0.0</v>
      </c>
      <c r="AB202" s="68">
        <v>0.0</v>
      </c>
      <c r="AC202" s="68">
        <v>0.0</v>
      </c>
      <c r="AD202" s="68">
        <v>0.0</v>
      </c>
      <c r="AE202" s="68">
        <v>0.0</v>
      </c>
      <c r="AF202" s="68">
        <v>0.0</v>
      </c>
      <c r="AG202" s="68">
        <v>0.0</v>
      </c>
      <c r="AH202" s="68">
        <v>0.0</v>
      </c>
      <c r="AI202" s="68">
        <v>0.0</v>
      </c>
      <c r="AJ202" s="68">
        <v>0.0</v>
      </c>
      <c r="AK202" s="68">
        <v>0.0</v>
      </c>
      <c r="AL202" s="68">
        <v>0.0</v>
      </c>
      <c r="AM202" s="68">
        <v>0.0</v>
      </c>
      <c r="AN202" s="68">
        <v>0.0</v>
      </c>
      <c r="AO202" s="68">
        <v>5.6</v>
      </c>
      <c r="AP202" s="68">
        <v>0.0</v>
      </c>
      <c r="AQ202" s="68">
        <v>0.0</v>
      </c>
      <c r="AR202" s="68">
        <v>0.0</v>
      </c>
      <c r="AS202" s="68">
        <v>0.0</v>
      </c>
      <c r="AT202" s="68">
        <v>0.0</v>
      </c>
      <c r="AU202" s="68">
        <v>0.0</v>
      </c>
      <c r="AV202" s="68">
        <v>0.0</v>
      </c>
      <c r="AW202" s="68">
        <v>0.0</v>
      </c>
      <c r="AX202" s="68">
        <v>0.0</v>
      </c>
      <c r="AY202" s="68">
        <v>0.0</v>
      </c>
      <c r="AZ202" s="68">
        <v>0.0</v>
      </c>
      <c r="BA202" s="68">
        <v>0.0</v>
      </c>
      <c r="BB202" s="68">
        <v>5.6</v>
      </c>
      <c r="BC202" s="68" t="s">
        <v>106</v>
      </c>
      <c r="BD202" s="68"/>
      <c r="BF202" s="70">
        <v>75.98</v>
      </c>
      <c r="BG202" s="68">
        <v>-7.6</v>
      </c>
      <c r="BH202" s="68" t="s">
        <v>107</v>
      </c>
      <c r="BI202" s="68" t="s">
        <v>108</v>
      </c>
      <c r="BJ202" s="68" t="s">
        <v>109</v>
      </c>
      <c r="BK202" s="68" t="s">
        <v>372</v>
      </c>
      <c r="BM202" s="68"/>
      <c r="BN202" s="70" t="s">
        <v>111</v>
      </c>
      <c r="BO202" s="68" t="s">
        <v>112</v>
      </c>
      <c r="BP202" s="68" t="s">
        <v>113</v>
      </c>
      <c r="BQ202" s="68" t="s">
        <v>317</v>
      </c>
      <c r="BR202" s="68">
        <v>2.28</v>
      </c>
      <c r="BS202" s="68"/>
      <c r="BT202" s="70">
        <v>-8.08</v>
      </c>
      <c r="BU202" s="68" t="s">
        <v>318</v>
      </c>
      <c r="BW202" s="64" t="str">
        <f>if(OR(F202="SALE",F202="REFUNDED"),IFERROR(Vlookup(I202,'Listing SKU - Fill SKU Mapping'!A:C,3,false),"Map"),"")</f>
        <v>Keystone</v>
      </c>
      <c r="BX202" s="64" t="str">
        <f>IF(OR(F202="SALE",F202="REFUNDED")=TRUE,iferror(Vlookup(I202,'Listing SKU - Fill SKU Mapping'!A:B,2,false),"Map"),"")</f>
        <v>51917S</v>
      </c>
      <c r="BY202" s="64">
        <f>IF(OR(F202="SALE",F202="REFUNDED")=TRUE,iferror(Vlookup(I202,'Listing SKU - Fill SKU Mapping'!A:D,4,false),"Map"),"")</f>
        <v>27.22</v>
      </c>
      <c r="BZ202" s="66">
        <f t="shared" si="1"/>
        <v>11.5</v>
      </c>
      <c r="CA202" s="66">
        <f t="shared" si="2"/>
        <v>38.72</v>
      </c>
      <c r="CB202" s="66">
        <f t="shared" si="3"/>
        <v>31.94</v>
      </c>
      <c r="CC202" s="64" t="str">
        <f>if(F202="REFUNDED",iferror(Vlookup(I202,'Listing SKU - Fill SKU Mapping'!A:B,2,false),"Map"),"")</f>
        <v/>
      </c>
      <c r="CD202" s="64" t="str">
        <f>if(F202="REFUNDED",iferror(Vlookup(I202,'Listing SKU - Fill SKU Mapping'!A:C,3,false),"Map"),"")</f>
        <v/>
      </c>
      <c r="CE202" s="64" t="str">
        <f t="shared" si="4"/>
        <v>2025</v>
      </c>
      <c r="CF202" s="64" t="str">
        <f t="shared" si="5"/>
        <v>August</v>
      </c>
      <c r="CG202" s="64" t="str">
        <f t="shared" si="6"/>
        <v/>
      </c>
    </row>
    <row r="203">
      <c r="A203" s="55">
        <v>2.0001E14</v>
      </c>
      <c r="B203" s="56">
        <v>1.0</v>
      </c>
      <c r="C203" s="57">
        <v>1.2902E14</v>
      </c>
      <c r="D203" s="58">
        <v>1.0</v>
      </c>
      <c r="F203" s="59" t="s">
        <v>100</v>
      </c>
      <c r="G203" s="60">
        <v>45884.0</v>
      </c>
      <c r="H203" s="58">
        <v>1.0</v>
      </c>
      <c r="I203" s="58" t="s">
        <v>390</v>
      </c>
      <c r="J203" s="61">
        <v>4.60776230733E11</v>
      </c>
      <c r="K203" s="63"/>
      <c r="L203" s="63"/>
      <c r="M203" s="63"/>
      <c r="N203" s="63"/>
      <c r="O203" s="63"/>
      <c r="P203" s="63"/>
      <c r="Q203" s="63"/>
      <c r="R203" s="63"/>
      <c r="S203" s="63"/>
      <c r="T203" s="58" t="s">
        <v>105</v>
      </c>
      <c r="U203" s="59">
        <v>102.71</v>
      </c>
      <c r="V203" s="59">
        <v>100.42</v>
      </c>
      <c r="W203" s="58">
        <v>7.56</v>
      </c>
      <c r="X203" s="58">
        <v>7.0</v>
      </c>
      <c r="Y203" s="68">
        <v>96.9</v>
      </c>
      <c r="Z203" s="69">
        <v>0.0</v>
      </c>
      <c r="AA203" s="68">
        <v>0.0</v>
      </c>
      <c r="AB203" s="68">
        <v>0.0</v>
      </c>
      <c r="AC203" s="68">
        <v>0.0</v>
      </c>
      <c r="AD203" s="68">
        <v>0.0</v>
      </c>
      <c r="AE203" s="68">
        <v>0.0</v>
      </c>
      <c r="AF203" s="68">
        <v>0.0</v>
      </c>
      <c r="AG203" s="68">
        <v>0.0</v>
      </c>
      <c r="AH203" s="68">
        <v>0.0</v>
      </c>
      <c r="AI203" s="68">
        <v>0.0</v>
      </c>
      <c r="AJ203" s="68">
        <v>0.0</v>
      </c>
      <c r="AK203" s="68">
        <v>0.0</v>
      </c>
      <c r="AL203" s="68">
        <v>0.0</v>
      </c>
      <c r="AM203" s="68">
        <v>0.0</v>
      </c>
      <c r="AN203" s="68">
        <v>0.0</v>
      </c>
      <c r="AO203" s="68">
        <v>5.81</v>
      </c>
      <c r="AP203" s="68">
        <v>0.0</v>
      </c>
      <c r="AQ203" s="68">
        <v>0.0</v>
      </c>
      <c r="AR203" s="68">
        <v>0.0</v>
      </c>
      <c r="AS203" s="68">
        <v>0.0</v>
      </c>
      <c r="AT203" s="68">
        <v>0.0</v>
      </c>
      <c r="AU203" s="68">
        <v>0.0</v>
      </c>
      <c r="AV203" s="68">
        <v>0.0</v>
      </c>
      <c r="AW203" s="68">
        <v>0.0</v>
      </c>
      <c r="AX203" s="68">
        <v>0.0</v>
      </c>
      <c r="AY203" s="68">
        <v>0.0</v>
      </c>
      <c r="AZ203" s="68">
        <v>0.0</v>
      </c>
      <c r="BA203" s="68">
        <v>0.0</v>
      </c>
      <c r="BB203" s="68">
        <v>5.81</v>
      </c>
      <c r="BC203" s="68" t="s">
        <v>106</v>
      </c>
      <c r="BD203" s="68"/>
      <c r="BF203" s="70">
        <v>107.98</v>
      </c>
      <c r="BG203" s="68">
        <v>-10.8</v>
      </c>
      <c r="BH203" s="68" t="s">
        <v>107</v>
      </c>
      <c r="BI203" s="68" t="s">
        <v>108</v>
      </c>
      <c r="BJ203" s="68" t="s">
        <v>109</v>
      </c>
      <c r="BK203" s="68" t="s">
        <v>372</v>
      </c>
      <c r="BM203" s="68"/>
      <c r="BN203" s="70" t="s">
        <v>111</v>
      </c>
      <c r="BO203" s="68" t="s">
        <v>112</v>
      </c>
      <c r="BP203" s="68" t="s">
        <v>113</v>
      </c>
      <c r="BQ203" s="68" t="s">
        <v>317</v>
      </c>
      <c r="BR203" s="68">
        <v>3.24</v>
      </c>
      <c r="BS203" s="68"/>
      <c r="BT203" s="70">
        <v>-11.08</v>
      </c>
      <c r="BU203" s="68" t="s">
        <v>318</v>
      </c>
      <c r="BW203" s="64" t="str">
        <f>if(OR(F203="SALE",F203="REFUNDED"),IFERROR(Vlookup(I203,'Listing SKU - Fill SKU Mapping'!A:C,3,false),"Map"),"")</f>
        <v>Keystone</v>
      </c>
      <c r="BX203" s="64" t="str">
        <f>IF(OR(F203="SALE",F203="REFUNDED")=TRUE,iferror(Vlookup(I203,'Listing SKU - Fill SKU Mapping'!A:B,2,false),"Map"),"")</f>
        <v>IMP19X</v>
      </c>
      <c r="BY203" s="64">
        <f>IF(OR(F203="SALE",F203="REFUNDED")=TRUE,iferror(Vlookup(I203,'Listing SKU - Fill SKU Mapping'!A:D,4,false),"Map"),"")</f>
        <v>49.71</v>
      </c>
      <c r="BZ203" s="66">
        <f t="shared" si="1"/>
        <v>11.5</v>
      </c>
      <c r="CA203" s="66">
        <f t="shared" si="2"/>
        <v>61.21</v>
      </c>
      <c r="CB203" s="66">
        <f t="shared" si="3"/>
        <v>39.21</v>
      </c>
      <c r="CC203" s="64" t="str">
        <f>if(F203="REFUNDED",iferror(Vlookup(I203,'Listing SKU - Fill SKU Mapping'!A:B,2,false),"Map"),"")</f>
        <v/>
      </c>
      <c r="CD203" s="64" t="str">
        <f>if(F203="REFUNDED",iferror(Vlookup(I203,'Listing SKU - Fill SKU Mapping'!A:C,3,false),"Map"),"")</f>
        <v/>
      </c>
      <c r="CE203" s="64" t="str">
        <f t="shared" si="4"/>
        <v>2025</v>
      </c>
      <c r="CF203" s="64" t="str">
        <f t="shared" si="5"/>
        <v>August</v>
      </c>
      <c r="CG203" s="64" t="str">
        <f t="shared" si="6"/>
        <v/>
      </c>
    </row>
    <row r="204">
      <c r="A204" s="55">
        <v>2.0001E14</v>
      </c>
      <c r="B204" s="56">
        <v>2.0</v>
      </c>
      <c r="C204" s="57">
        <v>1.2902E14</v>
      </c>
      <c r="D204" s="58">
        <v>2.0</v>
      </c>
      <c r="F204" s="59" t="s">
        <v>100</v>
      </c>
      <c r="G204" s="60">
        <v>45883.0</v>
      </c>
      <c r="H204" s="58">
        <v>1.0</v>
      </c>
      <c r="I204" s="58" t="s">
        <v>391</v>
      </c>
      <c r="J204" s="61">
        <v>4.6712993414E11</v>
      </c>
      <c r="K204" s="63"/>
      <c r="L204" s="63"/>
      <c r="M204" s="63"/>
      <c r="N204" s="63"/>
      <c r="O204" s="63"/>
      <c r="P204" s="63"/>
      <c r="Q204" s="63"/>
      <c r="R204" s="63"/>
      <c r="S204" s="63"/>
      <c r="U204" s="71"/>
      <c r="V204" s="71"/>
      <c r="Z204" s="71"/>
      <c r="BW204" s="64" t="str">
        <f>if(OR(F204="SALE",F204="REFUNDED"),IFERROR(Vlookup(I204,'Listing SKU - Fill SKU Mapping'!A:C,3,false),"Map"),"")</f>
        <v>Keystone</v>
      </c>
      <c r="BX204" s="64" t="str">
        <f>IF(OR(F204="SALE",F204="REFUNDED")=TRUE,iferror(Vlookup(I204,'Listing SKU - Fill SKU Mapping'!A:B,2,false),"Map"),"")</f>
        <v>45717C</v>
      </c>
      <c r="BY204" s="64">
        <f>IF(OR(F204="SALE",F204="REFUNDED")=TRUE,iferror(Vlookup(I204,'Listing SKU - Fill SKU Mapping'!A:D,4,false),"Map"),"")</f>
        <v>44.58</v>
      </c>
      <c r="BZ204" s="66">
        <f t="shared" si="1"/>
        <v>11.5</v>
      </c>
      <c r="CA204" s="66">
        <f t="shared" si="2"/>
        <v>56.08</v>
      </c>
      <c r="CB204" s="66">
        <f t="shared" si="3"/>
        <v>-56.08</v>
      </c>
      <c r="CC204" s="64" t="str">
        <f>if(F204="REFUNDED",iferror(Vlookup(I204,'Listing SKU - Fill SKU Mapping'!A:B,2,false),"Map"),"")</f>
        <v/>
      </c>
      <c r="CD204" s="64" t="str">
        <f>if(F204="REFUNDED",iferror(Vlookup(I204,'Listing SKU - Fill SKU Mapping'!A:C,3,false),"Map"),"")</f>
        <v/>
      </c>
      <c r="CE204" s="64" t="str">
        <f t="shared" si="4"/>
        <v>2025</v>
      </c>
      <c r="CF204" s="64" t="str">
        <f t="shared" si="5"/>
        <v>August</v>
      </c>
      <c r="CG204" s="64" t="str">
        <f t="shared" si="6"/>
        <v/>
      </c>
    </row>
    <row r="205">
      <c r="A205" s="55">
        <v>2.0001E14</v>
      </c>
      <c r="B205" s="56">
        <v>1.0</v>
      </c>
      <c r="C205" s="57">
        <v>1.2902E14</v>
      </c>
      <c r="D205" s="58">
        <v>1.0</v>
      </c>
      <c r="F205" s="59" t="s">
        <v>100</v>
      </c>
      <c r="G205" s="60">
        <v>45904.0</v>
      </c>
      <c r="H205" s="58">
        <v>1.0</v>
      </c>
      <c r="I205" s="58" t="s">
        <v>291</v>
      </c>
      <c r="J205" s="61">
        <v>4.67129915064E11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58" t="s">
        <v>105</v>
      </c>
      <c r="U205" s="59">
        <v>93.26</v>
      </c>
      <c r="V205" s="59">
        <v>81.82</v>
      </c>
      <c r="W205" s="58">
        <v>6.16</v>
      </c>
      <c r="X205" s="58">
        <v>7.0</v>
      </c>
      <c r="Y205" s="68">
        <v>87.98</v>
      </c>
      <c r="Z205" s="69">
        <v>0.0</v>
      </c>
      <c r="AA205" s="68">
        <v>0.0</v>
      </c>
      <c r="AB205" s="68">
        <v>0.0</v>
      </c>
      <c r="AC205" s="68">
        <v>0.0</v>
      </c>
      <c r="AD205" s="68">
        <v>0.0</v>
      </c>
      <c r="AE205" s="68">
        <v>0.0</v>
      </c>
      <c r="AF205" s="68">
        <v>0.0</v>
      </c>
      <c r="AG205" s="68">
        <v>0.0</v>
      </c>
      <c r="AH205" s="68">
        <v>0.0</v>
      </c>
      <c r="AI205" s="68">
        <v>0.0</v>
      </c>
      <c r="AJ205" s="68">
        <v>0.0</v>
      </c>
      <c r="AK205" s="68">
        <v>0.0</v>
      </c>
      <c r="AL205" s="68">
        <v>0.0</v>
      </c>
      <c r="AM205" s="68">
        <v>0.0</v>
      </c>
      <c r="AN205" s="68">
        <v>0.0</v>
      </c>
      <c r="AO205" s="68">
        <v>5.28</v>
      </c>
      <c r="AP205" s="68">
        <v>0.0</v>
      </c>
      <c r="AQ205" s="68">
        <v>0.0</v>
      </c>
      <c r="AR205" s="68">
        <v>0.0</v>
      </c>
      <c r="AS205" s="68">
        <v>0.0</v>
      </c>
      <c r="AT205" s="68">
        <v>0.0</v>
      </c>
      <c r="AU205" s="68">
        <v>0.0</v>
      </c>
      <c r="AV205" s="68">
        <v>0.0</v>
      </c>
      <c r="AW205" s="68">
        <v>0.0</v>
      </c>
      <c r="AX205" s="68">
        <v>0.0</v>
      </c>
      <c r="AY205" s="68">
        <v>0.0</v>
      </c>
      <c r="AZ205" s="68">
        <v>0.0</v>
      </c>
      <c r="BA205" s="68">
        <v>0.0</v>
      </c>
      <c r="BB205" s="68">
        <v>5.28</v>
      </c>
      <c r="BC205" s="68" t="s">
        <v>106</v>
      </c>
      <c r="BD205" s="68"/>
      <c r="BG205" s="70">
        <v>-8.8</v>
      </c>
      <c r="BH205" s="68" t="s">
        <v>107</v>
      </c>
      <c r="BI205" s="68" t="s">
        <v>108</v>
      </c>
      <c r="BJ205" s="68" t="s">
        <v>109</v>
      </c>
      <c r="BK205" s="68" t="s">
        <v>333</v>
      </c>
      <c r="BM205" s="68"/>
      <c r="BN205" s="70" t="s">
        <v>111</v>
      </c>
      <c r="BO205" s="68" t="s">
        <v>112</v>
      </c>
      <c r="BP205" s="68" t="s">
        <v>113</v>
      </c>
      <c r="BQ205" s="68" t="s">
        <v>348</v>
      </c>
      <c r="BR205" s="68">
        <v>2.64</v>
      </c>
      <c r="BS205" s="68"/>
      <c r="BW205" s="64" t="str">
        <f>if(OR(F205="SALE",F205="REFUNDED"),IFERROR(Vlookup(I205,'Listing SKU - Fill SKU Mapping'!A:C,3,false),"Map"),"")</f>
        <v>Keystone</v>
      </c>
      <c r="BX205" s="64" t="str">
        <f>IF(OR(F205="SALE",F205="REFUNDED")=TRUE,iferror(Vlookup(I205,'Listing SKU - Fill SKU Mapping'!A:B,2,false),"Map"),"")</f>
        <v>47218S</v>
      </c>
      <c r="BY205" s="64">
        <f>IF(OR(F205="SALE",F205="REFUNDED")=TRUE,iferror(Vlookup(I205,'Listing SKU - Fill SKU Mapping'!A:D,4,false),"Map"),"")</f>
        <v>34.71</v>
      </c>
      <c r="BZ205" s="66">
        <f t="shared" si="1"/>
        <v>11.5</v>
      </c>
      <c r="CA205" s="66">
        <f t="shared" si="2"/>
        <v>46.21</v>
      </c>
      <c r="CB205" s="66">
        <f t="shared" si="3"/>
        <v>35.61</v>
      </c>
      <c r="CC205" s="64" t="str">
        <f>if(F205="REFUNDED",iferror(Vlookup(I205,'Listing SKU - Fill SKU Mapping'!A:B,2,false),"Map"),"")</f>
        <v/>
      </c>
      <c r="CD205" s="64" t="str">
        <f>if(F205="REFUNDED",iferror(Vlookup(I205,'Listing SKU - Fill SKU Mapping'!A:C,3,false),"Map"),"")</f>
        <v/>
      </c>
      <c r="CE205" s="64" t="str">
        <f t="shared" si="4"/>
        <v>2025</v>
      </c>
      <c r="CF205" s="64" t="str">
        <f t="shared" si="5"/>
        <v>September</v>
      </c>
      <c r="CG205" s="64" t="str">
        <f t="shared" si="6"/>
        <v/>
      </c>
    </row>
    <row r="206">
      <c r="A206" s="55">
        <v>2.0001E14</v>
      </c>
      <c r="B206" s="56">
        <v>3.0</v>
      </c>
      <c r="C206" s="57">
        <v>1.1902E14</v>
      </c>
      <c r="D206" s="58">
        <v>3.0</v>
      </c>
      <c r="F206" s="59" t="s">
        <v>100</v>
      </c>
      <c r="G206" s="60">
        <v>45902.0</v>
      </c>
      <c r="H206" s="58">
        <v>1.0</v>
      </c>
      <c r="I206" s="58" t="s">
        <v>330</v>
      </c>
      <c r="J206" s="61">
        <v>4.67129958757E11</v>
      </c>
      <c r="K206" s="63"/>
      <c r="L206" s="63"/>
      <c r="M206" s="63"/>
      <c r="N206" s="63"/>
      <c r="O206" s="63"/>
      <c r="P206" s="63"/>
      <c r="Q206" s="63"/>
      <c r="R206" s="63"/>
      <c r="S206" s="63"/>
      <c r="T206" s="58" t="s">
        <v>105</v>
      </c>
      <c r="U206" s="59">
        <v>88.45</v>
      </c>
      <c r="V206" s="59">
        <v>85.54</v>
      </c>
      <c r="W206" s="58">
        <v>6.44</v>
      </c>
      <c r="X206" s="58">
        <v>7.0</v>
      </c>
      <c r="Y206" s="68">
        <v>81.9</v>
      </c>
      <c r="Z206" s="69">
        <v>0.0</v>
      </c>
      <c r="AA206" s="68">
        <v>0.0</v>
      </c>
      <c r="AB206" s="68">
        <v>0.0</v>
      </c>
      <c r="AC206" s="68">
        <v>0.0</v>
      </c>
      <c r="AD206" s="68">
        <v>0.0</v>
      </c>
      <c r="AE206" s="68">
        <v>0.0</v>
      </c>
      <c r="AF206" s="68">
        <v>0.0</v>
      </c>
      <c r="AG206" s="68">
        <v>0.0</v>
      </c>
      <c r="AH206" s="68">
        <v>0.0</v>
      </c>
      <c r="AI206" s="68">
        <v>0.0</v>
      </c>
      <c r="AJ206" s="68">
        <v>0.0</v>
      </c>
      <c r="AK206" s="68">
        <v>0.0</v>
      </c>
      <c r="AL206" s="68">
        <v>0.0</v>
      </c>
      <c r="AM206" s="68">
        <v>0.0</v>
      </c>
      <c r="AN206" s="68">
        <v>0.0</v>
      </c>
      <c r="AO206" s="68">
        <v>6.55</v>
      </c>
      <c r="AP206" s="68">
        <v>0.0</v>
      </c>
      <c r="AQ206" s="68">
        <v>0.0</v>
      </c>
      <c r="AR206" s="68">
        <v>0.0</v>
      </c>
      <c r="AS206" s="68">
        <v>0.0</v>
      </c>
      <c r="AT206" s="68">
        <v>0.0</v>
      </c>
      <c r="AU206" s="68">
        <v>0.0</v>
      </c>
      <c r="AV206" s="68">
        <v>0.0</v>
      </c>
      <c r="AW206" s="68">
        <v>0.0</v>
      </c>
      <c r="AX206" s="68">
        <v>0.0</v>
      </c>
      <c r="AY206" s="68">
        <v>0.0</v>
      </c>
      <c r="AZ206" s="68">
        <v>0.0</v>
      </c>
      <c r="BA206" s="68">
        <v>0.0</v>
      </c>
      <c r="BB206" s="68">
        <v>6.55</v>
      </c>
      <c r="BC206" s="68" t="s">
        <v>106</v>
      </c>
      <c r="BD206" s="68"/>
      <c r="BF206" s="70">
        <v>91.98</v>
      </c>
      <c r="BG206" s="68">
        <v>-9.2</v>
      </c>
      <c r="BH206" s="68" t="s">
        <v>107</v>
      </c>
      <c r="BI206" s="68" t="s">
        <v>108</v>
      </c>
      <c r="BJ206" s="68" t="s">
        <v>109</v>
      </c>
      <c r="BK206" s="68" t="s">
        <v>333</v>
      </c>
      <c r="BM206" s="68"/>
      <c r="BN206" s="70" t="s">
        <v>111</v>
      </c>
      <c r="BO206" s="68" t="s">
        <v>112</v>
      </c>
      <c r="BP206" s="68" t="s">
        <v>113</v>
      </c>
      <c r="BQ206" s="68" t="s">
        <v>317</v>
      </c>
      <c r="BR206" s="68">
        <v>2.76</v>
      </c>
      <c r="BS206" s="68"/>
      <c r="BT206" s="70">
        <v>-10.08</v>
      </c>
      <c r="BU206" s="68" t="s">
        <v>318</v>
      </c>
      <c r="BW206" s="64" t="str">
        <f>if(OR(F206="SALE",F206="REFUNDED"),IFERROR(Vlookup(I206,'Listing SKU - Fill SKU Mapping'!A:C,3,false),"Map"),"")</f>
        <v>Keystone</v>
      </c>
      <c r="BX206" s="64" t="str">
        <f>IF(OR(F206="SALE",F206="REFUNDED")=TRUE,iferror(Vlookup(I206,'Listing SKU - Fill SKU Mapping'!A:B,2,false),"Map"),"")</f>
        <v>51817SB</v>
      </c>
      <c r="BY206" s="64">
        <f>IF(OR(F206="SALE",F206="REFUNDED")=TRUE,iferror(Vlookup(I206,'Listing SKU - Fill SKU Mapping'!A:D,4,false),"Map"),"")</f>
        <v>37.08</v>
      </c>
      <c r="BZ206" s="66">
        <f t="shared" si="1"/>
        <v>11.5</v>
      </c>
      <c r="CA206" s="66">
        <f t="shared" si="2"/>
        <v>48.58</v>
      </c>
      <c r="CB206" s="66">
        <f t="shared" si="3"/>
        <v>36.96</v>
      </c>
      <c r="CC206" s="64" t="str">
        <f>if(F206="REFUNDED",iferror(Vlookup(I206,'Listing SKU - Fill SKU Mapping'!A:B,2,false),"Map"),"")</f>
        <v/>
      </c>
      <c r="CD206" s="64" t="str">
        <f>if(F206="REFUNDED",iferror(Vlookup(I206,'Listing SKU - Fill SKU Mapping'!A:C,3,false),"Map"),"")</f>
        <v/>
      </c>
      <c r="CE206" s="64" t="str">
        <f t="shared" si="4"/>
        <v>2025</v>
      </c>
      <c r="CF206" s="64" t="str">
        <f t="shared" si="5"/>
        <v>September</v>
      </c>
      <c r="CG206" s="64" t="str">
        <f t="shared" si="6"/>
        <v/>
      </c>
    </row>
    <row r="207">
      <c r="A207" s="55">
        <v>2.0001E14</v>
      </c>
      <c r="B207" s="56">
        <v>1.0</v>
      </c>
      <c r="C207" s="57">
        <v>1.2902E14</v>
      </c>
      <c r="D207" s="58">
        <v>1.0</v>
      </c>
      <c r="F207" s="59" t="s">
        <v>100</v>
      </c>
      <c r="G207" s="60">
        <v>45903.0</v>
      </c>
      <c r="H207" s="58">
        <v>1.0</v>
      </c>
      <c r="I207" s="58" t="s">
        <v>347</v>
      </c>
      <c r="J207" s="61">
        <v>4.67129950577E11</v>
      </c>
      <c r="K207" s="63"/>
      <c r="L207" s="63"/>
      <c r="M207" s="63"/>
      <c r="N207" s="63"/>
      <c r="O207" s="63"/>
      <c r="P207" s="63"/>
      <c r="Q207" s="63"/>
      <c r="R207" s="63"/>
      <c r="S207" s="63"/>
      <c r="T207" s="58" t="s">
        <v>105</v>
      </c>
      <c r="U207" s="59">
        <v>86.29</v>
      </c>
      <c r="V207" s="59">
        <v>73.45</v>
      </c>
      <c r="W207" s="58">
        <v>5.53</v>
      </c>
      <c r="X207" s="58">
        <v>7.0</v>
      </c>
      <c r="Y207" s="68">
        <v>78.98</v>
      </c>
      <c r="Z207" s="69">
        <v>0.0</v>
      </c>
      <c r="AA207" s="68">
        <v>0.0</v>
      </c>
      <c r="AB207" s="68">
        <v>0.0</v>
      </c>
      <c r="AC207" s="68">
        <v>0.0</v>
      </c>
      <c r="AD207" s="68">
        <v>0.0</v>
      </c>
      <c r="AE207" s="68">
        <v>0.0</v>
      </c>
      <c r="AF207" s="68">
        <v>0.0</v>
      </c>
      <c r="AG207" s="68">
        <v>0.0</v>
      </c>
      <c r="AH207" s="68">
        <v>0.0</v>
      </c>
      <c r="AI207" s="68">
        <v>0.0</v>
      </c>
      <c r="AJ207" s="68">
        <v>0.0</v>
      </c>
      <c r="AK207" s="68">
        <v>0.0</v>
      </c>
      <c r="AL207" s="68">
        <v>0.0</v>
      </c>
      <c r="AM207" s="68">
        <v>0.0</v>
      </c>
      <c r="AN207" s="68">
        <v>0.0</v>
      </c>
      <c r="AO207" s="68">
        <v>7.31</v>
      </c>
      <c r="AP207" s="68">
        <v>0.0</v>
      </c>
      <c r="AQ207" s="68">
        <v>0.0</v>
      </c>
      <c r="AR207" s="68">
        <v>0.0</v>
      </c>
      <c r="AS207" s="68">
        <v>0.0</v>
      </c>
      <c r="AT207" s="68">
        <v>0.0</v>
      </c>
      <c r="AU207" s="68">
        <v>0.0</v>
      </c>
      <c r="AV207" s="68">
        <v>0.0</v>
      </c>
      <c r="AW207" s="68">
        <v>0.0</v>
      </c>
      <c r="AX207" s="68">
        <v>0.0</v>
      </c>
      <c r="AY207" s="68">
        <v>0.0</v>
      </c>
      <c r="AZ207" s="68">
        <v>0.0</v>
      </c>
      <c r="BA207" s="68">
        <v>0.0</v>
      </c>
      <c r="BB207" s="68">
        <v>7.31</v>
      </c>
      <c r="BC207" s="68" t="s">
        <v>106</v>
      </c>
      <c r="BD207" s="68"/>
      <c r="BG207" s="70">
        <v>-7.9</v>
      </c>
      <c r="BH207" s="68" t="s">
        <v>107</v>
      </c>
      <c r="BI207" s="68" t="s">
        <v>108</v>
      </c>
      <c r="BJ207" s="68" t="s">
        <v>109</v>
      </c>
      <c r="BK207" s="68" t="s">
        <v>333</v>
      </c>
      <c r="BM207" s="68"/>
      <c r="BN207" s="70" t="s">
        <v>111</v>
      </c>
      <c r="BO207" s="68" t="s">
        <v>112</v>
      </c>
      <c r="BP207" s="68" t="s">
        <v>113</v>
      </c>
      <c r="BQ207" s="68" t="s">
        <v>348</v>
      </c>
      <c r="BR207" s="68">
        <v>2.37</v>
      </c>
      <c r="BS207" s="68"/>
      <c r="BW207" s="64" t="str">
        <f>if(OR(F207="SALE",F207="REFUNDED"),IFERROR(Vlookup(I207,'Listing SKU - Fill SKU Mapping'!A:C,3,false),"Map"),"")</f>
        <v>Keystone</v>
      </c>
      <c r="BX207" s="64" t="str">
        <f>IF(OR(F207="SALE",F207="REFUNDED")=TRUE,iferror(Vlookup(I207,'Listing SKU - Fill SKU Mapping'!A:B,2,false),"Map"),"")</f>
        <v>51015S</v>
      </c>
      <c r="BY207" s="64">
        <f>IF(OR(F207="SALE",F207="REFUNDED")=TRUE,iferror(Vlookup(I207,'Listing SKU - Fill SKU Mapping'!A:D,4,false),"Map"),"")</f>
        <v>28.8</v>
      </c>
      <c r="BZ207" s="66">
        <f t="shared" si="1"/>
        <v>11.5</v>
      </c>
      <c r="CA207" s="66">
        <f t="shared" si="2"/>
        <v>40.3</v>
      </c>
      <c r="CB207" s="66">
        <f t="shared" si="3"/>
        <v>33.15</v>
      </c>
      <c r="CC207" s="64" t="str">
        <f>if(F207="REFUNDED",iferror(Vlookup(I207,'Listing SKU - Fill SKU Mapping'!A:B,2,false),"Map"),"")</f>
        <v/>
      </c>
      <c r="CD207" s="64" t="str">
        <f>if(F207="REFUNDED",iferror(Vlookup(I207,'Listing SKU - Fill SKU Mapping'!A:C,3,false),"Map"),"")</f>
        <v/>
      </c>
      <c r="CE207" s="64" t="str">
        <f t="shared" si="4"/>
        <v>2025</v>
      </c>
      <c r="CF207" s="64" t="str">
        <f t="shared" si="5"/>
        <v>September</v>
      </c>
      <c r="CG207" s="64" t="str">
        <f t="shared" si="6"/>
        <v/>
      </c>
    </row>
    <row r="208">
      <c r="A208" s="55">
        <v>2.0001E14</v>
      </c>
      <c r="B208" s="56">
        <v>1.0</v>
      </c>
      <c r="C208" s="57">
        <v>1.2902E14</v>
      </c>
      <c r="D208" s="58">
        <v>1.0</v>
      </c>
      <c r="F208" s="59" t="s">
        <v>100</v>
      </c>
      <c r="G208" s="60">
        <v>45895.0</v>
      </c>
      <c r="H208" s="58">
        <v>1.0</v>
      </c>
      <c r="I208" s="58" t="s">
        <v>338</v>
      </c>
      <c r="J208" s="61">
        <v>4.6712993485E11</v>
      </c>
      <c r="K208" s="63"/>
      <c r="L208" s="63"/>
      <c r="M208" s="63"/>
      <c r="N208" s="63"/>
      <c r="O208" s="63"/>
      <c r="P208" s="63"/>
      <c r="Q208" s="63"/>
      <c r="R208" s="63"/>
      <c r="S208" s="63"/>
      <c r="T208" s="58" t="s">
        <v>105</v>
      </c>
      <c r="U208" s="59">
        <v>91.78</v>
      </c>
      <c r="V208" s="59">
        <v>79.96</v>
      </c>
      <c r="W208" s="58">
        <v>6.02</v>
      </c>
      <c r="X208" s="58">
        <v>7.0</v>
      </c>
      <c r="Y208" s="68">
        <v>85.98</v>
      </c>
      <c r="Z208" s="69">
        <v>0.0</v>
      </c>
      <c r="AA208" s="68">
        <v>0.0</v>
      </c>
      <c r="AB208" s="68">
        <v>0.0</v>
      </c>
      <c r="AC208" s="68">
        <v>0.0</v>
      </c>
      <c r="AD208" s="68">
        <v>0.0</v>
      </c>
      <c r="AE208" s="68">
        <v>0.0</v>
      </c>
      <c r="AF208" s="68">
        <v>0.0</v>
      </c>
      <c r="AG208" s="68">
        <v>0.0</v>
      </c>
      <c r="AH208" s="68">
        <v>0.0</v>
      </c>
      <c r="AI208" s="68">
        <v>0.0</v>
      </c>
      <c r="AJ208" s="68">
        <v>0.0</v>
      </c>
      <c r="AK208" s="68">
        <v>0.0</v>
      </c>
      <c r="AL208" s="68">
        <v>0.0</v>
      </c>
      <c r="AM208" s="68">
        <v>0.0</v>
      </c>
      <c r="AN208" s="68">
        <v>0.0</v>
      </c>
      <c r="AO208" s="68">
        <v>5.8</v>
      </c>
      <c r="AP208" s="68">
        <v>0.0</v>
      </c>
      <c r="AQ208" s="68">
        <v>0.0</v>
      </c>
      <c r="AR208" s="68">
        <v>0.0</v>
      </c>
      <c r="AS208" s="68">
        <v>0.0</v>
      </c>
      <c r="AT208" s="68">
        <v>0.0</v>
      </c>
      <c r="AU208" s="68">
        <v>0.0</v>
      </c>
      <c r="AV208" s="68">
        <v>0.0</v>
      </c>
      <c r="AW208" s="68">
        <v>0.0</v>
      </c>
      <c r="AX208" s="68">
        <v>0.0</v>
      </c>
      <c r="AY208" s="68">
        <v>0.0</v>
      </c>
      <c r="AZ208" s="68">
        <v>0.0</v>
      </c>
      <c r="BA208" s="68">
        <v>0.0</v>
      </c>
      <c r="BB208" s="68">
        <v>5.8</v>
      </c>
      <c r="BC208" s="68" t="s">
        <v>106</v>
      </c>
      <c r="BD208" s="68"/>
      <c r="BG208" s="70">
        <v>-8.6</v>
      </c>
      <c r="BH208" s="68" t="s">
        <v>107</v>
      </c>
      <c r="BI208" s="68" t="s">
        <v>108</v>
      </c>
      <c r="BJ208" s="68" t="s">
        <v>109</v>
      </c>
      <c r="BK208" s="68" t="s">
        <v>392</v>
      </c>
      <c r="BM208" s="68"/>
      <c r="BN208" s="70" t="s">
        <v>111</v>
      </c>
      <c r="BO208" s="68" t="s">
        <v>112</v>
      </c>
      <c r="BP208" s="68" t="s">
        <v>113</v>
      </c>
      <c r="BQ208" s="68" t="s">
        <v>114</v>
      </c>
      <c r="BR208" s="68">
        <v>2.58</v>
      </c>
      <c r="BS208" s="68"/>
      <c r="BW208" s="64" t="str">
        <f>if(OR(F208="SALE",F208="REFUNDED"),IFERROR(Vlookup(I208,'Listing SKU - Fill SKU Mapping'!A:C,3,false),"Map"),"")</f>
        <v>Keystone</v>
      </c>
      <c r="BX208" s="64" t="str">
        <f>IF(OR(F208="SALE",F208="REFUNDED")=TRUE,iferror(Vlookup(I208,'Listing SKU - Fill SKU Mapping'!A:B,2,false),"Map"),"")</f>
        <v>54216BLK</v>
      </c>
      <c r="BY208" s="64">
        <f>IF(OR(F208="SALE",F208="REFUNDED")=TRUE,iferror(Vlookup(I208,'Listing SKU - Fill SKU Mapping'!A:D,4,false),"Map"),"")</f>
        <v>33.14</v>
      </c>
      <c r="BZ208" s="66">
        <f t="shared" si="1"/>
        <v>11.5</v>
      </c>
      <c r="CA208" s="66">
        <f t="shared" si="2"/>
        <v>44.64</v>
      </c>
      <c r="CB208" s="66">
        <f t="shared" si="3"/>
        <v>35.32</v>
      </c>
      <c r="CC208" s="64" t="str">
        <f>if(F208="REFUNDED",iferror(Vlookup(I208,'Listing SKU - Fill SKU Mapping'!A:B,2,false),"Map"),"")</f>
        <v/>
      </c>
      <c r="CD208" s="64" t="str">
        <f>if(F208="REFUNDED",iferror(Vlookup(I208,'Listing SKU - Fill SKU Mapping'!A:C,3,false),"Map"),"")</f>
        <v/>
      </c>
      <c r="CE208" s="64" t="str">
        <f t="shared" si="4"/>
        <v>2025</v>
      </c>
      <c r="CF208" s="64" t="str">
        <f t="shared" si="5"/>
        <v>August</v>
      </c>
      <c r="CG208" s="64" t="str">
        <f t="shared" si="6"/>
        <v/>
      </c>
    </row>
    <row r="209">
      <c r="A209" s="55">
        <v>2.0001E14</v>
      </c>
      <c r="B209" s="56">
        <v>3.0</v>
      </c>
      <c r="C209" s="57">
        <v>1.2902E14</v>
      </c>
      <c r="D209" s="58">
        <v>3.0</v>
      </c>
      <c r="F209" s="59" t="s">
        <v>100</v>
      </c>
      <c r="G209" s="60">
        <v>45896.0</v>
      </c>
      <c r="H209" s="58">
        <v>1.0</v>
      </c>
      <c r="I209" s="58" t="s">
        <v>393</v>
      </c>
      <c r="J209" s="61">
        <v>4.67129958375E11</v>
      </c>
      <c r="K209" s="63"/>
      <c r="L209" s="63"/>
      <c r="M209" s="63"/>
      <c r="N209" s="63"/>
      <c r="O209" s="63"/>
      <c r="P209" s="63"/>
      <c r="Q209" s="63"/>
      <c r="R209" s="63"/>
      <c r="S209" s="63"/>
      <c r="T209" s="58" t="s">
        <v>105</v>
      </c>
      <c r="U209" s="59">
        <v>61.51</v>
      </c>
      <c r="V209" s="59">
        <v>52.99</v>
      </c>
      <c r="W209" s="58">
        <v>3.99</v>
      </c>
      <c r="X209" s="58">
        <v>7.0</v>
      </c>
      <c r="Y209" s="68">
        <v>56.98</v>
      </c>
      <c r="Z209" s="69">
        <v>0.0</v>
      </c>
      <c r="AA209" s="68">
        <v>0.0</v>
      </c>
      <c r="AB209" s="68">
        <v>0.0</v>
      </c>
      <c r="AC209" s="68">
        <v>0.0</v>
      </c>
      <c r="AD209" s="68">
        <v>0.0</v>
      </c>
      <c r="AE209" s="68">
        <v>0.0</v>
      </c>
      <c r="AF209" s="68">
        <v>0.0</v>
      </c>
      <c r="AG209" s="68">
        <v>0.0</v>
      </c>
      <c r="AH209" s="68">
        <v>0.0</v>
      </c>
      <c r="AI209" s="68">
        <v>0.0</v>
      </c>
      <c r="AJ209" s="68">
        <v>0.0</v>
      </c>
      <c r="AK209" s="68">
        <v>0.0</v>
      </c>
      <c r="AL209" s="68">
        <v>0.0</v>
      </c>
      <c r="AM209" s="68">
        <v>0.0</v>
      </c>
      <c r="AN209" s="68">
        <v>0.0</v>
      </c>
      <c r="AO209" s="68">
        <v>4.53</v>
      </c>
      <c r="AP209" s="68">
        <v>0.0</v>
      </c>
      <c r="AQ209" s="68">
        <v>0.0</v>
      </c>
      <c r="AR209" s="68">
        <v>0.0</v>
      </c>
      <c r="AS209" s="68">
        <v>0.0</v>
      </c>
      <c r="AT209" s="68">
        <v>0.0</v>
      </c>
      <c r="AU209" s="68">
        <v>0.0</v>
      </c>
      <c r="AV209" s="68">
        <v>0.0</v>
      </c>
      <c r="AW209" s="68">
        <v>0.0</v>
      </c>
      <c r="AX209" s="68">
        <v>0.0</v>
      </c>
      <c r="AY209" s="68">
        <v>0.0</v>
      </c>
      <c r="AZ209" s="68">
        <v>0.0</v>
      </c>
      <c r="BA209" s="68">
        <v>0.0</v>
      </c>
      <c r="BB209" s="68">
        <v>4.53</v>
      </c>
      <c r="BC209" s="68" t="s">
        <v>106</v>
      </c>
      <c r="BD209" s="68"/>
      <c r="BG209" s="70">
        <v>-5.7</v>
      </c>
      <c r="BH209" s="68" t="s">
        <v>107</v>
      </c>
      <c r="BI209" s="68" t="s">
        <v>108</v>
      </c>
      <c r="BJ209" s="68" t="s">
        <v>109</v>
      </c>
      <c r="BK209" s="68" t="s">
        <v>392</v>
      </c>
      <c r="BM209" s="68"/>
      <c r="BN209" s="70" t="s">
        <v>111</v>
      </c>
      <c r="BO209" s="68" t="s">
        <v>112</v>
      </c>
      <c r="BP209" s="68" t="s">
        <v>113</v>
      </c>
      <c r="BQ209" s="68" t="s">
        <v>114</v>
      </c>
      <c r="BR209" s="68">
        <v>1.71</v>
      </c>
      <c r="BS209" s="68"/>
      <c r="BW209" s="64" t="str">
        <f>if(OR(F209="SALE",F209="REFUNDED"),IFERROR(Vlookup(I209,'Listing SKU - Fill SKU Mapping'!A:C,3,false),"Map"),"")</f>
        <v>Keystone</v>
      </c>
      <c r="BX209" s="64" t="str">
        <f>IF(OR(F209="SALE",F209="REFUNDED")=TRUE,iferror(Vlookup(I209,'Listing SKU - Fill SKU Mapping'!A:B,2,false),"Map"),"")</f>
        <v>B811115S</v>
      </c>
      <c r="BY209" s="64">
        <f>IF(OR(F209="SALE",F209="REFUNDED")=TRUE,iferror(Vlookup(I209,'Listing SKU - Fill SKU Mapping'!A:D,4,false),"Map"),"")</f>
        <v>14.99</v>
      </c>
      <c r="BZ209" s="66">
        <f t="shared" si="1"/>
        <v>11.5</v>
      </c>
      <c r="CA209" s="66">
        <f t="shared" si="2"/>
        <v>26.49</v>
      </c>
      <c r="CB209" s="66">
        <f t="shared" si="3"/>
        <v>26.5</v>
      </c>
      <c r="CC209" s="64" t="str">
        <f>if(F209="REFUNDED",iferror(Vlookup(I209,'Listing SKU - Fill SKU Mapping'!A:B,2,false),"Map"),"")</f>
        <v/>
      </c>
      <c r="CD209" s="64" t="str">
        <f>if(F209="REFUNDED",iferror(Vlookup(I209,'Listing SKU - Fill SKU Mapping'!A:C,3,false),"Map"),"")</f>
        <v/>
      </c>
      <c r="CE209" s="64" t="str">
        <f t="shared" si="4"/>
        <v>2025</v>
      </c>
      <c r="CF209" s="64" t="str">
        <f t="shared" si="5"/>
        <v>August</v>
      </c>
      <c r="CG209" s="64" t="str">
        <f t="shared" si="6"/>
        <v/>
      </c>
    </row>
    <row r="210">
      <c r="A210" s="55">
        <v>2.0001E14</v>
      </c>
      <c r="B210" s="56">
        <v>1.0</v>
      </c>
      <c r="C210" s="57">
        <v>1.2902E14</v>
      </c>
      <c r="D210" s="58">
        <v>1.0</v>
      </c>
      <c r="F210" s="59" t="s">
        <v>100</v>
      </c>
      <c r="G210" s="60">
        <v>45905.0</v>
      </c>
      <c r="H210" s="58">
        <v>1.0</v>
      </c>
      <c r="I210" s="58" t="s">
        <v>190</v>
      </c>
      <c r="J210" s="61">
        <v>4.6077623102E11</v>
      </c>
      <c r="K210" s="63"/>
      <c r="L210" s="63"/>
      <c r="M210" s="63"/>
      <c r="N210" s="63"/>
      <c r="O210" s="63"/>
      <c r="P210" s="63"/>
      <c r="Q210" s="63"/>
      <c r="R210" s="63"/>
      <c r="S210" s="63"/>
      <c r="T210" s="58" t="s">
        <v>105</v>
      </c>
      <c r="U210" s="59">
        <v>119.77</v>
      </c>
      <c r="V210" s="59">
        <v>115.3</v>
      </c>
      <c r="W210" s="58">
        <v>8.68</v>
      </c>
      <c r="X210" s="58">
        <v>7.0</v>
      </c>
      <c r="Y210" s="68">
        <v>111.93</v>
      </c>
      <c r="Z210" s="69">
        <v>0.0</v>
      </c>
      <c r="AA210" s="68">
        <v>0.0</v>
      </c>
      <c r="AB210" s="68">
        <v>0.0</v>
      </c>
      <c r="AC210" s="68">
        <v>0.0</v>
      </c>
      <c r="AD210" s="68">
        <v>0.0</v>
      </c>
      <c r="AE210" s="68">
        <v>0.0</v>
      </c>
      <c r="AF210" s="68">
        <v>0.0</v>
      </c>
      <c r="AG210" s="68">
        <v>0.0</v>
      </c>
      <c r="AH210" s="68">
        <v>0.0</v>
      </c>
      <c r="AI210" s="68">
        <v>0.0</v>
      </c>
      <c r="AJ210" s="68">
        <v>0.0</v>
      </c>
      <c r="AK210" s="68">
        <v>0.0</v>
      </c>
      <c r="AL210" s="68">
        <v>0.0</v>
      </c>
      <c r="AM210" s="68">
        <v>0.0</v>
      </c>
      <c r="AN210" s="68">
        <v>0.0</v>
      </c>
      <c r="AO210" s="68">
        <v>7.84</v>
      </c>
      <c r="AP210" s="68">
        <v>0.0</v>
      </c>
      <c r="AQ210" s="68">
        <v>0.0</v>
      </c>
      <c r="AR210" s="68">
        <v>0.0</v>
      </c>
      <c r="AS210" s="68">
        <v>0.0</v>
      </c>
      <c r="AT210" s="68">
        <v>0.0</v>
      </c>
      <c r="AU210" s="68">
        <v>0.0</v>
      </c>
      <c r="AV210" s="68">
        <v>0.0</v>
      </c>
      <c r="AW210" s="68">
        <v>0.0</v>
      </c>
      <c r="AX210" s="68">
        <v>0.0</v>
      </c>
      <c r="AY210" s="68">
        <v>0.0</v>
      </c>
      <c r="AZ210" s="68">
        <v>0.0</v>
      </c>
      <c r="BA210" s="68">
        <v>0.0</v>
      </c>
      <c r="BB210" s="68">
        <v>7.84</v>
      </c>
      <c r="BC210" s="68" t="s">
        <v>106</v>
      </c>
      <c r="BD210" s="68"/>
      <c r="BF210" s="70">
        <v>123.98</v>
      </c>
      <c r="BG210" s="68">
        <v>-12.4</v>
      </c>
      <c r="BH210" s="68" t="s">
        <v>107</v>
      </c>
      <c r="BI210" s="68" t="s">
        <v>108</v>
      </c>
      <c r="BJ210" s="68" t="s">
        <v>109</v>
      </c>
      <c r="BK210" s="68" t="s">
        <v>394</v>
      </c>
      <c r="BM210" s="68"/>
      <c r="BN210" s="70" t="s">
        <v>111</v>
      </c>
      <c r="BO210" s="68" t="s">
        <v>112</v>
      </c>
      <c r="BP210" s="68" t="s">
        <v>113</v>
      </c>
      <c r="BQ210" s="68" t="s">
        <v>317</v>
      </c>
      <c r="BR210" s="68">
        <v>3.72</v>
      </c>
      <c r="BS210" s="68"/>
      <c r="BT210" s="70">
        <v>-12.05</v>
      </c>
      <c r="BU210" s="68" t="s">
        <v>318</v>
      </c>
      <c r="BW210" s="64" t="str">
        <f>if(OR(F210="SALE",F210="REFUNDED"),IFERROR(Vlookup(I210,'Listing SKU - Fill SKU Mapping'!A:C,3,false),"Map"),"")</f>
        <v>Keystone</v>
      </c>
      <c r="BX210" s="64" t="str">
        <f>IF(OR(F210="SALE",F210="REFUNDED")=TRUE,iferror(Vlookup(I210,'Listing SKU - Fill SKU Mapping'!A:B,2,false),"Map"),"")</f>
        <v>IMP75X</v>
      </c>
      <c r="BY210" s="64">
        <f>IF(OR(F210="SALE",F210="REFUNDED")=TRUE,iferror(Vlookup(I210,'Listing SKU - Fill SKU Mapping'!A:D,4,false),"Map"),"")</f>
        <v>59.57</v>
      </c>
      <c r="BZ210" s="66">
        <f t="shared" si="1"/>
        <v>11.5</v>
      </c>
      <c r="CA210" s="66">
        <f t="shared" si="2"/>
        <v>71.07</v>
      </c>
      <c r="CB210" s="66">
        <f t="shared" si="3"/>
        <v>44.23</v>
      </c>
      <c r="CC210" s="64" t="str">
        <f>if(F210="REFUNDED",iferror(Vlookup(I210,'Listing SKU - Fill SKU Mapping'!A:B,2,false),"Map"),"")</f>
        <v/>
      </c>
      <c r="CD210" s="64" t="str">
        <f>if(F210="REFUNDED",iferror(Vlookup(I210,'Listing SKU - Fill SKU Mapping'!A:C,3,false),"Map"),"")</f>
        <v/>
      </c>
      <c r="CE210" s="64" t="str">
        <f t="shared" si="4"/>
        <v>2025</v>
      </c>
      <c r="CF210" s="64" t="str">
        <f t="shared" si="5"/>
        <v>September</v>
      </c>
      <c r="CG210" s="64" t="str">
        <f t="shared" si="6"/>
        <v/>
      </c>
    </row>
    <row r="211">
      <c r="A211" s="55">
        <v>2.0001E14</v>
      </c>
      <c r="B211" s="56">
        <v>1.0</v>
      </c>
      <c r="C211" s="57">
        <v>1.1902E14</v>
      </c>
      <c r="D211" s="58">
        <v>1.0</v>
      </c>
      <c r="F211" s="59" t="s">
        <v>100</v>
      </c>
      <c r="G211" s="60">
        <v>45894.0</v>
      </c>
      <c r="H211" s="58">
        <v>1.0</v>
      </c>
      <c r="I211" s="58" t="s">
        <v>361</v>
      </c>
      <c r="J211" s="61">
        <v>4.65595347495E11</v>
      </c>
      <c r="K211" s="63"/>
      <c r="L211" s="63"/>
      <c r="M211" s="63"/>
      <c r="N211" s="63"/>
      <c r="O211" s="63"/>
      <c r="P211" s="63"/>
      <c r="Q211" s="63"/>
      <c r="R211" s="63"/>
      <c r="S211" s="63"/>
      <c r="T211" s="58" t="s">
        <v>105</v>
      </c>
      <c r="U211" s="59">
        <v>90.02</v>
      </c>
      <c r="V211" s="59">
        <v>89.26</v>
      </c>
      <c r="W211" s="58">
        <v>6.72</v>
      </c>
      <c r="X211" s="58">
        <v>7.0</v>
      </c>
      <c r="Y211" s="68">
        <v>82.93</v>
      </c>
      <c r="Z211" s="69">
        <v>0.0</v>
      </c>
      <c r="AA211" s="68">
        <v>0.0</v>
      </c>
      <c r="AB211" s="68">
        <v>0.0</v>
      </c>
      <c r="AC211" s="68">
        <v>0.0</v>
      </c>
      <c r="AD211" s="68">
        <v>0.0</v>
      </c>
      <c r="AE211" s="68">
        <v>0.0</v>
      </c>
      <c r="AF211" s="68">
        <v>0.0</v>
      </c>
      <c r="AG211" s="68">
        <v>0.0</v>
      </c>
      <c r="AH211" s="68">
        <v>0.0</v>
      </c>
      <c r="AI211" s="68">
        <v>0.0</v>
      </c>
      <c r="AJ211" s="68">
        <v>0.0</v>
      </c>
      <c r="AK211" s="68">
        <v>0.0</v>
      </c>
      <c r="AL211" s="68">
        <v>0.0</v>
      </c>
      <c r="AM211" s="68">
        <v>0.0</v>
      </c>
      <c r="AN211" s="68">
        <v>0.0</v>
      </c>
      <c r="AO211" s="68">
        <v>7.09</v>
      </c>
      <c r="AP211" s="68">
        <v>0.0</v>
      </c>
      <c r="AQ211" s="68">
        <v>0.0</v>
      </c>
      <c r="AR211" s="68">
        <v>0.0</v>
      </c>
      <c r="AS211" s="68">
        <v>0.0</v>
      </c>
      <c r="AT211" s="68">
        <v>0.0</v>
      </c>
      <c r="AU211" s="68">
        <v>0.0</v>
      </c>
      <c r="AV211" s="68">
        <v>0.0</v>
      </c>
      <c r="AW211" s="68">
        <v>0.0</v>
      </c>
      <c r="AX211" s="68">
        <v>0.0</v>
      </c>
      <c r="AY211" s="68">
        <v>0.0</v>
      </c>
      <c r="AZ211" s="68">
        <v>0.0</v>
      </c>
      <c r="BA211" s="68">
        <v>0.0</v>
      </c>
      <c r="BB211" s="68">
        <v>7.09</v>
      </c>
      <c r="BC211" s="68" t="s">
        <v>106</v>
      </c>
      <c r="BD211" s="68"/>
      <c r="BF211" s="70">
        <v>95.98</v>
      </c>
      <c r="BG211" s="68">
        <v>-9.6</v>
      </c>
      <c r="BH211" s="68" t="s">
        <v>107</v>
      </c>
      <c r="BI211" s="68" t="s">
        <v>108</v>
      </c>
      <c r="BJ211" s="68" t="s">
        <v>109</v>
      </c>
      <c r="BK211" s="68" t="s">
        <v>392</v>
      </c>
      <c r="BM211" s="68"/>
      <c r="BN211" s="70" t="s">
        <v>111</v>
      </c>
      <c r="BO211" s="68" t="s">
        <v>112</v>
      </c>
      <c r="BP211" s="68" t="s">
        <v>113</v>
      </c>
      <c r="BQ211" s="68" t="s">
        <v>317</v>
      </c>
      <c r="BR211" s="68">
        <v>2.88</v>
      </c>
      <c r="BS211" s="68"/>
      <c r="BT211" s="70">
        <v>-13.05</v>
      </c>
      <c r="BU211" s="68" t="s">
        <v>318</v>
      </c>
      <c r="BW211" s="64" t="str">
        <f>if(OR(F211="SALE",F211="REFUNDED"),IFERROR(Vlookup(I211,'Listing SKU - Fill SKU Mapping'!A:C,3,false),"Map"),"")</f>
        <v>Keystone</v>
      </c>
      <c r="BX211" s="64" t="str">
        <f>IF(OR(F211="SALE",F211="REFUNDED")=TRUE,iferror(Vlookup(I211,'Listing SKU - Fill SKU Mapping'!A:B,2,false),"Map"),"")</f>
        <v>IMP468BLK</v>
      </c>
      <c r="BY211" s="64">
        <f>IF(OR(F211="SALE",F211="REFUNDED")=TRUE,iferror(Vlookup(I211,'Listing SKU - Fill SKU Mapping'!A:D,4,false),"Map"),"")</f>
        <v>46.16</v>
      </c>
      <c r="BZ211" s="66">
        <f t="shared" si="1"/>
        <v>11.5</v>
      </c>
      <c r="CA211" s="66">
        <f t="shared" si="2"/>
        <v>57.66</v>
      </c>
      <c r="CB211" s="66">
        <f t="shared" si="3"/>
        <v>31.6</v>
      </c>
      <c r="CC211" s="64" t="str">
        <f>if(F211="REFUNDED",iferror(Vlookup(I211,'Listing SKU - Fill SKU Mapping'!A:B,2,false),"Map"),"")</f>
        <v/>
      </c>
      <c r="CD211" s="64" t="str">
        <f>if(F211="REFUNDED",iferror(Vlookup(I211,'Listing SKU - Fill SKU Mapping'!A:C,3,false),"Map"),"")</f>
        <v/>
      </c>
      <c r="CE211" s="64" t="str">
        <f t="shared" si="4"/>
        <v>2025</v>
      </c>
      <c r="CF211" s="64" t="str">
        <f t="shared" si="5"/>
        <v>August</v>
      </c>
      <c r="CG211" s="64" t="str">
        <f t="shared" si="6"/>
        <v/>
      </c>
    </row>
    <row r="212">
      <c r="A212" s="55">
        <v>2.0001E14</v>
      </c>
      <c r="B212" s="56">
        <v>2.0</v>
      </c>
      <c r="C212" s="57">
        <v>1.2902E14</v>
      </c>
      <c r="D212" s="58">
        <v>2.0</v>
      </c>
      <c r="F212" s="59" t="s">
        <v>100</v>
      </c>
      <c r="G212" s="60">
        <v>45896.0</v>
      </c>
      <c r="H212" s="58">
        <v>1.0</v>
      </c>
      <c r="I212" s="58" t="s">
        <v>395</v>
      </c>
      <c r="J212" s="61">
        <v>4.6712994404E11</v>
      </c>
      <c r="K212" s="63"/>
      <c r="L212" s="63"/>
      <c r="M212" s="63"/>
      <c r="N212" s="63"/>
      <c r="O212" s="63"/>
      <c r="P212" s="63"/>
      <c r="Q212" s="63"/>
      <c r="R212" s="63"/>
      <c r="S212" s="63"/>
      <c r="T212" s="58" t="s">
        <v>105</v>
      </c>
      <c r="U212" s="59">
        <v>85.84</v>
      </c>
      <c r="V212" s="59">
        <v>75.31</v>
      </c>
      <c r="W212" s="58">
        <v>5.67</v>
      </c>
      <c r="X212" s="58">
        <v>7.0</v>
      </c>
      <c r="Y212" s="68">
        <v>80.98</v>
      </c>
      <c r="Z212" s="69">
        <v>0.0</v>
      </c>
      <c r="AA212" s="68">
        <v>0.0</v>
      </c>
      <c r="AB212" s="68">
        <v>0.0</v>
      </c>
      <c r="AC212" s="68">
        <v>0.0</v>
      </c>
      <c r="AD212" s="68">
        <v>0.0</v>
      </c>
      <c r="AE212" s="68">
        <v>0.0</v>
      </c>
      <c r="AF212" s="68">
        <v>0.0</v>
      </c>
      <c r="AG212" s="68">
        <v>0.0</v>
      </c>
      <c r="AH212" s="68">
        <v>0.0</v>
      </c>
      <c r="AI212" s="68">
        <v>0.0</v>
      </c>
      <c r="AJ212" s="68">
        <v>0.0</v>
      </c>
      <c r="AK212" s="68">
        <v>0.0</v>
      </c>
      <c r="AL212" s="68">
        <v>0.0</v>
      </c>
      <c r="AM212" s="68">
        <v>0.0</v>
      </c>
      <c r="AN212" s="68">
        <v>0.0</v>
      </c>
      <c r="AO212" s="68">
        <v>4.86</v>
      </c>
      <c r="AP212" s="68">
        <v>0.0</v>
      </c>
      <c r="AQ212" s="68">
        <v>0.0</v>
      </c>
      <c r="AR212" s="68">
        <v>0.0</v>
      </c>
      <c r="AS212" s="68">
        <v>0.0</v>
      </c>
      <c r="AT212" s="68">
        <v>0.0</v>
      </c>
      <c r="AU212" s="68">
        <v>0.0</v>
      </c>
      <c r="AV212" s="68">
        <v>0.0</v>
      </c>
      <c r="AW212" s="68">
        <v>0.0</v>
      </c>
      <c r="AX212" s="68">
        <v>0.0</v>
      </c>
      <c r="AY212" s="68">
        <v>0.0</v>
      </c>
      <c r="AZ212" s="68">
        <v>0.0</v>
      </c>
      <c r="BA212" s="68">
        <v>0.0</v>
      </c>
      <c r="BB212" s="68">
        <v>4.86</v>
      </c>
      <c r="BC212" s="68" t="s">
        <v>106</v>
      </c>
      <c r="BD212" s="68"/>
      <c r="BG212" s="70">
        <v>-8.1</v>
      </c>
      <c r="BH212" s="68" t="s">
        <v>107</v>
      </c>
      <c r="BI212" s="68" t="s">
        <v>108</v>
      </c>
      <c r="BJ212" s="68" t="s">
        <v>109</v>
      </c>
      <c r="BK212" s="68" t="s">
        <v>392</v>
      </c>
      <c r="BM212" s="68"/>
      <c r="BN212" s="70" t="s">
        <v>111</v>
      </c>
      <c r="BO212" s="68" t="s">
        <v>112</v>
      </c>
      <c r="BP212" s="68" t="s">
        <v>113</v>
      </c>
      <c r="BQ212" s="68" t="s">
        <v>114</v>
      </c>
      <c r="BR212" s="68">
        <v>2.43</v>
      </c>
      <c r="BS212" s="68"/>
      <c r="BW212" s="64" t="str">
        <f>if(OR(F212="SALE",F212="REFUNDED"),IFERROR(Vlookup(I212,'Listing SKU - Fill SKU Mapping'!A:C,3,false),"Map"),"")</f>
        <v>Keystone</v>
      </c>
      <c r="BX212" s="64" t="str">
        <f>IF(OR(F212="SALE",F212="REFUNDED")=TRUE,iferror(Vlookup(I212,'Listing SKU - Fill SKU Mapping'!A:B,2,false),"Map"),"")</f>
        <v>46616S</v>
      </c>
      <c r="BY212" s="64">
        <f>IF(OR(F212="SALE",F212="REFUNDED")=TRUE,iferror(Vlookup(I212,'Listing SKU - Fill SKU Mapping'!A:D,4,false),"Map"),"")</f>
        <v>30.38</v>
      </c>
      <c r="BZ212" s="66">
        <f t="shared" si="1"/>
        <v>11.5</v>
      </c>
      <c r="CA212" s="66">
        <f t="shared" si="2"/>
        <v>41.88</v>
      </c>
      <c r="CB212" s="66">
        <f t="shared" si="3"/>
        <v>33.43</v>
      </c>
      <c r="CC212" s="64" t="str">
        <f>if(F212="REFUNDED",iferror(Vlookup(I212,'Listing SKU - Fill SKU Mapping'!A:B,2,false),"Map"),"")</f>
        <v/>
      </c>
      <c r="CD212" s="64" t="str">
        <f>if(F212="REFUNDED",iferror(Vlookup(I212,'Listing SKU - Fill SKU Mapping'!A:C,3,false),"Map"),"")</f>
        <v/>
      </c>
      <c r="CE212" s="64" t="str">
        <f t="shared" si="4"/>
        <v>2025</v>
      </c>
      <c r="CF212" s="64" t="str">
        <f t="shared" si="5"/>
        <v>August</v>
      </c>
      <c r="CG212" s="64" t="str">
        <f t="shared" si="6"/>
        <v/>
      </c>
    </row>
    <row r="213">
      <c r="A213" s="55">
        <v>2.0001E14</v>
      </c>
      <c r="B213" s="56">
        <v>2.0</v>
      </c>
      <c r="C213" s="57">
        <v>1.2902E14</v>
      </c>
      <c r="D213" s="58">
        <v>2.0</v>
      </c>
      <c r="F213" s="59" t="s">
        <v>128</v>
      </c>
      <c r="G213" s="60">
        <v>45905.0</v>
      </c>
      <c r="H213" s="58">
        <v>1.0</v>
      </c>
      <c r="I213" s="58" t="s">
        <v>395</v>
      </c>
      <c r="J213" s="61">
        <v>4.6712994404E11</v>
      </c>
      <c r="K213" s="63"/>
      <c r="L213" s="63"/>
      <c r="M213" s="63"/>
      <c r="N213" s="63"/>
      <c r="O213" s="63"/>
      <c r="P213" s="63"/>
      <c r="Q213" s="63"/>
      <c r="R213" s="63"/>
      <c r="S213" s="63"/>
      <c r="U213" s="59">
        <v>-85.84</v>
      </c>
      <c r="V213" s="59">
        <v>-75.31</v>
      </c>
      <c r="W213" s="58">
        <v>-5.67</v>
      </c>
      <c r="X213" s="58">
        <v>0.0</v>
      </c>
      <c r="Y213" s="68">
        <v>0.0</v>
      </c>
      <c r="Z213" s="69">
        <v>-80.98</v>
      </c>
      <c r="AA213" s="68">
        <v>0.0</v>
      </c>
      <c r="AB213" s="68">
        <v>0.0</v>
      </c>
      <c r="AC213" s="68">
        <v>0.0</v>
      </c>
      <c r="AD213" s="68">
        <v>0.0</v>
      </c>
      <c r="AE213" s="68">
        <v>0.0</v>
      </c>
      <c r="AF213" s="68">
        <v>0.0</v>
      </c>
      <c r="AG213" s="68">
        <v>0.0</v>
      </c>
      <c r="AH213" s="68">
        <v>0.0</v>
      </c>
      <c r="AI213" s="68">
        <v>0.0</v>
      </c>
      <c r="AJ213" s="68">
        <v>0.0</v>
      </c>
      <c r="AK213" s="68">
        <v>0.0</v>
      </c>
      <c r="AL213" s="68">
        <v>0.0</v>
      </c>
      <c r="AM213" s="68">
        <v>0.0</v>
      </c>
      <c r="AN213" s="68">
        <v>0.0</v>
      </c>
      <c r="AO213" s="68">
        <v>0.0</v>
      </c>
      <c r="AP213" s="68">
        <v>0.0</v>
      </c>
      <c r="AQ213" s="68">
        <v>0.0</v>
      </c>
      <c r="AR213" s="68">
        <v>0.0</v>
      </c>
      <c r="AS213" s="68">
        <v>0.0</v>
      </c>
      <c r="AT213" s="68">
        <v>-4.86</v>
      </c>
      <c r="AU213" s="68">
        <v>0.0</v>
      </c>
      <c r="AV213" s="68">
        <v>0.0</v>
      </c>
      <c r="AW213" s="68">
        <v>0.0</v>
      </c>
      <c r="AX213" s="68">
        <v>0.0</v>
      </c>
      <c r="AY213" s="68">
        <v>0.0</v>
      </c>
      <c r="AZ213" s="68">
        <v>0.0</v>
      </c>
      <c r="BA213" s="68">
        <v>0.0</v>
      </c>
      <c r="BB213" s="68">
        <v>-4.86</v>
      </c>
      <c r="BC213" s="68" t="s">
        <v>106</v>
      </c>
      <c r="BD213" s="68" t="s">
        <v>156</v>
      </c>
      <c r="BE213" s="68">
        <v>5010.0</v>
      </c>
      <c r="BF213" s="68"/>
      <c r="BH213" s="70" t="s">
        <v>107</v>
      </c>
      <c r="BI213" s="68" t="s">
        <v>108</v>
      </c>
      <c r="BK213" s="68"/>
      <c r="BL213" s="70">
        <v>1010.0</v>
      </c>
      <c r="BM213" s="68" t="s">
        <v>204</v>
      </c>
      <c r="BN213" s="68" t="s">
        <v>111</v>
      </c>
      <c r="BO213" s="68" t="s">
        <v>112</v>
      </c>
      <c r="BQ213" s="68"/>
      <c r="BW213" s="64" t="str">
        <f>if(OR(F213="SALE",F213="REFUNDED"),IFERROR(Vlookup(I213,'Listing SKU - Fill SKU Mapping'!A:C,3,false),"Map"),"")</f>
        <v>Keystone</v>
      </c>
      <c r="BX213" s="64" t="str">
        <f>IF(OR(F213="SALE",F213="REFUNDED")=TRUE,iferror(Vlookup(I213,'Listing SKU - Fill SKU Mapping'!A:B,2,false),"Map"),"")</f>
        <v>46616S</v>
      </c>
      <c r="BY213" s="64">
        <f>IF(OR(F213="SALE",F213="REFUNDED")=TRUE,iferror(Vlookup(I213,'Listing SKU - Fill SKU Mapping'!A:D,4,false),"Map"),"")</f>
        <v>30.38</v>
      </c>
      <c r="BZ213" s="66">
        <f t="shared" si="1"/>
        <v>11.5</v>
      </c>
      <c r="CA213" s="66">
        <f t="shared" si="2"/>
        <v>41.88</v>
      </c>
      <c r="CB213" s="64" t="str">
        <f t="shared" si="3"/>
        <v/>
      </c>
      <c r="CC213" s="64" t="str">
        <f>if(F213="REFUNDED",iferror(Vlookup(I213,'Listing SKU - Fill SKU Mapping'!A:B,2,false),"Map"),"")</f>
        <v>46616S</v>
      </c>
      <c r="CD213" s="64" t="str">
        <f>if(F213="REFUNDED",iferror(Vlookup(I213,'Listing SKU - Fill SKU Mapping'!A:C,3,false),"Map"),"")</f>
        <v>Keystone</v>
      </c>
      <c r="CE213" s="64" t="str">
        <f t="shared" si="4"/>
        <v>2025</v>
      </c>
      <c r="CF213" s="64" t="str">
        <f t="shared" si="5"/>
        <v>September</v>
      </c>
      <c r="CG213" s="64" t="str">
        <f t="shared" si="6"/>
        <v/>
      </c>
    </row>
    <row r="214">
      <c r="A214" s="55">
        <v>2.0001E14</v>
      </c>
      <c r="B214" s="56">
        <v>1.0</v>
      </c>
      <c r="C214" s="57">
        <v>1.2902E14</v>
      </c>
      <c r="D214" s="58">
        <v>1.0</v>
      </c>
      <c r="F214" s="59" t="s">
        <v>158</v>
      </c>
      <c r="G214" s="60">
        <v>45893.0</v>
      </c>
      <c r="H214" s="58">
        <v>1.0</v>
      </c>
      <c r="I214" s="58" t="s">
        <v>366</v>
      </c>
      <c r="J214" s="61">
        <v>4.65595320863E11</v>
      </c>
      <c r="K214" s="63"/>
      <c r="L214" s="63"/>
      <c r="M214" s="63"/>
      <c r="N214" s="63"/>
      <c r="O214" s="63"/>
      <c r="P214" s="63"/>
      <c r="Q214" s="63"/>
      <c r="R214" s="63"/>
      <c r="S214" s="63"/>
      <c r="T214" s="58" t="s">
        <v>105</v>
      </c>
      <c r="U214" s="59">
        <v>0.0</v>
      </c>
      <c r="V214" s="59">
        <v>-10.81</v>
      </c>
      <c r="W214" s="58">
        <v>0.0</v>
      </c>
      <c r="X214" s="58">
        <v>0.0</v>
      </c>
      <c r="Y214" s="70">
        <v>0.0</v>
      </c>
      <c r="Z214" s="69">
        <v>0.0</v>
      </c>
      <c r="AA214" s="68">
        <v>0.0</v>
      </c>
      <c r="AB214" s="68">
        <v>0.0</v>
      </c>
      <c r="AC214" s="68">
        <v>0.0</v>
      </c>
      <c r="AD214" s="68">
        <v>0.0</v>
      </c>
      <c r="AE214" s="68">
        <v>0.0</v>
      </c>
      <c r="AF214" s="68">
        <v>0.0</v>
      </c>
      <c r="AG214" s="68">
        <v>0.0</v>
      </c>
      <c r="AH214" s="68">
        <v>0.0</v>
      </c>
      <c r="AI214" s="68">
        <v>0.0</v>
      </c>
      <c r="AJ214" s="68">
        <v>0.0</v>
      </c>
      <c r="AK214" s="68">
        <v>0.0</v>
      </c>
      <c r="AL214" s="68">
        <v>0.0</v>
      </c>
      <c r="AM214" s="68">
        <v>0.0</v>
      </c>
      <c r="AN214" s="68">
        <v>0.0</v>
      </c>
      <c r="AO214" s="68">
        <v>0.0</v>
      </c>
      <c r="AP214" s="68">
        <v>0.0</v>
      </c>
      <c r="AQ214" s="68">
        <v>0.0</v>
      </c>
      <c r="AR214" s="68">
        <v>0.0</v>
      </c>
      <c r="AS214" s="68">
        <v>0.0</v>
      </c>
      <c r="AT214" s="68">
        <v>0.0</v>
      </c>
      <c r="AU214" s="68">
        <v>0.0</v>
      </c>
      <c r="AV214" s="68">
        <v>0.0</v>
      </c>
      <c r="AW214" s="68">
        <v>0.0</v>
      </c>
      <c r="AX214" s="68">
        <v>0.0</v>
      </c>
      <c r="AY214" s="68">
        <v>0.0</v>
      </c>
      <c r="AZ214" s="68">
        <v>0.0</v>
      </c>
      <c r="BA214" s="68">
        <v>0.0</v>
      </c>
      <c r="BB214" s="68">
        <v>0.0</v>
      </c>
      <c r="BC214" s="68" t="s">
        <v>106</v>
      </c>
      <c r="BD214" s="68" t="s">
        <v>163</v>
      </c>
      <c r="BE214" s="68">
        <v>5013.0</v>
      </c>
      <c r="BF214" s="68"/>
      <c r="BH214" s="70" t="s">
        <v>107</v>
      </c>
      <c r="BI214" s="68" t="s">
        <v>108</v>
      </c>
      <c r="BK214" s="68"/>
      <c r="BN214" s="70" t="s">
        <v>111</v>
      </c>
      <c r="BO214" s="68" t="s">
        <v>112</v>
      </c>
      <c r="BQ214" s="68"/>
      <c r="BW214" s="64" t="str">
        <f>if(OR(F214="SALE",F214="REFUNDED"),IFERROR(Vlookup(I214,'Listing SKU - Fill SKU Mapping'!A:C,3,false),"Map"),"")</f>
        <v/>
      </c>
      <c r="BX214" s="64" t="str">
        <f>IF(OR(F214="SALE",F214="REFUNDED")=TRUE,iferror(Vlookup(I214,'Listing SKU - Fill SKU Mapping'!A:B,2,false),"Map"),"")</f>
        <v/>
      </c>
      <c r="BY214" s="64" t="str">
        <f>IF(OR(F214="SALE",F214="REFUNDED")=TRUE,iferror(Vlookup(I214,'Listing SKU - Fill SKU Mapping'!A:D,4,false),"Map"),"")</f>
        <v/>
      </c>
      <c r="BZ214" s="66" t="str">
        <f t="shared" si="1"/>
        <v/>
      </c>
      <c r="CA214" s="64" t="str">
        <f t="shared" si="2"/>
        <v/>
      </c>
      <c r="CB214" s="64" t="str">
        <f t="shared" si="3"/>
        <v/>
      </c>
      <c r="CC214" s="64" t="str">
        <f>if(F214="REFUNDED",iferror(Vlookup(I214,'Listing SKU - Fill SKU Mapping'!A:B,2,false),"Map"),"")</f>
        <v/>
      </c>
      <c r="CD214" s="64" t="str">
        <f>if(F214="REFUNDED",iferror(Vlookup(I214,'Listing SKU - Fill SKU Mapping'!A:C,3,false),"Map"),"")</f>
        <v/>
      </c>
      <c r="CE214" s="64" t="str">
        <f t="shared" si="4"/>
        <v>2025</v>
      </c>
      <c r="CF214" s="64" t="str">
        <f t="shared" si="5"/>
        <v>August</v>
      </c>
      <c r="CG214" s="64" t="str">
        <f t="shared" si="6"/>
        <v/>
      </c>
    </row>
    <row r="215">
      <c r="A215" s="55">
        <v>2.0001E14</v>
      </c>
      <c r="B215" s="56">
        <v>1.0</v>
      </c>
      <c r="C215" s="57">
        <v>1.1902E14</v>
      </c>
      <c r="D215" s="58">
        <v>1.0</v>
      </c>
      <c r="F215" s="59" t="s">
        <v>100</v>
      </c>
      <c r="G215" s="60">
        <v>45902.0</v>
      </c>
      <c r="H215" s="58">
        <v>1.0</v>
      </c>
      <c r="I215" s="58" t="s">
        <v>396</v>
      </c>
      <c r="J215" s="61">
        <v>4.66885032312E11</v>
      </c>
      <c r="K215" s="63"/>
      <c r="L215" s="63"/>
      <c r="M215" s="63"/>
      <c r="N215" s="63"/>
      <c r="O215" s="63"/>
      <c r="P215" s="63"/>
      <c r="Q215" s="63"/>
      <c r="R215" s="63"/>
      <c r="S215" s="63"/>
      <c r="T215" s="58" t="s">
        <v>105</v>
      </c>
      <c r="U215" s="59">
        <v>69.85</v>
      </c>
      <c r="V215" s="59">
        <v>68.8</v>
      </c>
      <c r="W215" s="58">
        <v>5.18</v>
      </c>
      <c r="X215" s="58">
        <v>7.0</v>
      </c>
      <c r="Y215" s="68">
        <v>65.9</v>
      </c>
      <c r="Z215" s="69">
        <v>0.0</v>
      </c>
      <c r="AA215" s="68">
        <v>0.0</v>
      </c>
      <c r="AB215" s="68">
        <v>0.0</v>
      </c>
      <c r="AC215" s="68">
        <v>0.0</v>
      </c>
      <c r="AD215" s="68">
        <v>0.0</v>
      </c>
      <c r="AE215" s="68">
        <v>0.0</v>
      </c>
      <c r="AF215" s="68">
        <v>0.0</v>
      </c>
      <c r="AG215" s="68">
        <v>0.0</v>
      </c>
      <c r="AH215" s="68">
        <v>0.0</v>
      </c>
      <c r="AI215" s="68">
        <v>0.0</v>
      </c>
      <c r="AJ215" s="68">
        <v>0.0</v>
      </c>
      <c r="AK215" s="68">
        <v>0.0</v>
      </c>
      <c r="AL215" s="68">
        <v>0.0</v>
      </c>
      <c r="AM215" s="68">
        <v>0.0</v>
      </c>
      <c r="AN215" s="68">
        <v>0.0</v>
      </c>
      <c r="AO215" s="68">
        <v>3.95</v>
      </c>
      <c r="AP215" s="68">
        <v>0.0</v>
      </c>
      <c r="AQ215" s="68">
        <v>0.0</v>
      </c>
      <c r="AR215" s="68">
        <v>0.0</v>
      </c>
      <c r="AS215" s="68">
        <v>0.0</v>
      </c>
      <c r="AT215" s="68">
        <v>0.0</v>
      </c>
      <c r="AU215" s="68">
        <v>0.0</v>
      </c>
      <c r="AV215" s="68">
        <v>0.0</v>
      </c>
      <c r="AW215" s="68">
        <v>0.0</v>
      </c>
      <c r="AX215" s="68">
        <v>0.0</v>
      </c>
      <c r="AY215" s="68">
        <v>0.0</v>
      </c>
      <c r="AZ215" s="68">
        <v>0.0</v>
      </c>
      <c r="BA215" s="68">
        <v>0.0</v>
      </c>
      <c r="BB215" s="68">
        <v>3.95</v>
      </c>
      <c r="BC215" s="68" t="s">
        <v>106</v>
      </c>
      <c r="BD215" s="68"/>
      <c r="BF215" s="70">
        <v>73.98</v>
      </c>
      <c r="BG215" s="68">
        <v>-7.4</v>
      </c>
      <c r="BH215" s="68" t="s">
        <v>107</v>
      </c>
      <c r="BI215" s="68" t="s">
        <v>108</v>
      </c>
      <c r="BJ215" s="68" t="s">
        <v>109</v>
      </c>
      <c r="BK215" s="68" t="s">
        <v>394</v>
      </c>
      <c r="BM215" s="68"/>
      <c r="BN215" s="70" t="s">
        <v>111</v>
      </c>
      <c r="BO215" s="68" t="s">
        <v>112</v>
      </c>
      <c r="BP215" s="68" t="s">
        <v>113</v>
      </c>
      <c r="BQ215" s="68" t="s">
        <v>317</v>
      </c>
      <c r="BR215" s="68">
        <v>2.22</v>
      </c>
      <c r="BS215" s="68"/>
      <c r="BT215" s="70">
        <v>-8.08</v>
      </c>
      <c r="BU215" s="68" t="s">
        <v>318</v>
      </c>
      <c r="BW215" s="64" t="str">
        <f>if(OR(F215="SALE",F215="REFUNDED"),IFERROR(Vlookup(I215,'Listing SKU - Fill SKU Mapping'!A:C,3,false),"Map"),"")</f>
        <v>Keystone</v>
      </c>
      <c r="BX215" s="64" t="str">
        <f>IF(OR(F215="SALE",F215="REFUNDED")=TRUE,iferror(Vlookup(I215,'Listing SKU - Fill SKU Mapping'!A:B,2,false),"Map"),"")</f>
        <v>12415S</v>
      </c>
      <c r="BY215" s="64">
        <f>IF(OR(F215="SALE",F215="REFUNDED")=TRUE,iferror(Vlookup(I215,'Listing SKU - Fill SKU Mapping'!A:D,4,false),"Map"),"")</f>
        <v>26.04</v>
      </c>
      <c r="BZ215" s="66">
        <f t="shared" si="1"/>
        <v>11.5</v>
      </c>
      <c r="CA215" s="66">
        <f t="shared" si="2"/>
        <v>37.54</v>
      </c>
      <c r="CB215" s="66">
        <f t="shared" si="3"/>
        <v>31.26</v>
      </c>
      <c r="CC215" s="64" t="str">
        <f>if(F215="REFUNDED",iferror(Vlookup(I215,'Listing SKU - Fill SKU Mapping'!A:B,2,false),"Map"),"")</f>
        <v/>
      </c>
      <c r="CD215" s="64" t="str">
        <f>if(F215="REFUNDED",iferror(Vlookup(I215,'Listing SKU - Fill SKU Mapping'!A:C,3,false),"Map"),"")</f>
        <v/>
      </c>
      <c r="CE215" s="64" t="str">
        <f t="shared" si="4"/>
        <v>2025</v>
      </c>
      <c r="CF215" s="64" t="str">
        <f t="shared" si="5"/>
        <v>September</v>
      </c>
      <c r="CG215" s="64" t="str">
        <f t="shared" si="6"/>
        <v/>
      </c>
    </row>
    <row r="216">
      <c r="A216" s="55">
        <v>2.0001E14</v>
      </c>
      <c r="B216" s="56">
        <v>1.0</v>
      </c>
      <c r="C216" s="57">
        <v>1.2902E14</v>
      </c>
      <c r="D216" s="58">
        <v>1.0</v>
      </c>
      <c r="F216" s="59" t="s">
        <v>100</v>
      </c>
      <c r="G216" s="60">
        <v>45905.0</v>
      </c>
      <c r="H216" s="58">
        <v>1.0</v>
      </c>
      <c r="I216" s="58" t="s">
        <v>397</v>
      </c>
      <c r="J216" s="61">
        <v>4.6456712584E11</v>
      </c>
      <c r="K216" s="63"/>
      <c r="L216" s="63"/>
      <c r="M216" s="63"/>
      <c r="N216" s="63"/>
      <c r="O216" s="63"/>
      <c r="P216" s="63"/>
      <c r="Q216" s="63"/>
      <c r="R216" s="63"/>
      <c r="S216" s="63"/>
      <c r="T216" s="58" t="s">
        <v>105</v>
      </c>
      <c r="U216" s="59">
        <v>100.26</v>
      </c>
      <c r="V216" s="59">
        <v>85.54</v>
      </c>
      <c r="W216" s="58">
        <v>6.44</v>
      </c>
      <c r="X216" s="58">
        <v>7.0</v>
      </c>
      <c r="Y216" s="68">
        <v>91.98</v>
      </c>
      <c r="Z216" s="69">
        <v>0.0</v>
      </c>
      <c r="AA216" s="68">
        <v>0.0</v>
      </c>
      <c r="AB216" s="68">
        <v>0.0</v>
      </c>
      <c r="AC216" s="68">
        <v>0.0</v>
      </c>
      <c r="AD216" s="68">
        <v>0.0</v>
      </c>
      <c r="AE216" s="68">
        <v>0.0</v>
      </c>
      <c r="AF216" s="68">
        <v>0.0</v>
      </c>
      <c r="AG216" s="68">
        <v>0.0</v>
      </c>
      <c r="AH216" s="68">
        <v>0.0</v>
      </c>
      <c r="AI216" s="68">
        <v>0.0</v>
      </c>
      <c r="AJ216" s="68">
        <v>0.0</v>
      </c>
      <c r="AK216" s="68">
        <v>0.0</v>
      </c>
      <c r="AL216" s="68">
        <v>0.0</v>
      </c>
      <c r="AM216" s="68">
        <v>0.0</v>
      </c>
      <c r="AN216" s="68">
        <v>0.0</v>
      </c>
      <c r="AO216" s="68">
        <v>8.28</v>
      </c>
      <c r="AP216" s="68">
        <v>0.0</v>
      </c>
      <c r="AQ216" s="68">
        <v>0.0</v>
      </c>
      <c r="AR216" s="68">
        <v>0.0</v>
      </c>
      <c r="AS216" s="68">
        <v>0.0</v>
      </c>
      <c r="AT216" s="68">
        <v>0.0</v>
      </c>
      <c r="AU216" s="68">
        <v>0.0</v>
      </c>
      <c r="AV216" s="68">
        <v>0.0</v>
      </c>
      <c r="AW216" s="68">
        <v>0.0</v>
      </c>
      <c r="AX216" s="68">
        <v>0.0</v>
      </c>
      <c r="AY216" s="68">
        <v>0.0</v>
      </c>
      <c r="AZ216" s="68">
        <v>0.0</v>
      </c>
      <c r="BA216" s="68">
        <v>0.0</v>
      </c>
      <c r="BB216" s="68">
        <v>8.28</v>
      </c>
      <c r="BC216" s="68" t="s">
        <v>106</v>
      </c>
      <c r="BD216" s="68"/>
      <c r="BG216" s="70">
        <v>-9.2</v>
      </c>
      <c r="BH216" s="68" t="s">
        <v>107</v>
      </c>
      <c r="BI216" s="68" t="s">
        <v>108</v>
      </c>
      <c r="BJ216" s="68" t="s">
        <v>109</v>
      </c>
      <c r="BK216" s="68" t="s">
        <v>394</v>
      </c>
      <c r="BM216" s="68"/>
      <c r="BN216" s="70" t="s">
        <v>111</v>
      </c>
      <c r="BO216" s="68" t="s">
        <v>112</v>
      </c>
      <c r="BP216" s="68" t="s">
        <v>113</v>
      </c>
      <c r="BQ216" s="68" t="s">
        <v>114</v>
      </c>
      <c r="BR216" s="68">
        <v>2.76</v>
      </c>
      <c r="BS216" s="68"/>
      <c r="BW216" s="64" t="str">
        <f>if(OR(F216="SALE",F216="REFUNDED"),IFERROR(Vlookup(I216,'Listing SKU - Fill SKU Mapping'!A:C,3,false),"Map"),"")</f>
        <v>Keystone</v>
      </c>
      <c r="BX216" s="64" t="str">
        <f>IF(OR(F216="SALE",F216="REFUNDED")=TRUE,iferror(Vlookup(I216,'Listing SKU - Fill SKU Mapping'!A:B,2,false),"Map"),"")</f>
        <v>IMP360X</v>
      </c>
      <c r="BY216" s="64">
        <f>IF(OR(F216="SALE",F216="REFUNDED")=TRUE,iferror(Vlookup(I216,'Listing SKU - Fill SKU Mapping'!A:D,4,false),"Map"),"")</f>
        <v>43.79</v>
      </c>
      <c r="BZ216" s="66">
        <f t="shared" si="1"/>
        <v>11.5</v>
      </c>
      <c r="CA216" s="66">
        <f t="shared" si="2"/>
        <v>55.29</v>
      </c>
      <c r="CB216" s="66">
        <f t="shared" si="3"/>
        <v>30.25</v>
      </c>
      <c r="CC216" s="64" t="str">
        <f>if(F216="REFUNDED",iferror(Vlookup(I216,'Listing SKU - Fill SKU Mapping'!A:B,2,false),"Map"),"")</f>
        <v/>
      </c>
      <c r="CD216" s="64" t="str">
        <f>if(F216="REFUNDED",iferror(Vlookup(I216,'Listing SKU - Fill SKU Mapping'!A:C,3,false),"Map"),"")</f>
        <v/>
      </c>
      <c r="CE216" s="64" t="str">
        <f t="shared" si="4"/>
        <v>2025</v>
      </c>
      <c r="CF216" s="64" t="str">
        <f t="shared" si="5"/>
        <v>September</v>
      </c>
      <c r="CG216" s="64" t="str">
        <f t="shared" si="6"/>
        <v/>
      </c>
    </row>
    <row r="217">
      <c r="A217" s="55">
        <v>2.0001E14</v>
      </c>
      <c r="B217" s="56">
        <v>1.0</v>
      </c>
      <c r="C217" s="57">
        <v>1.2902E14</v>
      </c>
      <c r="D217" s="58">
        <v>1.0</v>
      </c>
      <c r="F217" s="59" t="s">
        <v>100</v>
      </c>
      <c r="G217" s="60">
        <v>45897.0</v>
      </c>
      <c r="H217" s="58">
        <v>1.0</v>
      </c>
      <c r="I217" s="58" t="s">
        <v>287</v>
      </c>
      <c r="J217" s="61">
        <v>4.67129928224E11</v>
      </c>
      <c r="K217" s="63"/>
      <c r="L217" s="63"/>
      <c r="M217" s="63"/>
      <c r="N217" s="63"/>
      <c r="O217" s="63"/>
      <c r="P217" s="63"/>
      <c r="Q217" s="63"/>
      <c r="R217" s="63"/>
      <c r="S217" s="63"/>
      <c r="T217" s="58" t="s">
        <v>105</v>
      </c>
      <c r="U217" s="59">
        <v>73.59</v>
      </c>
      <c r="V217" s="59">
        <v>63.22</v>
      </c>
      <c r="W217" s="58">
        <v>4.76</v>
      </c>
      <c r="X217" s="58">
        <v>7.0</v>
      </c>
      <c r="Y217" s="68">
        <v>67.98</v>
      </c>
      <c r="Z217" s="69">
        <v>0.0</v>
      </c>
      <c r="AA217" s="68">
        <v>0.0</v>
      </c>
      <c r="AB217" s="68">
        <v>0.0</v>
      </c>
      <c r="AC217" s="68">
        <v>0.0</v>
      </c>
      <c r="AD217" s="68">
        <v>0.0</v>
      </c>
      <c r="AE217" s="68">
        <v>0.0</v>
      </c>
      <c r="AF217" s="68">
        <v>0.0</v>
      </c>
      <c r="AG217" s="68">
        <v>0.0</v>
      </c>
      <c r="AH217" s="68">
        <v>0.0</v>
      </c>
      <c r="AI217" s="68">
        <v>0.0</v>
      </c>
      <c r="AJ217" s="68">
        <v>0.0</v>
      </c>
      <c r="AK217" s="68">
        <v>0.0</v>
      </c>
      <c r="AL217" s="68">
        <v>0.0</v>
      </c>
      <c r="AM217" s="68">
        <v>0.0</v>
      </c>
      <c r="AN217" s="68">
        <v>0.0</v>
      </c>
      <c r="AO217" s="68">
        <v>5.61</v>
      </c>
      <c r="AP217" s="68">
        <v>0.0</v>
      </c>
      <c r="AQ217" s="68">
        <v>0.0</v>
      </c>
      <c r="AR217" s="68">
        <v>0.0</v>
      </c>
      <c r="AS217" s="68">
        <v>0.0</v>
      </c>
      <c r="AT217" s="68">
        <v>0.0</v>
      </c>
      <c r="AU217" s="68">
        <v>0.0</v>
      </c>
      <c r="AV217" s="68">
        <v>0.0</v>
      </c>
      <c r="AW217" s="68">
        <v>0.0</v>
      </c>
      <c r="AX217" s="68">
        <v>0.0</v>
      </c>
      <c r="AY217" s="68">
        <v>0.0</v>
      </c>
      <c r="AZ217" s="68">
        <v>0.0</v>
      </c>
      <c r="BA217" s="68">
        <v>0.0</v>
      </c>
      <c r="BB217" s="68">
        <v>5.61</v>
      </c>
      <c r="BC217" s="68" t="s">
        <v>106</v>
      </c>
      <c r="BD217" s="68"/>
      <c r="BG217" s="70">
        <v>-6.8</v>
      </c>
      <c r="BH217" s="68" t="s">
        <v>107</v>
      </c>
      <c r="BI217" s="68" t="s">
        <v>108</v>
      </c>
      <c r="BJ217" s="68" t="s">
        <v>109</v>
      </c>
      <c r="BK217" s="68" t="s">
        <v>394</v>
      </c>
      <c r="BM217" s="68"/>
      <c r="BN217" s="70" t="s">
        <v>111</v>
      </c>
      <c r="BO217" s="68" t="s">
        <v>112</v>
      </c>
      <c r="BP217" s="68" t="s">
        <v>113</v>
      </c>
      <c r="BQ217" s="68" t="s">
        <v>114</v>
      </c>
      <c r="BR217" s="68">
        <v>2.04</v>
      </c>
      <c r="BS217" s="68"/>
      <c r="BW217" s="64" t="str">
        <f>if(OR(F217="SALE",F217="REFUNDED"),IFERROR(Vlookup(I217,'Listing SKU - Fill SKU Mapping'!A:C,3,false),"Map"),"")</f>
        <v>Keystone</v>
      </c>
      <c r="BX217" s="64" t="str">
        <f>IF(OR(F217="SALE",F217="REFUNDED")=TRUE,iferror(Vlookup(I217,'Listing SKU - Fill SKU Mapping'!A:B,2,false),"Map"),"")</f>
        <v>50516S</v>
      </c>
      <c r="BY217" s="64">
        <f>IF(OR(F217="SALE",F217="REFUNDED")=TRUE,iferror(Vlookup(I217,'Listing SKU - Fill SKU Mapping'!A:D,4,false),"Map"),"")</f>
        <v>22.1</v>
      </c>
      <c r="BZ217" s="66">
        <f t="shared" si="1"/>
        <v>11.5</v>
      </c>
      <c r="CA217" s="66">
        <f t="shared" si="2"/>
        <v>33.6</v>
      </c>
      <c r="CB217" s="66">
        <f t="shared" si="3"/>
        <v>29.62</v>
      </c>
      <c r="CC217" s="64" t="str">
        <f>if(F217="REFUNDED",iferror(Vlookup(I217,'Listing SKU - Fill SKU Mapping'!A:B,2,false),"Map"),"")</f>
        <v/>
      </c>
      <c r="CD217" s="64" t="str">
        <f>if(F217="REFUNDED",iferror(Vlookup(I217,'Listing SKU - Fill SKU Mapping'!A:C,3,false),"Map"),"")</f>
        <v/>
      </c>
      <c r="CE217" s="64" t="str">
        <f t="shared" si="4"/>
        <v>2025</v>
      </c>
      <c r="CF217" s="64" t="str">
        <f t="shared" si="5"/>
        <v>August</v>
      </c>
      <c r="CG217" s="64" t="str">
        <f t="shared" si="6"/>
        <v/>
      </c>
    </row>
    <row r="218">
      <c r="A218" s="55">
        <v>2.0001E14</v>
      </c>
      <c r="B218" s="56">
        <v>1.0</v>
      </c>
      <c r="C218" s="57">
        <v>1.2902E14</v>
      </c>
      <c r="D218" s="58">
        <v>1.0</v>
      </c>
      <c r="F218" s="59" t="s">
        <v>128</v>
      </c>
      <c r="G218" s="60">
        <v>45892.0</v>
      </c>
      <c r="H218" s="58">
        <v>1.0</v>
      </c>
      <c r="I218" s="58" t="s">
        <v>360</v>
      </c>
      <c r="J218" s="61">
        <v>4.60776272498E11</v>
      </c>
      <c r="K218" s="63"/>
      <c r="L218" s="63"/>
      <c r="M218" s="63"/>
      <c r="N218" s="63"/>
      <c r="O218" s="63"/>
      <c r="P218" s="63"/>
      <c r="Q218" s="63"/>
      <c r="R218" s="63"/>
      <c r="S218" s="63"/>
      <c r="U218" s="59">
        <v>-110.14</v>
      </c>
      <c r="V218" s="59">
        <v>-111.58</v>
      </c>
      <c r="W218" s="58">
        <v>-8.4</v>
      </c>
      <c r="X218" s="58">
        <v>0.0</v>
      </c>
      <c r="Y218" s="68">
        <v>0.0</v>
      </c>
      <c r="Z218" s="69">
        <v>-102.93</v>
      </c>
      <c r="AA218" s="68">
        <v>0.0</v>
      </c>
      <c r="AB218" s="68">
        <v>0.0</v>
      </c>
      <c r="AC218" s="68">
        <v>0.0</v>
      </c>
      <c r="AD218" s="68">
        <v>0.0</v>
      </c>
      <c r="AE218" s="68">
        <v>0.0</v>
      </c>
      <c r="AF218" s="68">
        <v>0.0</v>
      </c>
      <c r="AG218" s="68">
        <v>0.0</v>
      </c>
      <c r="AH218" s="68">
        <v>0.0</v>
      </c>
      <c r="AI218" s="68">
        <v>0.0</v>
      </c>
      <c r="AJ218" s="68">
        <v>0.0</v>
      </c>
      <c r="AK218" s="68">
        <v>0.0</v>
      </c>
      <c r="AL218" s="68">
        <v>0.0</v>
      </c>
      <c r="AM218" s="68">
        <v>0.0</v>
      </c>
      <c r="AN218" s="68">
        <v>0.0</v>
      </c>
      <c r="AO218" s="68">
        <v>0.0</v>
      </c>
      <c r="AP218" s="68">
        <v>0.0</v>
      </c>
      <c r="AQ218" s="68">
        <v>0.0</v>
      </c>
      <c r="AR218" s="68">
        <v>0.0</v>
      </c>
      <c r="AS218" s="68">
        <v>0.0</v>
      </c>
      <c r="AT218" s="68">
        <v>-7.21</v>
      </c>
      <c r="AU218" s="68">
        <v>0.0</v>
      </c>
      <c r="AV218" s="68">
        <v>0.0</v>
      </c>
      <c r="AW218" s="68">
        <v>0.0</v>
      </c>
      <c r="AX218" s="68">
        <v>0.0</v>
      </c>
      <c r="AY218" s="68">
        <v>0.0</v>
      </c>
      <c r="AZ218" s="68">
        <v>0.0</v>
      </c>
      <c r="BA218" s="68">
        <v>0.0</v>
      </c>
      <c r="BB218" s="68">
        <v>-7.21</v>
      </c>
      <c r="BC218" s="68" t="s">
        <v>106</v>
      </c>
      <c r="BD218" s="68" t="s">
        <v>156</v>
      </c>
      <c r="BE218" s="68">
        <v>5010.0</v>
      </c>
      <c r="BF218" s="68">
        <v>119.98</v>
      </c>
      <c r="BG218" s="68"/>
      <c r="BH218" s="70" t="s">
        <v>107</v>
      </c>
      <c r="BI218" s="68" t="s">
        <v>108</v>
      </c>
      <c r="BK218" s="68"/>
      <c r="BL218" s="70">
        <v>1000.0</v>
      </c>
      <c r="BM218" s="68" t="s">
        <v>130</v>
      </c>
      <c r="BN218" s="68" t="s">
        <v>111</v>
      </c>
      <c r="BO218" s="68" t="s">
        <v>112</v>
      </c>
      <c r="BQ218" s="68"/>
      <c r="BT218" s="70">
        <v>17.05</v>
      </c>
      <c r="BU218" s="68"/>
      <c r="BW218" s="64" t="str">
        <f>if(OR(F218="SALE",F218="REFUNDED"),IFERROR(Vlookup(I218,'Listing SKU - Fill SKU Mapping'!A:C,3,false),"Map"),"")</f>
        <v>Keystone</v>
      </c>
      <c r="BX218" s="64" t="str">
        <f>IF(OR(F218="SALE",F218="REFUNDED")=TRUE,iferror(Vlookup(I218,'Listing SKU - Fill SKU Mapping'!A:B,2,false),"Map"),"")</f>
        <v>IMP361BLK</v>
      </c>
      <c r="BY218" s="64">
        <f>IF(OR(F218="SALE",F218="REFUNDED")=TRUE,iferror(Vlookup(I218,'Listing SKU - Fill SKU Mapping'!A:D,4,false),"Map"),"")</f>
        <v>57.2</v>
      </c>
      <c r="BZ218" s="66">
        <f t="shared" si="1"/>
        <v>11.5</v>
      </c>
      <c r="CA218" s="66">
        <f t="shared" si="2"/>
        <v>68.7</v>
      </c>
      <c r="CB218" s="64" t="str">
        <f t="shared" si="3"/>
        <v/>
      </c>
      <c r="CC218" s="64" t="str">
        <f>if(F218="REFUNDED",iferror(Vlookup(I218,'Listing SKU - Fill SKU Mapping'!A:B,2,false),"Map"),"")</f>
        <v>IMP361BLK</v>
      </c>
      <c r="CD218" s="64" t="str">
        <f>if(F218="REFUNDED",iferror(Vlookup(I218,'Listing SKU - Fill SKU Mapping'!A:C,3,false),"Map"),"")</f>
        <v>Keystone</v>
      </c>
      <c r="CE218" s="64" t="str">
        <f t="shared" si="4"/>
        <v>2025</v>
      </c>
      <c r="CF218" s="64" t="str">
        <f t="shared" si="5"/>
        <v>August</v>
      </c>
      <c r="CG218" s="64" t="str">
        <f t="shared" si="6"/>
        <v/>
      </c>
    </row>
    <row r="219">
      <c r="A219" s="55">
        <v>2.0001E14</v>
      </c>
      <c r="B219" s="56">
        <v>1.0</v>
      </c>
      <c r="C219" s="57">
        <v>1.1902E14</v>
      </c>
      <c r="D219" s="58">
        <v>1.0</v>
      </c>
      <c r="F219" s="59" t="s">
        <v>100</v>
      </c>
      <c r="G219" s="60">
        <v>45902.0</v>
      </c>
      <c r="H219" s="58">
        <v>1.0</v>
      </c>
      <c r="I219" s="58" t="s">
        <v>398</v>
      </c>
      <c r="J219" s="61">
        <v>4.66885055274E11</v>
      </c>
      <c r="K219" s="63"/>
      <c r="L219" s="63"/>
      <c r="M219" s="63"/>
      <c r="N219" s="63"/>
      <c r="O219" s="63"/>
      <c r="P219" s="63"/>
      <c r="Q219" s="63"/>
      <c r="R219" s="63"/>
      <c r="S219" s="63"/>
      <c r="T219" s="58" t="s">
        <v>105</v>
      </c>
      <c r="U219" s="59">
        <v>69.58</v>
      </c>
      <c r="V219" s="59">
        <v>67.87</v>
      </c>
      <c r="W219" s="58">
        <v>5.11</v>
      </c>
      <c r="X219" s="58">
        <v>7.0</v>
      </c>
      <c r="Y219" s="68">
        <v>63.98</v>
      </c>
      <c r="Z219" s="69">
        <v>0.0</v>
      </c>
      <c r="AA219" s="68">
        <v>0.0</v>
      </c>
      <c r="AB219" s="68">
        <v>0.0</v>
      </c>
      <c r="AC219" s="68">
        <v>0.0</v>
      </c>
      <c r="AD219" s="68">
        <v>0.0</v>
      </c>
      <c r="AE219" s="68">
        <v>0.0</v>
      </c>
      <c r="AF219" s="68">
        <v>0.0</v>
      </c>
      <c r="AG219" s="68">
        <v>0.0</v>
      </c>
      <c r="AH219" s="68">
        <v>0.0</v>
      </c>
      <c r="AI219" s="68">
        <v>0.0</v>
      </c>
      <c r="AJ219" s="68">
        <v>0.0</v>
      </c>
      <c r="AK219" s="68">
        <v>0.0</v>
      </c>
      <c r="AL219" s="68">
        <v>0.0</v>
      </c>
      <c r="AM219" s="68">
        <v>0.0</v>
      </c>
      <c r="AN219" s="68">
        <v>0.0</v>
      </c>
      <c r="AO219" s="68">
        <v>5.6</v>
      </c>
      <c r="AP219" s="68">
        <v>0.0</v>
      </c>
      <c r="AQ219" s="68">
        <v>0.0</v>
      </c>
      <c r="AR219" s="68">
        <v>0.0</v>
      </c>
      <c r="AS219" s="68">
        <v>0.0</v>
      </c>
      <c r="AT219" s="68">
        <v>0.0</v>
      </c>
      <c r="AU219" s="68">
        <v>0.0</v>
      </c>
      <c r="AV219" s="68">
        <v>0.0</v>
      </c>
      <c r="AW219" s="68">
        <v>0.0</v>
      </c>
      <c r="AX219" s="68">
        <v>0.0</v>
      </c>
      <c r="AY219" s="68">
        <v>0.0</v>
      </c>
      <c r="AZ219" s="68">
        <v>0.0</v>
      </c>
      <c r="BA219" s="68">
        <v>0.0</v>
      </c>
      <c r="BB219" s="68">
        <v>5.6</v>
      </c>
      <c r="BC219" s="68" t="s">
        <v>106</v>
      </c>
      <c r="BD219" s="68"/>
      <c r="BF219" s="70">
        <v>72.98</v>
      </c>
      <c r="BG219" s="68">
        <v>-7.3</v>
      </c>
      <c r="BH219" s="68" t="s">
        <v>107</v>
      </c>
      <c r="BI219" s="68" t="s">
        <v>108</v>
      </c>
      <c r="BJ219" s="68" t="s">
        <v>109</v>
      </c>
      <c r="BK219" s="68" t="s">
        <v>394</v>
      </c>
      <c r="BM219" s="68"/>
      <c r="BN219" s="70" t="s">
        <v>111</v>
      </c>
      <c r="BO219" s="68" t="s">
        <v>112</v>
      </c>
      <c r="BP219" s="68" t="s">
        <v>113</v>
      </c>
      <c r="BQ219" s="68" t="s">
        <v>317</v>
      </c>
      <c r="BR219" s="68">
        <v>2.19</v>
      </c>
      <c r="BS219" s="68"/>
      <c r="BT219" s="70">
        <v>-9.0</v>
      </c>
      <c r="BU219" s="68" t="s">
        <v>318</v>
      </c>
      <c r="BW219" s="64" t="str">
        <f>if(OR(F219="SALE",F219="REFUNDED"),IFERROR(Vlookup(I219,'Listing SKU - Fill SKU Mapping'!A:C,3,false),"Map"),"")</f>
        <v>Keystone</v>
      </c>
      <c r="BX219" s="64" t="str">
        <f>IF(OR(F219="SALE",F219="REFUNDED")=TRUE,iferror(Vlookup(I219,'Listing SKU - Fill SKU Mapping'!A:B,2,false),"Map"),"")</f>
        <v>103816S</v>
      </c>
      <c r="BY219" s="64">
        <f>IF(OR(F219="SALE",F219="REFUNDED")=TRUE,iferror(Vlookup(I219,'Listing SKU - Fill SKU Mapping'!A:D,4,false),"Map"),"")</f>
        <v>25.25</v>
      </c>
      <c r="BZ219" s="66">
        <f t="shared" si="1"/>
        <v>11.5</v>
      </c>
      <c r="CA219" s="66">
        <f t="shared" si="2"/>
        <v>36.75</v>
      </c>
      <c r="CB219" s="66">
        <f t="shared" si="3"/>
        <v>31.12</v>
      </c>
      <c r="CC219" s="64" t="str">
        <f>if(F219="REFUNDED",iferror(Vlookup(I219,'Listing SKU - Fill SKU Mapping'!A:B,2,false),"Map"),"")</f>
        <v/>
      </c>
      <c r="CD219" s="64" t="str">
        <f>if(F219="REFUNDED",iferror(Vlookup(I219,'Listing SKU - Fill SKU Mapping'!A:C,3,false),"Map"),"")</f>
        <v/>
      </c>
      <c r="CE219" s="64" t="str">
        <f t="shared" si="4"/>
        <v>2025</v>
      </c>
      <c r="CF219" s="64" t="str">
        <f t="shared" si="5"/>
        <v>September</v>
      </c>
      <c r="CG219" s="64" t="str">
        <f t="shared" si="6"/>
        <v/>
      </c>
    </row>
    <row r="220">
      <c r="A220" s="55">
        <v>2.0001E14</v>
      </c>
      <c r="B220" s="56">
        <v>1.0</v>
      </c>
      <c r="C220" s="57">
        <v>1.2902E14</v>
      </c>
      <c r="D220" s="58">
        <v>1.0</v>
      </c>
      <c r="F220" s="59" t="s">
        <v>100</v>
      </c>
      <c r="G220" s="60">
        <v>45894.0</v>
      </c>
      <c r="H220" s="58">
        <v>1.0</v>
      </c>
      <c r="I220" s="58" t="s">
        <v>135</v>
      </c>
      <c r="J220" s="61">
        <v>4.60776238333E11</v>
      </c>
      <c r="K220" s="63"/>
      <c r="L220" s="63"/>
      <c r="M220" s="63"/>
      <c r="N220" s="63"/>
      <c r="O220" s="63"/>
      <c r="P220" s="63"/>
      <c r="Q220" s="63"/>
      <c r="R220" s="63"/>
      <c r="S220" s="63"/>
      <c r="T220" s="58" t="s">
        <v>105</v>
      </c>
      <c r="U220" s="59">
        <v>105.54</v>
      </c>
      <c r="V220" s="59">
        <v>92.05</v>
      </c>
      <c r="W220" s="58">
        <v>6.93</v>
      </c>
      <c r="X220" s="58">
        <v>7.0</v>
      </c>
      <c r="Y220" s="68">
        <v>98.98</v>
      </c>
      <c r="Z220" s="69">
        <v>0.0</v>
      </c>
      <c r="AA220" s="68">
        <v>0.0</v>
      </c>
      <c r="AB220" s="68">
        <v>0.0</v>
      </c>
      <c r="AC220" s="68">
        <v>0.0</v>
      </c>
      <c r="AD220" s="68">
        <v>0.0</v>
      </c>
      <c r="AE220" s="68">
        <v>0.0</v>
      </c>
      <c r="AF220" s="68">
        <v>0.0</v>
      </c>
      <c r="AG220" s="68">
        <v>0.0</v>
      </c>
      <c r="AH220" s="68">
        <v>0.0</v>
      </c>
      <c r="AI220" s="68">
        <v>0.0</v>
      </c>
      <c r="AJ220" s="68">
        <v>0.0</v>
      </c>
      <c r="AK220" s="68">
        <v>0.0</v>
      </c>
      <c r="AL220" s="68">
        <v>0.0</v>
      </c>
      <c r="AM220" s="68">
        <v>0.0</v>
      </c>
      <c r="AN220" s="68">
        <v>0.0</v>
      </c>
      <c r="AO220" s="68">
        <v>6.56</v>
      </c>
      <c r="AP220" s="68">
        <v>0.0</v>
      </c>
      <c r="AQ220" s="68">
        <v>0.0</v>
      </c>
      <c r="AR220" s="68">
        <v>0.0</v>
      </c>
      <c r="AS220" s="68">
        <v>0.0</v>
      </c>
      <c r="AT220" s="68">
        <v>0.0</v>
      </c>
      <c r="AU220" s="68">
        <v>0.0</v>
      </c>
      <c r="AV220" s="68">
        <v>0.0</v>
      </c>
      <c r="AW220" s="68">
        <v>0.0</v>
      </c>
      <c r="AX220" s="68">
        <v>0.0</v>
      </c>
      <c r="AY220" s="68">
        <v>0.0</v>
      </c>
      <c r="AZ220" s="68">
        <v>0.0</v>
      </c>
      <c r="BA220" s="68">
        <v>0.0</v>
      </c>
      <c r="BB220" s="68">
        <v>6.56</v>
      </c>
      <c r="BC220" s="68" t="s">
        <v>106</v>
      </c>
      <c r="BD220" s="68"/>
      <c r="BG220" s="70">
        <v>-9.9</v>
      </c>
      <c r="BH220" s="68" t="s">
        <v>107</v>
      </c>
      <c r="BI220" s="68" t="s">
        <v>108</v>
      </c>
      <c r="BJ220" s="68" t="s">
        <v>109</v>
      </c>
      <c r="BK220" s="68" t="s">
        <v>392</v>
      </c>
      <c r="BM220" s="68"/>
      <c r="BN220" s="70" t="s">
        <v>111</v>
      </c>
      <c r="BO220" s="68" t="s">
        <v>112</v>
      </c>
      <c r="BP220" s="68" t="s">
        <v>113</v>
      </c>
      <c r="BQ220" s="68" t="s">
        <v>114</v>
      </c>
      <c r="BR220" s="68">
        <v>2.97</v>
      </c>
      <c r="BS220" s="68"/>
      <c r="BW220" s="64" t="str">
        <f>if(OR(F220="SALE",F220="REFUNDED"),IFERROR(Vlookup(I220,'Listing SKU - Fill SKU Mapping'!A:C,3,false),"Map"),"")</f>
        <v>Keystone</v>
      </c>
      <c r="BX220" s="64" t="str">
        <f>IF(OR(F220="SALE",F220="REFUNDED")=TRUE,iferror(Vlookup(I220,'Listing SKU - Fill SKU Mapping'!A:B,2,false),"Map"),"")</f>
        <v>IMP371X</v>
      </c>
      <c r="BY220" s="64">
        <f>IF(OR(F220="SALE",F220="REFUNDED")=TRUE,iferror(Vlookup(I220,'Listing SKU - Fill SKU Mapping'!A:D,4,false),"Map"),"")</f>
        <v>43.79</v>
      </c>
      <c r="BZ220" s="66">
        <f t="shared" si="1"/>
        <v>11.5</v>
      </c>
      <c r="CA220" s="66">
        <f t="shared" si="2"/>
        <v>55.29</v>
      </c>
      <c r="CB220" s="66">
        <f t="shared" si="3"/>
        <v>36.76</v>
      </c>
      <c r="CC220" s="64" t="str">
        <f>if(F220="REFUNDED",iferror(Vlookup(I220,'Listing SKU - Fill SKU Mapping'!A:B,2,false),"Map"),"")</f>
        <v/>
      </c>
      <c r="CD220" s="64" t="str">
        <f>if(F220="REFUNDED",iferror(Vlookup(I220,'Listing SKU - Fill SKU Mapping'!A:C,3,false),"Map"),"")</f>
        <v/>
      </c>
      <c r="CE220" s="64" t="str">
        <f t="shared" si="4"/>
        <v>2025</v>
      </c>
      <c r="CF220" s="64" t="str">
        <f t="shared" si="5"/>
        <v>August</v>
      </c>
      <c r="CG220" s="64" t="str">
        <f t="shared" si="6"/>
        <v/>
      </c>
    </row>
    <row r="221">
      <c r="A221" s="55">
        <v>2.0001E14</v>
      </c>
      <c r="B221" s="56">
        <v>1.0</v>
      </c>
      <c r="C221" s="57">
        <v>1.2902E14</v>
      </c>
      <c r="D221" s="58">
        <v>1.0</v>
      </c>
      <c r="F221" s="59" t="s">
        <v>128</v>
      </c>
      <c r="G221" s="60">
        <v>45904.0</v>
      </c>
      <c r="H221" s="58">
        <v>1.0</v>
      </c>
      <c r="I221" s="58" t="s">
        <v>135</v>
      </c>
      <c r="J221" s="61">
        <v>4.60776238333E11</v>
      </c>
      <c r="K221" s="63"/>
      <c r="L221" s="63"/>
      <c r="M221" s="63"/>
      <c r="N221" s="63"/>
      <c r="O221" s="63"/>
      <c r="P221" s="63"/>
      <c r="Q221" s="63"/>
      <c r="R221" s="63"/>
      <c r="S221" s="63"/>
      <c r="U221" s="59">
        <v>-105.54</v>
      </c>
      <c r="V221" s="59">
        <v>-92.05</v>
      </c>
      <c r="W221" s="58">
        <v>-6.93</v>
      </c>
      <c r="X221" s="58">
        <v>0.0</v>
      </c>
      <c r="Y221" s="68">
        <v>0.0</v>
      </c>
      <c r="Z221" s="69">
        <v>-98.98</v>
      </c>
      <c r="AA221" s="68">
        <v>0.0</v>
      </c>
      <c r="AB221" s="68">
        <v>0.0</v>
      </c>
      <c r="AC221" s="68">
        <v>0.0</v>
      </c>
      <c r="AD221" s="68">
        <v>0.0</v>
      </c>
      <c r="AE221" s="68">
        <v>0.0</v>
      </c>
      <c r="AF221" s="68">
        <v>0.0</v>
      </c>
      <c r="AG221" s="68">
        <v>0.0</v>
      </c>
      <c r="AH221" s="68">
        <v>0.0</v>
      </c>
      <c r="AI221" s="68">
        <v>0.0</v>
      </c>
      <c r="AJ221" s="68">
        <v>0.0</v>
      </c>
      <c r="AK221" s="68">
        <v>0.0</v>
      </c>
      <c r="AL221" s="68">
        <v>0.0</v>
      </c>
      <c r="AM221" s="68">
        <v>0.0</v>
      </c>
      <c r="AN221" s="68">
        <v>0.0</v>
      </c>
      <c r="AO221" s="68">
        <v>0.0</v>
      </c>
      <c r="AP221" s="68">
        <v>0.0</v>
      </c>
      <c r="AQ221" s="68">
        <v>0.0</v>
      </c>
      <c r="AR221" s="68">
        <v>0.0</v>
      </c>
      <c r="AS221" s="68">
        <v>0.0</v>
      </c>
      <c r="AT221" s="68">
        <v>-6.56</v>
      </c>
      <c r="AU221" s="68">
        <v>0.0</v>
      </c>
      <c r="AV221" s="68">
        <v>0.0</v>
      </c>
      <c r="AW221" s="68">
        <v>0.0</v>
      </c>
      <c r="AX221" s="68">
        <v>0.0</v>
      </c>
      <c r="AY221" s="68">
        <v>0.0</v>
      </c>
      <c r="AZ221" s="68">
        <v>0.0</v>
      </c>
      <c r="BA221" s="68">
        <v>0.0</v>
      </c>
      <c r="BB221" s="68">
        <v>-6.56</v>
      </c>
      <c r="BC221" s="68" t="s">
        <v>106</v>
      </c>
      <c r="BD221" s="68" t="s">
        <v>156</v>
      </c>
      <c r="BE221" s="68">
        <v>5010.0</v>
      </c>
      <c r="BF221" s="68"/>
      <c r="BH221" s="70" t="s">
        <v>107</v>
      </c>
      <c r="BI221" s="68" t="s">
        <v>108</v>
      </c>
      <c r="BK221" s="68"/>
      <c r="BL221" s="70">
        <v>1016.0</v>
      </c>
      <c r="BM221" s="68" t="s">
        <v>258</v>
      </c>
      <c r="BN221" s="68" t="s">
        <v>111</v>
      </c>
      <c r="BO221" s="68" t="s">
        <v>112</v>
      </c>
      <c r="BQ221" s="68"/>
      <c r="BW221" s="64" t="str">
        <f>if(OR(F221="SALE",F221="REFUNDED"),IFERROR(Vlookup(I221,'Listing SKU - Fill SKU Mapping'!A:C,3,false),"Map"),"")</f>
        <v>Keystone</v>
      </c>
      <c r="BX221" s="64" t="str">
        <f>IF(OR(F221="SALE",F221="REFUNDED")=TRUE,iferror(Vlookup(I221,'Listing SKU - Fill SKU Mapping'!A:B,2,false),"Map"),"")</f>
        <v>IMP371X</v>
      </c>
      <c r="BY221" s="64">
        <f>IF(OR(F221="SALE",F221="REFUNDED")=TRUE,iferror(Vlookup(I221,'Listing SKU - Fill SKU Mapping'!A:D,4,false),"Map"),"")</f>
        <v>43.79</v>
      </c>
      <c r="BZ221" s="66">
        <f t="shared" si="1"/>
        <v>11.5</v>
      </c>
      <c r="CA221" s="66">
        <f t="shared" si="2"/>
        <v>55.29</v>
      </c>
      <c r="CB221" s="64" t="str">
        <f t="shared" si="3"/>
        <v/>
      </c>
      <c r="CC221" s="64" t="str">
        <f>if(F221="REFUNDED",iferror(Vlookup(I221,'Listing SKU - Fill SKU Mapping'!A:B,2,false),"Map"),"")</f>
        <v>IMP371X</v>
      </c>
      <c r="CD221" s="64" t="str">
        <f>if(F221="REFUNDED",iferror(Vlookup(I221,'Listing SKU - Fill SKU Mapping'!A:C,3,false),"Map"),"")</f>
        <v>Keystone</v>
      </c>
      <c r="CE221" s="64" t="str">
        <f t="shared" si="4"/>
        <v>2025</v>
      </c>
      <c r="CF221" s="64" t="str">
        <f t="shared" si="5"/>
        <v>September</v>
      </c>
      <c r="CG221" s="64" t="str">
        <f t="shared" si="6"/>
        <v/>
      </c>
    </row>
    <row r="222">
      <c r="A222" s="55">
        <v>2.0001E14</v>
      </c>
      <c r="B222" s="56">
        <v>1.0</v>
      </c>
      <c r="C222" s="57">
        <v>1.2902E14</v>
      </c>
      <c r="D222" s="58">
        <v>1.0</v>
      </c>
      <c r="F222" s="59" t="s">
        <v>100</v>
      </c>
      <c r="G222" s="60">
        <v>45897.0</v>
      </c>
      <c r="H222" s="58">
        <v>1.0</v>
      </c>
      <c r="I222" s="58" t="s">
        <v>359</v>
      </c>
      <c r="J222" s="61">
        <v>4.6712995845E11</v>
      </c>
      <c r="K222" s="63"/>
      <c r="L222" s="63"/>
      <c r="M222" s="63"/>
      <c r="N222" s="63"/>
      <c r="O222" s="63"/>
      <c r="P222" s="63"/>
      <c r="Q222" s="63"/>
      <c r="R222" s="63"/>
      <c r="S222" s="63"/>
      <c r="T222" s="58" t="s">
        <v>105</v>
      </c>
      <c r="U222" s="59">
        <v>80.89</v>
      </c>
      <c r="V222" s="59">
        <v>78.1</v>
      </c>
      <c r="W222" s="58">
        <v>5.88</v>
      </c>
      <c r="X222" s="58">
        <v>7.0</v>
      </c>
      <c r="Y222" s="68">
        <v>74.9</v>
      </c>
      <c r="Z222" s="69">
        <v>0.0</v>
      </c>
      <c r="AA222" s="68">
        <v>0.0</v>
      </c>
      <c r="AB222" s="68">
        <v>0.0</v>
      </c>
      <c r="AC222" s="68">
        <v>0.0</v>
      </c>
      <c r="AD222" s="68">
        <v>0.0</v>
      </c>
      <c r="AE222" s="68">
        <v>0.0</v>
      </c>
      <c r="AF222" s="68">
        <v>0.0</v>
      </c>
      <c r="AG222" s="68">
        <v>0.0</v>
      </c>
      <c r="AH222" s="68">
        <v>0.0</v>
      </c>
      <c r="AI222" s="68">
        <v>0.0</v>
      </c>
      <c r="AJ222" s="68">
        <v>0.0</v>
      </c>
      <c r="AK222" s="68">
        <v>0.0</v>
      </c>
      <c r="AL222" s="68">
        <v>0.0</v>
      </c>
      <c r="AM222" s="68">
        <v>0.0</v>
      </c>
      <c r="AN222" s="68">
        <v>0.0</v>
      </c>
      <c r="AO222" s="68">
        <v>5.99</v>
      </c>
      <c r="AP222" s="68">
        <v>0.0</v>
      </c>
      <c r="AQ222" s="68">
        <v>0.0</v>
      </c>
      <c r="AR222" s="68">
        <v>0.0</v>
      </c>
      <c r="AS222" s="68">
        <v>0.0</v>
      </c>
      <c r="AT222" s="68">
        <v>0.0</v>
      </c>
      <c r="AU222" s="68">
        <v>0.0</v>
      </c>
      <c r="AV222" s="68">
        <v>0.0</v>
      </c>
      <c r="AW222" s="68">
        <v>0.0</v>
      </c>
      <c r="AX222" s="68">
        <v>0.0</v>
      </c>
      <c r="AY222" s="68">
        <v>0.0</v>
      </c>
      <c r="AZ222" s="68">
        <v>0.0</v>
      </c>
      <c r="BA222" s="68">
        <v>0.0</v>
      </c>
      <c r="BB222" s="68">
        <v>5.99</v>
      </c>
      <c r="BC222" s="68" t="s">
        <v>106</v>
      </c>
      <c r="BD222" s="68"/>
      <c r="BF222" s="70">
        <v>83.98</v>
      </c>
      <c r="BG222" s="68">
        <v>-8.4</v>
      </c>
      <c r="BH222" s="68" t="s">
        <v>107</v>
      </c>
      <c r="BI222" s="68" t="s">
        <v>108</v>
      </c>
      <c r="BJ222" s="68" t="s">
        <v>109</v>
      </c>
      <c r="BK222" s="68" t="s">
        <v>333</v>
      </c>
      <c r="BM222" s="68"/>
      <c r="BN222" s="70" t="s">
        <v>111</v>
      </c>
      <c r="BO222" s="68" t="s">
        <v>112</v>
      </c>
      <c r="BP222" s="68" t="s">
        <v>113</v>
      </c>
      <c r="BQ222" s="68" t="s">
        <v>317</v>
      </c>
      <c r="BR222" s="68">
        <v>2.52</v>
      </c>
      <c r="BS222" s="68"/>
      <c r="BT222" s="70">
        <v>-9.08</v>
      </c>
      <c r="BU222" s="68" t="s">
        <v>318</v>
      </c>
      <c r="BW222" s="64" t="str">
        <f>if(OR(F222="SALE",F222="REFUNDED"),IFERROR(Vlookup(I222,'Listing SKU - Fill SKU Mapping'!A:C,3,false),"Map"),"")</f>
        <v>Keystone</v>
      </c>
      <c r="BX222" s="64" t="str">
        <f>IF(OR(F222="SALE",F222="REFUNDED")=TRUE,iferror(Vlookup(I222,'Listing SKU - Fill SKU Mapping'!A:B,2,false),"Map"),"")</f>
        <v>43916S</v>
      </c>
      <c r="BY222" s="64">
        <f>IF(OR(F222="SALE",F222="REFUNDED")=TRUE,iferror(Vlookup(I222,'Listing SKU - Fill SKU Mapping'!A:D,4,false),"Map"),"")</f>
        <v>32.35</v>
      </c>
      <c r="BZ222" s="66">
        <f t="shared" si="1"/>
        <v>11.5</v>
      </c>
      <c r="CA222" s="66">
        <f t="shared" si="2"/>
        <v>43.85</v>
      </c>
      <c r="CB222" s="66">
        <f t="shared" si="3"/>
        <v>34.25</v>
      </c>
      <c r="CC222" s="64" t="str">
        <f>if(F222="REFUNDED",iferror(Vlookup(I222,'Listing SKU - Fill SKU Mapping'!A:B,2,false),"Map"),"")</f>
        <v/>
      </c>
      <c r="CD222" s="64" t="str">
        <f>if(F222="REFUNDED",iferror(Vlookup(I222,'Listing SKU - Fill SKU Mapping'!A:C,3,false),"Map"),"")</f>
        <v/>
      </c>
      <c r="CE222" s="64" t="str">
        <f t="shared" si="4"/>
        <v>2025</v>
      </c>
      <c r="CF222" s="64" t="str">
        <f t="shared" si="5"/>
        <v>August</v>
      </c>
      <c r="CG222" s="64" t="str">
        <f t="shared" si="6"/>
        <v/>
      </c>
    </row>
    <row r="223">
      <c r="A223" s="55">
        <v>2.0001E14</v>
      </c>
      <c r="B223" s="56">
        <v>2.0</v>
      </c>
      <c r="C223" s="57">
        <v>1.2902E14</v>
      </c>
      <c r="D223" s="58">
        <v>2.0</v>
      </c>
      <c r="F223" s="59" t="s">
        <v>100</v>
      </c>
      <c r="G223" s="60">
        <v>45894.0</v>
      </c>
      <c r="H223" s="58">
        <v>1.0</v>
      </c>
      <c r="I223" s="58" t="s">
        <v>397</v>
      </c>
      <c r="J223" s="61">
        <v>4.6456712584E11</v>
      </c>
      <c r="K223" s="63"/>
      <c r="L223" s="63"/>
      <c r="M223" s="63"/>
      <c r="N223" s="63"/>
      <c r="O223" s="63"/>
      <c r="P223" s="63"/>
      <c r="Q223" s="63"/>
      <c r="R223" s="63"/>
      <c r="S223" s="63"/>
      <c r="T223" s="58" t="s">
        <v>105</v>
      </c>
      <c r="U223" s="59">
        <v>99.34</v>
      </c>
      <c r="V223" s="59">
        <v>85.54</v>
      </c>
      <c r="W223" s="58">
        <v>6.44</v>
      </c>
      <c r="X223" s="58">
        <v>7.0</v>
      </c>
      <c r="Y223" s="68">
        <v>91.98</v>
      </c>
      <c r="Z223" s="69">
        <v>0.0</v>
      </c>
      <c r="AA223" s="68">
        <v>0.0</v>
      </c>
      <c r="AB223" s="68">
        <v>0.0</v>
      </c>
      <c r="AC223" s="68">
        <v>0.0</v>
      </c>
      <c r="AD223" s="68">
        <v>0.0</v>
      </c>
      <c r="AE223" s="68">
        <v>0.0</v>
      </c>
      <c r="AF223" s="68">
        <v>0.0</v>
      </c>
      <c r="AG223" s="68">
        <v>0.0</v>
      </c>
      <c r="AH223" s="68">
        <v>0.0</v>
      </c>
      <c r="AI223" s="68">
        <v>0.0</v>
      </c>
      <c r="AJ223" s="68">
        <v>0.0</v>
      </c>
      <c r="AK223" s="68">
        <v>0.0</v>
      </c>
      <c r="AL223" s="68">
        <v>0.0</v>
      </c>
      <c r="AM223" s="68">
        <v>0.0</v>
      </c>
      <c r="AN223" s="68">
        <v>0.0</v>
      </c>
      <c r="AO223" s="68">
        <v>7.36</v>
      </c>
      <c r="AP223" s="68">
        <v>0.0</v>
      </c>
      <c r="AQ223" s="68">
        <v>0.0</v>
      </c>
      <c r="AR223" s="68">
        <v>0.0</v>
      </c>
      <c r="AS223" s="68">
        <v>0.0</v>
      </c>
      <c r="AT223" s="68">
        <v>0.0</v>
      </c>
      <c r="AU223" s="68">
        <v>0.0</v>
      </c>
      <c r="AV223" s="68">
        <v>0.0</v>
      </c>
      <c r="AW223" s="68">
        <v>0.0</v>
      </c>
      <c r="AX223" s="68">
        <v>0.0</v>
      </c>
      <c r="AY223" s="68">
        <v>0.0</v>
      </c>
      <c r="AZ223" s="68">
        <v>0.0</v>
      </c>
      <c r="BA223" s="68">
        <v>0.0</v>
      </c>
      <c r="BB223" s="68">
        <v>7.36</v>
      </c>
      <c r="BC223" s="68" t="s">
        <v>106</v>
      </c>
      <c r="BD223" s="68"/>
      <c r="BG223" s="70">
        <v>-9.2</v>
      </c>
      <c r="BH223" s="68" t="s">
        <v>107</v>
      </c>
      <c r="BI223" s="68" t="s">
        <v>108</v>
      </c>
      <c r="BJ223" s="68" t="s">
        <v>109</v>
      </c>
      <c r="BK223" s="68" t="s">
        <v>392</v>
      </c>
      <c r="BM223" s="68"/>
      <c r="BN223" s="70" t="s">
        <v>111</v>
      </c>
      <c r="BO223" s="68" t="s">
        <v>112</v>
      </c>
      <c r="BP223" s="68" t="s">
        <v>113</v>
      </c>
      <c r="BQ223" s="68" t="s">
        <v>114</v>
      </c>
      <c r="BR223" s="68">
        <v>2.76</v>
      </c>
      <c r="BS223" s="68"/>
      <c r="BW223" s="64" t="str">
        <f>if(OR(F223="SALE",F223="REFUNDED"),IFERROR(Vlookup(I223,'Listing SKU - Fill SKU Mapping'!A:C,3,false),"Map"),"")</f>
        <v>Keystone</v>
      </c>
      <c r="BX223" s="64" t="str">
        <f>IF(OR(F223="SALE",F223="REFUNDED")=TRUE,iferror(Vlookup(I223,'Listing SKU - Fill SKU Mapping'!A:B,2,false),"Map"),"")</f>
        <v>IMP360X</v>
      </c>
      <c r="BY223" s="64">
        <f>IF(OR(F223="SALE",F223="REFUNDED")=TRUE,iferror(Vlookup(I223,'Listing SKU - Fill SKU Mapping'!A:D,4,false),"Map"),"")</f>
        <v>43.79</v>
      </c>
      <c r="BZ223" s="66">
        <f t="shared" si="1"/>
        <v>11.5</v>
      </c>
      <c r="CA223" s="66">
        <f t="shared" si="2"/>
        <v>55.29</v>
      </c>
      <c r="CB223" s="66">
        <f t="shared" si="3"/>
        <v>30.25</v>
      </c>
      <c r="CC223" s="64" t="str">
        <f>if(F223="REFUNDED",iferror(Vlookup(I223,'Listing SKU - Fill SKU Mapping'!A:B,2,false),"Map"),"")</f>
        <v/>
      </c>
      <c r="CD223" s="64" t="str">
        <f>if(F223="REFUNDED",iferror(Vlookup(I223,'Listing SKU - Fill SKU Mapping'!A:C,3,false),"Map"),"")</f>
        <v/>
      </c>
      <c r="CE223" s="64" t="str">
        <f t="shared" si="4"/>
        <v>2025</v>
      </c>
      <c r="CF223" s="64" t="str">
        <f t="shared" si="5"/>
        <v>August</v>
      </c>
      <c r="CG223" s="64" t="str">
        <f t="shared" si="6"/>
        <v/>
      </c>
    </row>
    <row r="224">
      <c r="A224" s="55">
        <v>2.0001E14</v>
      </c>
      <c r="B224" s="56">
        <v>1.0</v>
      </c>
      <c r="C224" s="57">
        <v>1.2902E14</v>
      </c>
      <c r="D224" s="58">
        <v>1.0</v>
      </c>
      <c r="F224" s="59" t="s">
        <v>100</v>
      </c>
      <c r="G224" s="60">
        <v>45902.0</v>
      </c>
      <c r="H224" s="58">
        <v>1.0</v>
      </c>
      <c r="I224" s="58" t="s">
        <v>220</v>
      </c>
      <c r="J224" s="61">
        <v>4.60776238135E11</v>
      </c>
      <c r="K224" s="63"/>
      <c r="L224" s="63"/>
      <c r="M224" s="63"/>
      <c r="N224" s="63"/>
      <c r="O224" s="63"/>
      <c r="P224" s="63"/>
      <c r="Q224" s="63"/>
      <c r="R224" s="63"/>
      <c r="S224" s="63"/>
      <c r="T224" s="58" t="s">
        <v>105</v>
      </c>
      <c r="U224" s="59">
        <v>108.14</v>
      </c>
      <c r="V224" s="59">
        <v>102.28</v>
      </c>
      <c r="W224" s="58">
        <v>7.7</v>
      </c>
      <c r="X224" s="58">
        <v>7.0</v>
      </c>
      <c r="Y224" s="68">
        <v>99.9</v>
      </c>
      <c r="Z224" s="69">
        <v>0.0</v>
      </c>
      <c r="AA224" s="68">
        <v>0.0</v>
      </c>
      <c r="AB224" s="68">
        <v>0.0</v>
      </c>
      <c r="AC224" s="68">
        <v>0.0</v>
      </c>
      <c r="AD224" s="68">
        <v>0.0</v>
      </c>
      <c r="AE224" s="68">
        <v>0.0</v>
      </c>
      <c r="AF224" s="68">
        <v>0.0</v>
      </c>
      <c r="AG224" s="68">
        <v>0.0</v>
      </c>
      <c r="AH224" s="68">
        <v>0.0</v>
      </c>
      <c r="AI224" s="68">
        <v>0.0</v>
      </c>
      <c r="AJ224" s="68">
        <v>0.0</v>
      </c>
      <c r="AK224" s="68">
        <v>0.0</v>
      </c>
      <c r="AL224" s="68">
        <v>0.0</v>
      </c>
      <c r="AM224" s="68">
        <v>0.0</v>
      </c>
      <c r="AN224" s="68">
        <v>0.0</v>
      </c>
      <c r="AO224" s="68">
        <v>8.24</v>
      </c>
      <c r="AP224" s="68">
        <v>0.0</v>
      </c>
      <c r="AQ224" s="68">
        <v>0.0</v>
      </c>
      <c r="AR224" s="68">
        <v>0.0</v>
      </c>
      <c r="AS224" s="68">
        <v>0.0</v>
      </c>
      <c r="AT224" s="68">
        <v>0.0</v>
      </c>
      <c r="AU224" s="68">
        <v>0.0</v>
      </c>
      <c r="AV224" s="68">
        <v>0.0</v>
      </c>
      <c r="AW224" s="68">
        <v>0.0</v>
      </c>
      <c r="AX224" s="68">
        <v>0.0</v>
      </c>
      <c r="AY224" s="68">
        <v>0.0</v>
      </c>
      <c r="AZ224" s="68">
        <v>0.0</v>
      </c>
      <c r="BA224" s="68">
        <v>0.0</v>
      </c>
      <c r="BB224" s="68">
        <v>8.24</v>
      </c>
      <c r="BC224" s="68" t="s">
        <v>106</v>
      </c>
      <c r="BD224" s="68"/>
      <c r="BF224" s="70">
        <v>109.98</v>
      </c>
      <c r="BG224" s="68">
        <v>-11.0</v>
      </c>
      <c r="BH224" s="68" t="s">
        <v>107</v>
      </c>
      <c r="BI224" s="68" t="s">
        <v>108</v>
      </c>
      <c r="BJ224" s="68" t="s">
        <v>109</v>
      </c>
      <c r="BK224" s="68" t="s">
        <v>394</v>
      </c>
      <c r="BM224" s="68"/>
      <c r="BN224" s="70" t="s">
        <v>111</v>
      </c>
      <c r="BO224" s="68" t="s">
        <v>112</v>
      </c>
      <c r="BP224" s="68" t="s">
        <v>113</v>
      </c>
      <c r="BQ224" s="68" t="s">
        <v>317</v>
      </c>
      <c r="BR224" s="68">
        <v>3.3</v>
      </c>
      <c r="BS224" s="68"/>
      <c r="BT224" s="70">
        <v>-10.08</v>
      </c>
      <c r="BU224" s="68" t="s">
        <v>318</v>
      </c>
      <c r="BW224" s="64" t="str">
        <f>if(OR(F224="SALE",F224="REFUNDED"),IFERROR(Vlookup(I224,'Listing SKU - Fill SKU Mapping'!A:C,3,false),"Map"),"")</f>
        <v>Keystone</v>
      </c>
      <c r="BX224" s="64" t="str">
        <f>IF(OR(F224="SALE",F224="REFUNDED")=TRUE,iferror(Vlookup(I224,'Listing SKU - Fill SKU Mapping'!A:B,2,false),"Map"),"")</f>
        <v>IMP409BLK</v>
      </c>
      <c r="BY224" s="64">
        <f>IF(OR(F224="SALE",F224="REFUNDED")=TRUE,iferror(Vlookup(I224,'Listing SKU - Fill SKU Mapping'!A:D,4,false),"Map"),"")</f>
        <v>50.49</v>
      </c>
      <c r="BZ224" s="66">
        <f t="shared" si="1"/>
        <v>11.5</v>
      </c>
      <c r="CA224" s="66">
        <f t="shared" si="2"/>
        <v>61.99</v>
      </c>
      <c r="CB224" s="66">
        <f t="shared" si="3"/>
        <v>40.29</v>
      </c>
      <c r="CC224" s="64" t="str">
        <f>if(F224="REFUNDED",iferror(Vlookup(I224,'Listing SKU - Fill SKU Mapping'!A:B,2,false),"Map"),"")</f>
        <v/>
      </c>
      <c r="CD224" s="64" t="str">
        <f>if(F224="REFUNDED",iferror(Vlookup(I224,'Listing SKU - Fill SKU Mapping'!A:C,3,false),"Map"),"")</f>
        <v/>
      </c>
      <c r="CE224" s="64" t="str">
        <f t="shared" si="4"/>
        <v>2025</v>
      </c>
      <c r="CF224" s="64" t="str">
        <f t="shared" si="5"/>
        <v>September</v>
      </c>
      <c r="CG224" s="64" t="str">
        <f t="shared" si="6"/>
        <v/>
      </c>
    </row>
    <row r="225">
      <c r="A225" s="55">
        <v>2.0001E14</v>
      </c>
      <c r="B225" s="56">
        <v>1.0</v>
      </c>
      <c r="C225" s="57">
        <v>1.1902E14</v>
      </c>
      <c r="D225" s="58">
        <v>1.0</v>
      </c>
      <c r="F225" s="59" t="s">
        <v>100</v>
      </c>
      <c r="G225" s="60">
        <v>45902.0</v>
      </c>
      <c r="H225" s="58">
        <v>1.0</v>
      </c>
      <c r="I225" s="58" t="s">
        <v>386</v>
      </c>
      <c r="J225" s="61">
        <v>4.67620062427E11</v>
      </c>
      <c r="K225" s="63"/>
      <c r="L225" s="63"/>
      <c r="M225" s="63"/>
      <c r="N225" s="63"/>
      <c r="O225" s="63"/>
      <c r="P225" s="63"/>
      <c r="Q225" s="63"/>
      <c r="R225" s="63"/>
      <c r="S225" s="63"/>
      <c r="T225" s="58" t="s">
        <v>105</v>
      </c>
      <c r="U225" s="59">
        <v>66.17</v>
      </c>
      <c r="V225" s="59">
        <v>57.65</v>
      </c>
      <c r="W225" s="58">
        <v>4.34</v>
      </c>
      <c r="X225" s="58">
        <v>7.0</v>
      </c>
      <c r="Y225" s="68">
        <v>61.99</v>
      </c>
      <c r="Z225" s="69">
        <v>0.0</v>
      </c>
      <c r="AA225" s="68">
        <v>0.0</v>
      </c>
      <c r="AB225" s="68">
        <v>0.0</v>
      </c>
      <c r="AC225" s="68">
        <v>0.0</v>
      </c>
      <c r="AD225" s="68">
        <v>0.0</v>
      </c>
      <c r="AE225" s="68">
        <v>0.0</v>
      </c>
      <c r="AF225" s="68">
        <v>0.0</v>
      </c>
      <c r="AG225" s="68">
        <v>0.0</v>
      </c>
      <c r="AH225" s="68">
        <v>0.0</v>
      </c>
      <c r="AI225" s="68">
        <v>0.0</v>
      </c>
      <c r="AJ225" s="68">
        <v>0.0</v>
      </c>
      <c r="AK225" s="68">
        <v>0.0</v>
      </c>
      <c r="AL225" s="68">
        <v>0.0</v>
      </c>
      <c r="AM225" s="68">
        <v>0.0</v>
      </c>
      <c r="AN225" s="68">
        <v>0.0</v>
      </c>
      <c r="AO225" s="68">
        <v>4.18</v>
      </c>
      <c r="AP225" s="68">
        <v>0.0</v>
      </c>
      <c r="AQ225" s="68">
        <v>0.0</v>
      </c>
      <c r="AR225" s="68">
        <v>0.0</v>
      </c>
      <c r="AS225" s="68">
        <v>0.0</v>
      </c>
      <c r="AT225" s="68">
        <v>0.0</v>
      </c>
      <c r="AU225" s="68">
        <v>0.0</v>
      </c>
      <c r="AV225" s="68">
        <v>0.0</v>
      </c>
      <c r="AW225" s="68">
        <v>0.0</v>
      </c>
      <c r="AX225" s="68">
        <v>0.0</v>
      </c>
      <c r="AY225" s="68">
        <v>0.0</v>
      </c>
      <c r="AZ225" s="68">
        <v>0.0</v>
      </c>
      <c r="BA225" s="68">
        <v>0.0</v>
      </c>
      <c r="BB225" s="68">
        <v>4.18</v>
      </c>
      <c r="BC225" s="68" t="s">
        <v>106</v>
      </c>
      <c r="BD225" s="68"/>
      <c r="BG225" s="70">
        <v>-6.2</v>
      </c>
      <c r="BH225" s="68" t="s">
        <v>107</v>
      </c>
      <c r="BI225" s="68" t="s">
        <v>108</v>
      </c>
      <c r="BJ225" s="68" t="s">
        <v>325</v>
      </c>
      <c r="BK225" s="68" t="s">
        <v>394</v>
      </c>
      <c r="BM225" s="68"/>
      <c r="BN225" s="70" t="s">
        <v>111</v>
      </c>
      <c r="BO225" s="68" t="s">
        <v>112</v>
      </c>
      <c r="BP225" s="68" t="s">
        <v>113</v>
      </c>
      <c r="BQ225" s="68" t="s">
        <v>114</v>
      </c>
      <c r="BR225" s="68">
        <v>1.86</v>
      </c>
      <c r="BS225" s="68"/>
      <c r="BW225" s="64" t="str">
        <f>if(OR(F225="SALE",F225="REFUNDED"),IFERROR(Vlookup(I225,'Listing SKU - Fill SKU Mapping'!A:C,3,false),"Map"),"")</f>
        <v>Keystone</v>
      </c>
      <c r="BX225" s="64" t="str">
        <f>IF(OR(F225="SALE",F225="REFUNDED")=TRUE,iferror(Vlookup(I225,'Listing SKU - Fill SKU Mapping'!A:B,2,false),"Map"),"")</f>
        <v>1515P</v>
      </c>
      <c r="BY225" s="64">
        <f>IF(OR(F225="SALE",F225="REFUNDED")=TRUE,iferror(Vlookup(I225,'Listing SKU - Fill SKU Mapping'!A:D,4,false),"Map"),"")</f>
        <v>24.46</v>
      </c>
      <c r="BZ225" s="66">
        <f t="shared" si="1"/>
        <v>11.5</v>
      </c>
      <c r="CA225" s="66">
        <f t="shared" si="2"/>
        <v>35.96</v>
      </c>
      <c r="CB225" s="66">
        <f t="shared" si="3"/>
        <v>21.69</v>
      </c>
      <c r="CC225" s="64" t="str">
        <f>if(F225="REFUNDED",iferror(Vlookup(I225,'Listing SKU - Fill SKU Mapping'!A:B,2,false),"Map"),"")</f>
        <v/>
      </c>
      <c r="CD225" s="64" t="str">
        <f>if(F225="REFUNDED",iferror(Vlookup(I225,'Listing SKU - Fill SKU Mapping'!A:C,3,false),"Map"),"")</f>
        <v/>
      </c>
      <c r="CE225" s="64" t="str">
        <f t="shared" si="4"/>
        <v>2025</v>
      </c>
      <c r="CF225" s="64" t="str">
        <f t="shared" si="5"/>
        <v>September</v>
      </c>
      <c r="CG225" s="64" t="str">
        <f t="shared" si="6"/>
        <v/>
      </c>
    </row>
    <row r="226">
      <c r="A226" s="55">
        <v>2.0001E14</v>
      </c>
      <c r="B226" s="56">
        <v>1.0</v>
      </c>
      <c r="C226" s="57">
        <v>1.2902E14</v>
      </c>
      <c r="D226" s="58">
        <v>1.0</v>
      </c>
      <c r="F226" s="59" t="s">
        <v>100</v>
      </c>
      <c r="G226" s="60">
        <v>45905.0</v>
      </c>
      <c r="H226" s="58">
        <v>1.0</v>
      </c>
      <c r="I226" s="58" t="s">
        <v>399</v>
      </c>
      <c r="J226" s="61">
        <v>4.68102664924E11</v>
      </c>
      <c r="K226" s="63"/>
      <c r="L226" s="63"/>
      <c r="M226" s="63"/>
      <c r="N226" s="63"/>
      <c r="O226" s="63"/>
      <c r="P226" s="63"/>
      <c r="Q226" s="63"/>
      <c r="R226" s="63"/>
      <c r="S226" s="63"/>
      <c r="T226" s="58" t="s">
        <v>105</v>
      </c>
      <c r="U226" s="59">
        <v>91.11</v>
      </c>
      <c r="V226" s="59">
        <v>79.93</v>
      </c>
      <c r="W226" s="58">
        <v>6.02</v>
      </c>
      <c r="X226" s="58">
        <v>7.0</v>
      </c>
      <c r="Y226" s="68">
        <v>85.95</v>
      </c>
      <c r="Z226" s="69">
        <v>0.0</v>
      </c>
      <c r="AA226" s="68">
        <v>0.0</v>
      </c>
      <c r="AB226" s="68">
        <v>0.0</v>
      </c>
      <c r="AC226" s="68">
        <v>0.0</v>
      </c>
      <c r="AD226" s="68">
        <v>0.0</v>
      </c>
      <c r="AE226" s="68">
        <v>0.0</v>
      </c>
      <c r="AF226" s="68">
        <v>0.0</v>
      </c>
      <c r="AG226" s="68">
        <v>0.0</v>
      </c>
      <c r="AH226" s="68">
        <v>0.0</v>
      </c>
      <c r="AI226" s="68">
        <v>0.0</v>
      </c>
      <c r="AJ226" s="68">
        <v>0.0</v>
      </c>
      <c r="AK226" s="68">
        <v>0.0</v>
      </c>
      <c r="AL226" s="68">
        <v>0.0</v>
      </c>
      <c r="AM226" s="68">
        <v>0.0</v>
      </c>
      <c r="AN226" s="68">
        <v>0.0</v>
      </c>
      <c r="AO226" s="68">
        <v>5.16</v>
      </c>
      <c r="AP226" s="68">
        <v>0.0</v>
      </c>
      <c r="AQ226" s="68">
        <v>0.0</v>
      </c>
      <c r="AR226" s="68">
        <v>0.0</v>
      </c>
      <c r="AS226" s="68">
        <v>0.0</v>
      </c>
      <c r="AT226" s="68">
        <v>0.0</v>
      </c>
      <c r="AU226" s="68">
        <v>0.0</v>
      </c>
      <c r="AV226" s="68">
        <v>0.0</v>
      </c>
      <c r="AW226" s="68">
        <v>0.0</v>
      </c>
      <c r="AX226" s="68">
        <v>0.0</v>
      </c>
      <c r="AY226" s="68">
        <v>0.0</v>
      </c>
      <c r="AZ226" s="68">
        <v>0.0</v>
      </c>
      <c r="BA226" s="68">
        <v>0.0</v>
      </c>
      <c r="BB226" s="68">
        <v>5.16</v>
      </c>
      <c r="BC226" s="68" t="s">
        <v>106</v>
      </c>
      <c r="BD226" s="68"/>
      <c r="BG226" s="70">
        <v>-8.6</v>
      </c>
      <c r="BH226" s="68" t="s">
        <v>107</v>
      </c>
      <c r="BI226" s="68" t="s">
        <v>108</v>
      </c>
      <c r="BJ226" s="68" t="s">
        <v>109</v>
      </c>
      <c r="BK226" s="68" t="s">
        <v>394</v>
      </c>
      <c r="BM226" s="68"/>
      <c r="BN226" s="70" t="s">
        <v>111</v>
      </c>
      <c r="BO226" s="68" t="s">
        <v>112</v>
      </c>
      <c r="BP226" s="68" t="s">
        <v>113</v>
      </c>
      <c r="BQ226" s="68" t="s">
        <v>114</v>
      </c>
      <c r="BR226" s="68">
        <v>2.58</v>
      </c>
      <c r="BS226" s="68"/>
      <c r="BW226" s="64" t="str">
        <f>if(OR(F226="SALE",F226="REFUNDED"),IFERROR(Vlookup(I226,'Listing SKU - Fill SKU Mapping'!A:C,3,false),"Map"),"")</f>
        <v>Keystone</v>
      </c>
      <c r="BX226" s="64" t="str">
        <f>IF(OR(F226="SALE",F226="REFUNDED")=TRUE,iferror(Vlookup(I226,'Listing SKU - Fill SKU Mapping'!A:B,2,false),"Map"),"")</f>
        <v>C5449</v>
      </c>
      <c r="BY226" s="64">
        <f>IF(OR(F226="SALE",F226="REFUNDED")=TRUE,iferror(Vlookup(I226,'Listing SKU - Fill SKU Mapping'!A:D,4,false),"Map"),"")</f>
        <v>41.82</v>
      </c>
      <c r="BZ226" s="66">
        <f t="shared" si="1"/>
        <v>11.5</v>
      </c>
      <c r="CA226" s="66">
        <f t="shared" si="2"/>
        <v>53.32</v>
      </c>
      <c r="CB226" s="66">
        <f t="shared" si="3"/>
        <v>26.61</v>
      </c>
      <c r="CC226" s="64" t="str">
        <f>if(F226="REFUNDED",iferror(Vlookup(I226,'Listing SKU - Fill SKU Mapping'!A:B,2,false),"Map"),"")</f>
        <v/>
      </c>
      <c r="CD226" s="64" t="str">
        <f>if(F226="REFUNDED",iferror(Vlookup(I226,'Listing SKU - Fill SKU Mapping'!A:C,3,false),"Map"),"")</f>
        <v/>
      </c>
      <c r="CE226" s="64" t="str">
        <f t="shared" si="4"/>
        <v>2025</v>
      </c>
      <c r="CF226" s="64" t="str">
        <f t="shared" si="5"/>
        <v>September</v>
      </c>
      <c r="CG226" s="64" t="str">
        <f t="shared" si="6"/>
        <v/>
      </c>
    </row>
    <row r="227">
      <c r="A227" s="55">
        <v>2.0001E14</v>
      </c>
      <c r="B227" s="56">
        <v>1.0</v>
      </c>
      <c r="C227" s="57">
        <v>1.2902E14</v>
      </c>
      <c r="D227" s="58">
        <v>1.0</v>
      </c>
      <c r="F227" s="59" t="s">
        <v>100</v>
      </c>
      <c r="G227" s="60">
        <v>45897.0</v>
      </c>
      <c r="H227" s="58">
        <v>1.0</v>
      </c>
      <c r="I227" s="58" t="s">
        <v>324</v>
      </c>
      <c r="J227" s="61">
        <v>4.67620062434E11</v>
      </c>
      <c r="K227" s="63"/>
      <c r="L227" s="63"/>
      <c r="M227" s="63"/>
      <c r="N227" s="63"/>
      <c r="O227" s="63"/>
      <c r="P227" s="63"/>
      <c r="Q227" s="63"/>
      <c r="R227" s="63"/>
      <c r="S227" s="63"/>
      <c r="T227" s="58" t="s">
        <v>105</v>
      </c>
      <c r="U227" s="59">
        <v>40.27</v>
      </c>
      <c r="V227" s="59">
        <v>35.33</v>
      </c>
      <c r="W227" s="58">
        <v>2.66</v>
      </c>
      <c r="X227" s="58">
        <v>7.0</v>
      </c>
      <c r="Y227" s="68">
        <v>37.99</v>
      </c>
      <c r="Z227" s="69">
        <v>0.0</v>
      </c>
      <c r="AA227" s="68">
        <v>0.0</v>
      </c>
      <c r="AB227" s="68">
        <v>0.0</v>
      </c>
      <c r="AC227" s="68">
        <v>0.0</v>
      </c>
      <c r="AD227" s="68">
        <v>0.0</v>
      </c>
      <c r="AE227" s="68">
        <v>0.0</v>
      </c>
      <c r="AF227" s="68">
        <v>0.0</v>
      </c>
      <c r="AG227" s="68">
        <v>0.0</v>
      </c>
      <c r="AH227" s="68">
        <v>0.0</v>
      </c>
      <c r="AI227" s="68">
        <v>0.0</v>
      </c>
      <c r="AJ227" s="68">
        <v>0.0</v>
      </c>
      <c r="AK227" s="68">
        <v>0.0</v>
      </c>
      <c r="AL227" s="68">
        <v>0.0</v>
      </c>
      <c r="AM227" s="68">
        <v>0.0</v>
      </c>
      <c r="AN227" s="68">
        <v>0.0</v>
      </c>
      <c r="AO227" s="68">
        <v>2.28</v>
      </c>
      <c r="AP227" s="68">
        <v>0.0</v>
      </c>
      <c r="AQ227" s="68">
        <v>0.0</v>
      </c>
      <c r="AR227" s="68">
        <v>0.0</v>
      </c>
      <c r="AS227" s="68">
        <v>0.0</v>
      </c>
      <c r="AT227" s="68">
        <v>0.0</v>
      </c>
      <c r="AU227" s="68">
        <v>0.0</v>
      </c>
      <c r="AV227" s="68">
        <v>0.0</v>
      </c>
      <c r="AW227" s="68">
        <v>0.0</v>
      </c>
      <c r="AX227" s="68">
        <v>0.0</v>
      </c>
      <c r="AY227" s="68">
        <v>0.0</v>
      </c>
      <c r="AZ227" s="68">
        <v>0.0</v>
      </c>
      <c r="BA227" s="68">
        <v>0.0</v>
      </c>
      <c r="BB227" s="68">
        <v>2.28</v>
      </c>
      <c r="BC227" s="68" t="s">
        <v>106</v>
      </c>
      <c r="BD227" s="68"/>
      <c r="BG227" s="70">
        <v>-3.8</v>
      </c>
      <c r="BH227" s="68" t="s">
        <v>107</v>
      </c>
      <c r="BI227" s="68" t="s">
        <v>108</v>
      </c>
      <c r="BJ227" s="68" t="s">
        <v>325</v>
      </c>
      <c r="BK227" s="68" t="s">
        <v>394</v>
      </c>
      <c r="BM227" s="68"/>
      <c r="BN227" s="70" t="s">
        <v>111</v>
      </c>
      <c r="BO227" s="68" t="s">
        <v>112</v>
      </c>
      <c r="BP227" s="68" t="s">
        <v>113</v>
      </c>
      <c r="BQ227" s="68" t="s">
        <v>114</v>
      </c>
      <c r="BR227" s="68">
        <v>1.14</v>
      </c>
      <c r="BS227" s="68"/>
      <c r="BW227" s="64" t="str">
        <f>if(OR(F227="SALE",F227="REFUNDED"),IFERROR(Vlookup(I227,'Listing SKU - Fill SKU Mapping'!A:C,3,false),"Map"),"")</f>
        <v>Keystone</v>
      </c>
      <c r="BX227" s="64" t="str">
        <f>IF(OR(F227="SALE",F227="REFUNDED")=TRUE,iferror(Vlookup(I227,'Listing SKU - Fill SKU Mapping'!A:B,2,false),"Map"),"")</f>
        <v>1515TP</v>
      </c>
      <c r="BY227" s="64">
        <f>IF(OR(F227="SALE",F227="REFUNDED")=TRUE,iferror(Vlookup(I227,'Listing SKU - Fill SKU Mapping'!A:D,4,false),"Map"),"")</f>
        <v>14.99</v>
      </c>
      <c r="BZ227" s="66">
        <f t="shared" si="1"/>
        <v>11.5</v>
      </c>
      <c r="CA227" s="66">
        <f t="shared" si="2"/>
        <v>26.49</v>
      </c>
      <c r="CB227" s="66">
        <f t="shared" si="3"/>
        <v>8.84</v>
      </c>
      <c r="CC227" s="64" t="str">
        <f>if(F227="REFUNDED",iferror(Vlookup(I227,'Listing SKU - Fill SKU Mapping'!A:B,2,false),"Map"),"")</f>
        <v/>
      </c>
      <c r="CD227" s="64" t="str">
        <f>if(F227="REFUNDED",iferror(Vlookup(I227,'Listing SKU - Fill SKU Mapping'!A:C,3,false),"Map"),"")</f>
        <v/>
      </c>
      <c r="CE227" s="64" t="str">
        <f t="shared" si="4"/>
        <v>2025</v>
      </c>
      <c r="CF227" s="64" t="str">
        <f t="shared" si="5"/>
        <v>August</v>
      </c>
      <c r="CG227" s="64" t="str">
        <f t="shared" si="6"/>
        <v/>
      </c>
    </row>
    <row r="228">
      <c r="A228" s="55">
        <v>2.0001E14</v>
      </c>
      <c r="B228" s="56">
        <v>1.0</v>
      </c>
      <c r="C228" s="57">
        <v>1.2902E14</v>
      </c>
      <c r="D228" s="58">
        <v>1.0</v>
      </c>
      <c r="F228" s="59" t="s">
        <v>100</v>
      </c>
      <c r="G228" s="60">
        <v>45896.0</v>
      </c>
      <c r="H228" s="58">
        <v>1.0</v>
      </c>
      <c r="I228" s="58" t="s">
        <v>400</v>
      </c>
      <c r="J228" s="61">
        <v>4.60776238401E11</v>
      </c>
      <c r="K228" s="63"/>
      <c r="L228" s="63"/>
      <c r="M228" s="63"/>
      <c r="N228" s="63"/>
      <c r="O228" s="63"/>
      <c r="P228" s="63"/>
      <c r="Q228" s="63"/>
      <c r="R228" s="63"/>
      <c r="S228" s="63"/>
      <c r="T228" s="58" t="s">
        <v>105</v>
      </c>
      <c r="U228" s="59">
        <v>119.82</v>
      </c>
      <c r="V228" s="59">
        <v>104.14</v>
      </c>
      <c r="W228" s="58">
        <v>7.84</v>
      </c>
      <c r="X228" s="58">
        <v>7.0</v>
      </c>
      <c r="Y228" s="68">
        <v>111.98</v>
      </c>
      <c r="Z228" s="69">
        <v>0.0</v>
      </c>
      <c r="AA228" s="68">
        <v>0.0</v>
      </c>
      <c r="AB228" s="68">
        <v>0.0</v>
      </c>
      <c r="AC228" s="68">
        <v>0.0</v>
      </c>
      <c r="AD228" s="68">
        <v>0.0</v>
      </c>
      <c r="AE228" s="68">
        <v>0.0</v>
      </c>
      <c r="AF228" s="68">
        <v>0.0</v>
      </c>
      <c r="AG228" s="68">
        <v>0.0</v>
      </c>
      <c r="AH228" s="68">
        <v>0.0</v>
      </c>
      <c r="AI228" s="68">
        <v>0.0</v>
      </c>
      <c r="AJ228" s="68">
        <v>0.0</v>
      </c>
      <c r="AK228" s="68">
        <v>0.0</v>
      </c>
      <c r="AL228" s="68">
        <v>0.0</v>
      </c>
      <c r="AM228" s="68">
        <v>0.0</v>
      </c>
      <c r="AN228" s="68">
        <v>0.0</v>
      </c>
      <c r="AO228" s="68">
        <v>7.84</v>
      </c>
      <c r="AP228" s="68">
        <v>0.0</v>
      </c>
      <c r="AQ228" s="68">
        <v>0.0</v>
      </c>
      <c r="AR228" s="68">
        <v>0.0</v>
      </c>
      <c r="AS228" s="68">
        <v>0.0</v>
      </c>
      <c r="AT228" s="68">
        <v>0.0</v>
      </c>
      <c r="AU228" s="68">
        <v>0.0</v>
      </c>
      <c r="AV228" s="68">
        <v>0.0</v>
      </c>
      <c r="AW228" s="68">
        <v>0.0</v>
      </c>
      <c r="AX228" s="68">
        <v>0.0</v>
      </c>
      <c r="AY228" s="68">
        <v>0.0</v>
      </c>
      <c r="AZ228" s="68">
        <v>0.0</v>
      </c>
      <c r="BA228" s="68">
        <v>0.0</v>
      </c>
      <c r="BB228" s="68">
        <v>7.84</v>
      </c>
      <c r="BC228" s="68" t="s">
        <v>106</v>
      </c>
      <c r="BD228" s="68"/>
      <c r="BG228" s="70">
        <v>-11.2</v>
      </c>
      <c r="BH228" s="68" t="s">
        <v>107</v>
      </c>
      <c r="BI228" s="68" t="s">
        <v>108</v>
      </c>
      <c r="BJ228" s="68" t="s">
        <v>109</v>
      </c>
      <c r="BK228" s="68" t="s">
        <v>392</v>
      </c>
      <c r="BM228" s="68"/>
      <c r="BN228" s="70" t="s">
        <v>111</v>
      </c>
      <c r="BO228" s="68" t="s">
        <v>112</v>
      </c>
      <c r="BP228" s="68" t="s">
        <v>113</v>
      </c>
      <c r="BQ228" s="68" t="s">
        <v>114</v>
      </c>
      <c r="BR228" s="68">
        <v>3.36</v>
      </c>
      <c r="BS228" s="68"/>
      <c r="BW228" s="64" t="str">
        <f>if(OR(F228="SALE",F228="REFUNDED"),IFERROR(Vlookup(I228,'Listing SKU - Fill SKU Mapping'!A:C,3,false),"Map"),"")</f>
        <v>Keystone</v>
      </c>
      <c r="BX228" s="64" t="str">
        <f>IF(OR(F228="SALE",F228="REFUNDED")=TRUE,iferror(Vlookup(I228,'Listing SKU - Fill SKU Mapping'!A:B,2,false),"Map"),"")</f>
        <v>IMP385BLK</v>
      </c>
      <c r="BY228" s="64">
        <f>IF(OR(F228="SALE",F228="REFUNDED")=TRUE,iferror(Vlookup(I228,'Listing SKU - Fill SKU Mapping'!A:D,4,false),"Map"),"")</f>
        <v>51.68</v>
      </c>
      <c r="BZ228" s="66">
        <f t="shared" si="1"/>
        <v>11.5</v>
      </c>
      <c r="CA228" s="66">
        <f t="shared" si="2"/>
        <v>63.18</v>
      </c>
      <c r="CB228" s="66">
        <f t="shared" si="3"/>
        <v>40.96</v>
      </c>
      <c r="CC228" s="64" t="str">
        <f>if(F228="REFUNDED",iferror(Vlookup(I228,'Listing SKU - Fill SKU Mapping'!A:B,2,false),"Map"),"")</f>
        <v/>
      </c>
      <c r="CD228" s="64" t="str">
        <f>if(F228="REFUNDED",iferror(Vlookup(I228,'Listing SKU - Fill SKU Mapping'!A:C,3,false),"Map"),"")</f>
        <v/>
      </c>
      <c r="CE228" s="64" t="str">
        <f t="shared" si="4"/>
        <v>2025</v>
      </c>
      <c r="CF228" s="64" t="str">
        <f t="shared" si="5"/>
        <v>August</v>
      </c>
      <c r="CG228" s="64" t="str">
        <f t="shared" si="6"/>
        <v/>
      </c>
    </row>
    <row r="229">
      <c r="A229" s="55">
        <v>2.0001E14</v>
      </c>
      <c r="B229" s="56">
        <v>1.0</v>
      </c>
      <c r="C229" s="57">
        <v>1.2902E14</v>
      </c>
      <c r="D229" s="58">
        <v>1.0</v>
      </c>
      <c r="F229" s="59" t="s">
        <v>128</v>
      </c>
      <c r="G229" s="60">
        <v>45902.0</v>
      </c>
      <c r="H229" s="58">
        <v>1.0</v>
      </c>
      <c r="I229" s="58" t="s">
        <v>400</v>
      </c>
      <c r="J229" s="61">
        <v>4.60776238401E11</v>
      </c>
      <c r="K229" s="63"/>
      <c r="L229" s="63"/>
      <c r="M229" s="63"/>
      <c r="N229" s="63"/>
      <c r="O229" s="63"/>
      <c r="P229" s="63"/>
      <c r="Q229" s="63"/>
      <c r="R229" s="63"/>
      <c r="S229" s="63"/>
      <c r="U229" s="59">
        <v>-119.82</v>
      </c>
      <c r="V229" s="59">
        <v>-104.14</v>
      </c>
      <c r="W229" s="58">
        <v>-7.84</v>
      </c>
      <c r="X229" s="58">
        <v>0.0</v>
      </c>
      <c r="Y229" s="68">
        <v>0.0</v>
      </c>
      <c r="Z229" s="69">
        <v>-111.98</v>
      </c>
      <c r="AA229" s="68">
        <v>0.0</v>
      </c>
      <c r="AB229" s="68">
        <v>0.0</v>
      </c>
      <c r="AC229" s="68">
        <v>0.0</v>
      </c>
      <c r="AD229" s="68">
        <v>0.0</v>
      </c>
      <c r="AE229" s="68">
        <v>0.0</v>
      </c>
      <c r="AF229" s="68">
        <v>0.0</v>
      </c>
      <c r="AG229" s="68">
        <v>0.0</v>
      </c>
      <c r="AH229" s="68">
        <v>0.0</v>
      </c>
      <c r="AI229" s="68">
        <v>0.0</v>
      </c>
      <c r="AJ229" s="68">
        <v>0.0</v>
      </c>
      <c r="AK229" s="68">
        <v>0.0</v>
      </c>
      <c r="AL229" s="68">
        <v>0.0</v>
      </c>
      <c r="AM229" s="68">
        <v>0.0</v>
      </c>
      <c r="AN229" s="68">
        <v>0.0</v>
      </c>
      <c r="AO229" s="68">
        <v>0.0</v>
      </c>
      <c r="AP229" s="68">
        <v>0.0</v>
      </c>
      <c r="AQ229" s="68">
        <v>0.0</v>
      </c>
      <c r="AR229" s="68">
        <v>0.0</v>
      </c>
      <c r="AS229" s="68">
        <v>0.0</v>
      </c>
      <c r="AT229" s="68">
        <v>-7.84</v>
      </c>
      <c r="AU229" s="68">
        <v>0.0</v>
      </c>
      <c r="AV229" s="68">
        <v>0.0</v>
      </c>
      <c r="AW229" s="68">
        <v>0.0</v>
      </c>
      <c r="AX229" s="68">
        <v>0.0</v>
      </c>
      <c r="AY229" s="68">
        <v>0.0</v>
      </c>
      <c r="AZ229" s="68">
        <v>0.0</v>
      </c>
      <c r="BA229" s="68">
        <v>0.0</v>
      </c>
      <c r="BB229" s="68">
        <v>-7.84</v>
      </c>
      <c r="BC229" s="68" t="s">
        <v>106</v>
      </c>
      <c r="BD229" s="68" t="s">
        <v>156</v>
      </c>
      <c r="BE229" s="68">
        <v>5010.0</v>
      </c>
      <c r="BF229" s="68"/>
      <c r="BH229" s="70" t="s">
        <v>107</v>
      </c>
      <c r="BI229" s="68" t="s">
        <v>108</v>
      </c>
      <c r="BK229" s="68"/>
      <c r="BL229" s="70">
        <v>1016.0</v>
      </c>
      <c r="BM229" s="68" t="s">
        <v>258</v>
      </c>
      <c r="BN229" s="68" t="s">
        <v>111</v>
      </c>
      <c r="BO229" s="68" t="s">
        <v>112</v>
      </c>
      <c r="BQ229" s="68"/>
      <c r="BW229" s="64" t="str">
        <f>if(OR(F229="SALE",F229="REFUNDED"),IFERROR(Vlookup(I229,'Listing SKU - Fill SKU Mapping'!A:C,3,false),"Map"),"")</f>
        <v>Keystone</v>
      </c>
      <c r="BX229" s="64" t="str">
        <f>IF(OR(F229="SALE",F229="REFUNDED")=TRUE,iferror(Vlookup(I229,'Listing SKU - Fill SKU Mapping'!A:B,2,false),"Map"),"")</f>
        <v>IMP385BLK</v>
      </c>
      <c r="BY229" s="64">
        <f>IF(OR(F229="SALE",F229="REFUNDED")=TRUE,iferror(Vlookup(I229,'Listing SKU - Fill SKU Mapping'!A:D,4,false),"Map"),"")</f>
        <v>51.68</v>
      </c>
      <c r="BZ229" s="66">
        <f t="shared" si="1"/>
        <v>11.5</v>
      </c>
      <c r="CA229" s="66">
        <f t="shared" si="2"/>
        <v>63.18</v>
      </c>
      <c r="CB229" s="64" t="str">
        <f t="shared" si="3"/>
        <v/>
      </c>
      <c r="CC229" s="64" t="str">
        <f>if(F229="REFUNDED",iferror(Vlookup(I229,'Listing SKU - Fill SKU Mapping'!A:B,2,false),"Map"),"")</f>
        <v>IMP385BLK</v>
      </c>
      <c r="CD229" s="64" t="str">
        <f>if(F229="REFUNDED",iferror(Vlookup(I229,'Listing SKU - Fill SKU Mapping'!A:C,3,false),"Map"),"")</f>
        <v>Keystone</v>
      </c>
      <c r="CE229" s="64" t="str">
        <f t="shared" si="4"/>
        <v>2025</v>
      </c>
      <c r="CF229" s="64" t="str">
        <f t="shared" si="5"/>
        <v>September</v>
      </c>
      <c r="CG229" s="64" t="str">
        <f t="shared" si="6"/>
        <v/>
      </c>
    </row>
    <row r="230">
      <c r="A230" s="55">
        <v>2.0001E14</v>
      </c>
      <c r="B230" s="56">
        <v>1.0</v>
      </c>
      <c r="C230" s="57">
        <v>1.2902E14</v>
      </c>
      <c r="D230" s="58">
        <v>1.0</v>
      </c>
      <c r="F230" s="59" t="s">
        <v>100</v>
      </c>
      <c r="G230" s="60">
        <v>45904.0</v>
      </c>
      <c r="H230" s="58">
        <v>1.0</v>
      </c>
      <c r="I230" s="58" t="s">
        <v>397</v>
      </c>
      <c r="J230" s="61">
        <v>4.6456712584E11</v>
      </c>
      <c r="K230" s="63"/>
      <c r="L230" s="63"/>
      <c r="M230" s="63"/>
      <c r="N230" s="63"/>
      <c r="O230" s="63"/>
      <c r="P230" s="63"/>
      <c r="Q230" s="63"/>
      <c r="R230" s="63"/>
      <c r="S230" s="63"/>
      <c r="T230" s="58" t="s">
        <v>105</v>
      </c>
      <c r="U230" s="59">
        <v>99.57</v>
      </c>
      <c r="V230" s="59">
        <v>85.54</v>
      </c>
      <c r="W230" s="58">
        <v>6.44</v>
      </c>
      <c r="X230" s="58">
        <v>7.0</v>
      </c>
      <c r="Y230" s="68">
        <v>91.98</v>
      </c>
      <c r="Z230" s="69">
        <v>0.0</v>
      </c>
      <c r="AA230" s="68">
        <v>0.0</v>
      </c>
      <c r="AB230" s="68">
        <v>0.0</v>
      </c>
      <c r="AC230" s="68">
        <v>0.0</v>
      </c>
      <c r="AD230" s="68">
        <v>0.0</v>
      </c>
      <c r="AE230" s="68">
        <v>0.0</v>
      </c>
      <c r="AF230" s="68">
        <v>0.0</v>
      </c>
      <c r="AG230" s="68">
        <v>0.0</v>
      </c>
      <c r="AH230" s="68">
        <v>0.0</v>
      </c>
      <c r="AI230" s="68">
        <v>0.0</v>
      </c>
      <c r="AJ230" s="68">
        <v>0.0</v>
      </c>
      <c r="AK230" s="68">
        <v>0.0</v>
      </c>
      <c r="AL230" s="68">
        <v>0.0</v>
      </c>
      <c r="AM230" s="68">
        <v>0.0</v>
      </c>
      <c r="AN230" s="68">
        <v>0.0</v>
      </c>
      <c r="AO230" s="68">
        <v>7.59</v>
      </c>
      <c r="AP230" s="68">
        <v>0.0</v>
      </c>
      <c r="AQ230" s="68">
        <v>0.0</v>
      </c>
      <c r="AR230" s="68">
        <v>0.0</v>
      </c>
      <c r="AS230" s="68">
        <v>0.0</v>
      </c>
      <c r="AT230" s="68">
        <v>0.0</v>
      </c>
      <c r="AU230" s="68">
        <v>0.0</v>
      </c>
      <c r="AV230" s="68">
        <v>0.0</v>
      </c>
      <c r="AW230" s="68">
        <v>0.0</v>
      </c>
      <c r="AX230" s="68">
        <v>0.0</v>
      </c>
      <c r="AY230" s="68">
        <v>0.0</v>
      </c>
      <c r="AZ230" s="68">
        <v>0.0</v>
      </c>
      <c r="BA230" s="68">
        <v>0.0</v>
      </c>
      <c r="BB230" s="68">
        <v>7.59</v>
      </c>
      <c r="BC230" s="68" t="s">
        <v>106</v>
      </c>
      <c r="BD230" s="68"/>
      <c r="BG230" s="70">
        <v>-9.2</v>
      </c>
      <c r="BH230" s="68" t="s">
        <v>107</v>
      </c>
      <c r="BI230" s="68" t="s">
        <v>108</v>
      </c>
      <c r="BJ230" s="68" t="s">
        <v>109</v>
      </c>
      <c r="BK230" s="68" t="s">
        <v>394</v>
      </c>
      <c r="BM230" s="68"/>
      <c r="BN230" s="70" t="s">
        <v>111</v>
      </c>
      <c r="BO230" s="68" t="s">
        <v>112</v>
      </c>
      <c r="BP230" s="68" t="s">
        <v>113</v>
      </c>
      <c r="BQ230" s="68" t="s">
        <v>114</v>
      </c>
      <c r="BR230" s="68">
        <v>2.76</v>
      </c>
      <c r="BS230" s="68"/>
      <c r="BW230" s="64" t="str">
        <f>if(OR(F230="SALE",F230="REFUNDED"),IFERROR(Vlookup(I230,'Listing SKU - Fill SKU Mapping'!A:C,3,false),"Map"),"")</f>
        <v>Keystone</v>
      </c>
      <c r="BX230" s="64" t="str">
        <f>IF(OR(F230="SALE",F230="REFUNDED")=TRUE,iferror(Vlookup(I230,'Listing SKU - Fill SKU Mapping'!A:B,2,false),"Map"),"")</f>
        <v>IMP360X</v>
      </c>
      <c r="BY230" s="64">
        <f>IF(OR(F230="SALE",F230="REFUNDED")=TRUE,iferror(Vlookup(I230,'Listing SKU - Fill SKU Mapping'!A:D,4,false),"Map"),"")</f>
        <v>43.79</v>
      </c>
      <c r="BZ230" s="66">
        <f t="shared" si="1"/>
        <v>11.5</v>
      </c>
      <c r="CA230" s="66">
        <f t="shared" si="2"/>
        <v>55.29</v>
      </c>
      <c r="CB230" s="66">
        <f t="shared" si="3"/>
        <v>30.25</v>
      </c>
      <c r="CC230" s="64" t="str">
        <f>if(F230="REFUNDED",iferror(Vlookup(I230,'Listing SKU - Fill SKU Mapping'!A:B,2,false),"Map"),"")</f>
        <v/>
      </c>
      <c r="CD230" s="64" t="str">
        <f>if(F230="REFUNDED",iferror(Vlookup(I230,'Listing SKU - Fill SKU Mapping'!A:C,3,false),"Map"),"")</f>
        <v/>
      </c>
      <c r="CE230" s="64" t="str">
        <f t="shared" si="4"/>
        <v>2025</v>
      </c>
      <c r="CF230" s="64" t="str">
        <f t="shared" si="5"/>
        <v>September</v>
      </c>
      <c r="CG230" s="64" t="str">
        <f t="shared" si="6"/>
        <v/>
      </c>
    </row>
    <row r="231">
      <c r="A231" s="55">
        <v>2.0001E14</v>
      </c>
      <c r="B231" s="56">
        <v>2.0</v>
      </c>
      <c r="C231" s="57">
        <v>1.2902E14</v>
      </c>
      <c r="D231" s="58">
        <v>2.0</v>
      </c>
      <c r="F231" s="59" t="s">
        <v>100</v>
      </c>
      <c r="G231" s="60">
        <v>45898.0</v>
      </c>
      <c r="H231" s="58">
        <v>1.0</v>
      </c>
      <c r="I231" s="58" t="s">
        <v>401</v>
      </c>
      <c r="J231" s="61">
        <v>4.6712991492E11</v>
      </c>
      <c r="K231" s="63"/>
      <c r="L231" s="63"/>
      <c r="M231" s="63"/>
      <c r="N231" s="63"/>
      <c r="O231" s="63"/>
      <c r="P231" s="63"/>
      <c r="Q231" s="63"/>
      <c r="R231" s="63"/>
      <c r="S231" s="63"/>
      <c r="T231" s="58" t="s">
        <v>105</v>
      </c>
      <c r="U231" s="59">
        <v>93.72</v>
      </c>
      <c r="V231" s="59">
        <v>79.96</v>
      </c>
      <c r="W231" s="58">
        <v>6.02</v>
      </c>
      <c r="X231" s="58">
        <v>7.0</v>
      </c>
      <c r="Y231" s="68">
        <v>85.98</v>
      </c>
      <c r="Z231" s="69">
        <v>0.0</v>
      </c>
      <c r="AA231" s="68">
        <v>0.0</v>
      </c>
      <c r="AB231" s="68">
        <v>0.0</v>
      </c>
      <c r="AC231" s="68">
        <v>0.0</v>
      </c>
      <c r="AD231" s="68">
        <v>0.0</v>
      </c>
      <c r="AE231" s="68">
        <v>0.0</v>
      </c>
      <c r="AF231" s="68">
        <v>0.0</v>
      </c>
      <c r="AG231" s="68">
        <v>0.0</v>
      </c>
      <c r="AH231" s="68">
        <v>0.0</v>
      </c>
      <c r="AI231" s="68">
        <v>0.0</v>
      </c>
      <c r="AJ231" s="68">
        <v>0.0</v>
      </c>
      <c r="AK231" s="68">
        <v>0.0</v>
      </c>
      <c r="AL231" s="68">
        <v>0.0</v>
      </c>
      <c r="AM231" s="68">
        <v>0.0</v>
      </c>
      <c r="AN231" s="68">
        <v>0.0</v>
      </c>
      <c r="AO231" s="68">
        <v>7.74</v>
      </c>
      <c r="AP231" s="68">
        <v>0.0</v>
      </c>
      <c r="AQ231" s="68">
        <v>0.0</v>
      </c>
      <c r="AR231" s="68">
        <v>0.0</v>
      </c>
      <c r="AS231" s="68">
        <v>0.0</v>
      </c>
      <c r="AT231" s="68">
        <v>0.0</v>
      </c>
      <c r="AU231" s="68">
        <v>0.0</v>
      </c>
      <c r="AV231" s="68">
        <v>0.0</v>
      </c>
      <c r="AW231" s="68">
        <v>0.0</v>
      </c>
      <c r="AX231" s="68">
        <v>0.0</v>
      </c>
      <c r="AY231" s="68">
        <v>0.0</v>
      </c>
      <c r="AZ231" s="68">
        <v>0.0</v>
      </c>
      <c r="BA231" s="68">
        <v>0.0</v>
      </c>
      <c r="BB231" s="68">
        <v>7.74</v>
      </c>
      <c r="BC231" s="68" t="s">
        <v>106</v>
      </c>
      <c r="BD231" s="68"/>
      <c r="BG231" s="70">
        <v>-8.6</v>
      </c>
      <c r="BH231" s="68" t="s">
        <v>107</v>
      </c>
      <c r="BI231" s="68" t="s">
        <v>108</v>
      </c>
      <c r="BJ231" s="68" t="s">
        <v>109</v>
      </c>
      <c r="BK231" s="68" t="s">
        <v>394</v>
      </c>
      <c r="BM231" s="68"/>
      <c r="BN231" s="70" t="s">
        <v>111</v>
      </c>
      <c r="BO231" s="68" t="s">
        <v>112</v>
      </c>
      <c r="BP231" s="68" t="s">
        <v>113</v>
      </c>
      <c r="BQ231" s="68" t="s">
        <v>114</v>
      </c>
      <c r="BR231" s="68">
        <v>2.58</v>
      </c>
      <c r="BS231" s="68"/>
      <c r="BW231" s="64" t="str">
        <f>if(OR(F231="SALE",F231="REFUNDED"),IFERROR(Vlookup(I231,'Listing SKU - Fill SKU Mapping'!A:C,3,false),"Map"),"")</f>
        <v>Keystone</v>
      </c>
      <c r="BX231" s="64" t="str">
        <f>IF(OR(F231="SALE",F231="REFUNDED")=TRUE,iferror(Vlookup(I231,'Listing SKU - Fill SKU Mapping'!A:B,2,false),"Map"),"")</f>
        <v>50516BLK</v>
      </c>
      <c r="BY231" s="64">
        <f>IF(OR(F231="SALE",F231="REFUNDED")=TRUE,iferror(Vlookup(I231,'Listing SKU - Fill SKU Mapping'!A:D,4,false),"Map"),"")</f>
        <v>33.14</v>
      </c>
      <c r="BZ231" s="66">
        <f t="shared" si="1"/>
        <v>11.5</v>
      </c>
      <c r="CA231" s="66">
        <f t="shared" si="2"/>
        <v>44.64</v>
      </c>
      <c r="CB231" s="66">
        <f t="shared" si="3"/>
        <v>35.32</v>
      </c>
      <c r="CC231" s="64" t="str">
        <f>if(F231="REFUNDED",iferror(Vlookup(I231,'Listing SKU - Fill SKU Mapping'!A:B,2,false),"Map"),"")</f>
        <v/>
      </c>
      <c r="CD231" s="64" t="str">
        <f>if(F231="REFUNDED",iferror(Vlookup(I231,'Listing SKU - Fill SKU Mapping'!A:C,3,false),"Map"),"")</f>
        <v/>
      </c>
      <c r="CE231" s="64" t="str">
        <f t="shared" si="4"/>
        <v>2025</v>
      </c>
      <c r="CF231" s="64" t="str">
        <f t="shared" si="5"/>
        <v>August</v>
      </c>
      <c r="CG231" s="64" t="str">
        <f t="shared" si="6"/>
        <v/>
      </c>
    </row>
    <row r="232">
      <c r="A232" s="55">
        <v>2.0001E14</v>
      </c>
      <c r="B232" s="56">
        <v>1.0</v>
      </c>
      <c r="C232" s="57">
        <v>1.2902E14</v>
      </c>
      <c r="D232" s="58">
        <v>1.0</v>
      </c>
      <c r="F232" s="59" t="s">
        <v>100</v>
      </c>
      <c r="G232" s="60">
        <v>45896.0</v>
      </c>
      <c r="H232" s="58">
        <v>1.0</v>
      </c>
      <c r="I232" s="58" t="s">
        <v>402</v>
      </c>
      <c r="J232" s="61">
        <v>4.6077624019E11</v>
      </c>
      <c r="K232" s="63"/>
      <c r="L232" s="63"/>
      <c r="M232" s="63"/>
      <c r="N232" s="63"/>
      <c r="O232" s="63"/>
      <c r="P232" s="63"/>
      <c r="Q232" s="63"/>
      <c r="R232" s="63"/>
      <c r="S232" s="63"/>
      <c r="T232" s="58" t="s">
        <v>105</v>
      </c>
      <c r="U232" s="59">
        <v>134.6</v>
      </c>
      <c r="V232" s="59">
        <v>118.09</v>
      </c>
      <c r="W232" s="58">
        <v>8.89</v>
      </c>
      <c r="X232" s="58">
        <v>7.0</v>
      </c>
      <c r="Y232" s="68">
        <v>126.98</v>
      </c>
      <c r="Z232" s="69">
        <v>0.0</v>
      </c>
      <c r="AA232" s="68">
        <v>0.0</v>
      </c>
      <c r="AB232" s="68">
        <v>0.0</v>
      </c>
      <c r="AC232" s="68">
        <v>0.0</v>
      </c>
      <c r="AD232" s="68">
        <v>0.0</v>
      </c>
      <c r="AE232" s="68">
        <v>0.0</v>
      </c>
      <c r="AF232" s="68">
        <v>0.0</v>
      </c>
      <c r="AG232" s="68">
        <v>0.0</v>
      </c>
      <c r="AH232" s="68">
        <v>0.0</v>
      </c>
      <c r="AI232" s="68">
        <v>0.0</v>
      </c>
      <c r="AJ232" s="68">
        <v>0.0</v>
      </c>
      <c r="AK232" s="68">
        <v>0.0</v>
      </c>
      <c r="AL232" s="68">
        <v>0.0</v>
      </c>
      <c r="AM232" s="68">
        <v>0.0</v>
      </c>
      <c r="AN232" s="68">
        <v>0.0</v>
      </c>
      <c r="AO232" s="68">
        <v>7.62</v>
      </c>
      <c r="AP232" s="68">
        <v>0.0</v>
      </c>
      <c r="AQ232" s="68">
        <v>0.0</v>
      </c>
      <c r="AR232" s="68">
        <v>0.0</v>
      </c>
      <c r="AS232" s="68">
        <v>0.0</v>
      </c>
      <c r="AT232" s="68">
        <v>0.0</v>
      </c>
      <c r="AU232" s="68">
        <v>0.0</v>
      </c>
      <c r="AV232" s="68">
        <v>0.0</v>
      </c>
      <c r="AW232" s="68">
        <v>0.0</v>
      </c>
      <c r="AX232" s="68">
        <v>0.0</v>
      </c>
      <c r="AY232" s="68">
        <v>0.0</v>
      </c>
      <c r="AZ232" s="68">
        <v>0.0</v>
      </c>
      <c r="BA232" s="68">
        <v>0.0</v>
      </c>
      <c r="BB232" s="68">
        <v>7.62</v>
      </c>
      <c r="BC232" s="68" t="s">
        <v>106</v>
      </c>
      <c r="BD232" s="68"/>
      <c r="BG232" s="70">
        <v>-12.7</v>
      </c>
      <c r="BH232" s="68" t="s">
        <v>107</v>
      </c>
      <c r="BI232" s="68" t="s">
        <v>108</v>
      </c>
      <c r="BJ232" s="68" t="s">
        <v>109</v>
      </c>
      <c r="BK232" s="68" t="s">
        <v>392</v>
      </c>
      <c r="BM232" s="68"/>
      <c r="BN232" s="70" t="s">
        <v>111</v>
      </c>
      <c r="BO232" s="68" t="s">
        <v>112</v>
      </c>
      <c r="BP232" s="68" t="s">
        <v>113</v>
      </c>
      <c r="BQ232" s="68" t="s">
        <v>114</v>
      </c>
      <c r="BR232" s="68">
        <v>3.81</v>
      </c>
      <c r="BS232" s="68"/>
      <c r="BW232" s="64" t="str">
        <f>if(OR(F232="SALE",F232="REFUNDED"),IFERROR(Vlookup(I232,'Listing SKU - Fill SKU Mapping'!A:C,3,false),"Map"),"")</f>
        <v>Keystone</v>
      </c>
      <c r="BX232" s="64" t="str">
        <f>IF(OR(F232="SALE",F232="REFUNDED")=TRUE,iferror(Vlookup(I232,'Listing SKU - Fill SKU Mapping'!A:B,2,false),"Map"),"")</f>
        <v>IMP406X</v>
      </c>
      <c r="BY232" s="64">
        <f>IF(OR(F232="SALE",F232="REFUNDED")=TRUE,iferror(Vlookup(I232,'Listing SKU - Fill SKU Mapping'!A:D,4,false),"Map"),"")</f>
        <v>61.94</v>
      </c>
      <c r="BZ232" s="66">
        <f t="shared" si="1"/>
        <v>11.5</v>
      </c>
      <c r="CA232" s="66">
        <f t="shared" si="2"/>
        <v>73.44</v>
      </c>
      <c r="CB232" s="66">
        <f t="shared" si="3"/>
        <v>44.65</v>
      </c>
      <c r="CC232" s="64" t="str">
        <f>if(F232="REFUNDED",iferror(Vlookup(I232,'Listing SKU - Fill SKU Mapping'!A:B,2,false),"Map"),"")</f>
        <v/>
      </c>
      <c r="CD232" s="64" t="str">
        <f>if(F232="REFUNDED",iferror(Vlookup(I232,'Listing SKU - Fill SKU Mapping'!A:C,3,false),"Map"),"")</f>
        <v/>
      </c>
      <c r="CE232" s="64" t="str">
        <f t="shared" si="4"/>
        <v>2025</v>
      </c>
      <c r="CF232" s="64" t="str">
        <f t="shared" si="5"/>
        <v>August</v>
      </c>
      <c r="CG232" s="64" t="str">
        <f t="shared" si="6"/>
        <v/>
      </c>
    </row>
    <row r="233">
      <c r="A233" s="55">
        <v>2.0001E14</v>
      </c>
      <c r="B233" s="56">
        <v>1.0</v>
      </c>
      <c r="C233" s="57">
        <v>1.2902E14</v>
      </c>
      <c r="D233" s="58">
        <v>1.0</v>
      </c>
      <c r="F233" s="59" t="s">
        <v>100</v>
      </c>
      <c r="G233" s="60">
        <v>45902.0</v>
      </c>
      <c r="H233" s="58">
        <v>1.0</v>
      </c>
      <c r="I233" s="58" t="s">
        <v>328</v>
      </c>
      <c r="J233" s="61">
        <v>4.67129950621E11</v>
      </c>
      <c r="K233" s="63"/>
      <c r="L233" s="63"/>
      <c r="M233" s="63"/>
      <c r="N233" s="63"/>
      <c r="O233" s="63"/>
      <c r="P233" s="63"/>
      <c r="Q233" s="63"/>
      <c r="R233" s="63"/>
      <c r="S233" s="63"/>
      <c r="T233" s="58" t="s">
        <v>105</v>
      </c>
      <c r="U233" s="59">
        <v>80.37</v>
      </c>
      <c r="V233" s="59">
        <v>76.24</v>
      </c>
      <c r="W233" s="58">
        <v>5.74</v>
      </c>
      <c r="X233" s="58">
        <v>7.0</v>
      </c>
      <c r="Y233" s="68">
        <v>72.9</v>
      </c>
      <c r="Z233" s="69">
        <v>0.0</v>
      </c>
      <c r="AA233" s="68">
        <v>0.0</v>
      </c>
      <c r="AB233" s="68">
        <v>0.0</v>
      </c>
      <c r="AC233" s="68">
        <v>0.0</v>
      </c>
      <c r="AD233" s="68">
        <v>0.0</v>
      </c>
      <c r="AE233" s="68">
        <v>0.0</v>
      </c>
      <c r="AF233" s="68">
        <v>0.0</v>
      </c>
      <c r="AG233" s="68">
        <v>0.0</v>
      </c>
      <c r="AH233" s="68">
        <v>0.0</v>
      </c>
      <c r="AI233" s="68">
        <v>0.0</v>
      </c>
      <c r="AJ233" s="68">
        <v>0.0</v>
      </c>
      <c r="AK233" s="68">
        <v>0.0</v>
      </c>
      <c r="AL233" s="68">
        <v>0.0</v>
      </c>
      <c r="AM233" s="68">
        <v>0.0</v>
      </c>
      <c r="AN233" s="68">
        <v>0.0</v>
      </c>
      <c r="AO233" s="68">
        <v>7.47</v>
      </c>
      <c r="AP233" s="68">
        <v>0.0</v>
      </c>
      <c r="AQ233" s="68">
        <v>0.0</v>
      </c>
      <c r="AR233" s="68">
        <v>0.0</v>
      </c>
      <c r="AS233" s="68">
        <v>0.0</v>
      </c>
      <c r="AT233" s="68">
        <v>0.0</v>
      </c>
      <c r="AU233" s="68">
        <v>0.0</v>
      </c>
      <c r="AV233" s="68">
        <v>0.0</v>
      </c>
      <c r="AW233" s="68">
        <v>0.0</v>
      </c>
      <c r="AX233" s="68">
        <v>0.0</v>
      </c>
      <c r="AY233" s="68">
        <v>0.0</v>
      </c>
      <c r="AZ233" s="68">
        <v>0.0</v>
      </c>
      <c r="BA233" s="68">
        <v>0.0</v>
      </c>
      <c r="BB233" s="68">
        <v>7.47</v>
      </c>
      <c r="BC233" s="68" t="s">
        <v>106</v>
      </c>
      <c r="BD233" s="68"/>
      <c r="BF233" s="70">
        <v>81.98</v>
      </c>
      <c r="BG233" s="68">
        <v>-8.2</v>
      </c>
      <c r="BH233" s="68" t="s">
        <v>107</v>
      </c>
      <c r="BI233" s="68" t="s">
        <v>108</v>
      </c>
      <c r="BJ233" s="68" t="s">
        <v>109</v>
      </c>
      <c r="BK233" s="68" t="s">
        <v>394</v>
      </c>
      <c r="BM233" s="68"/>
      <c r="BN233" s="70" t="s">
        <v>111</v>
      </c>
      <c r="BO233" s="68" t="s">
        <v>112</v>
      </c>
      <c r="BP233" s="68" t="s">
        <v>113</v>
      </c>
      <c r="BQ233" s="68" t="s">
        <v>317</v>
      </c>
      <c r="BR233" s="68">
        <v>2.46</v>
      </c>
      <c r="BS233" s="68"/>
      <c r="BT233" s="70">
        <v>-9.08</v>
      </c>
      <c r="BU233" s="68" t="s">
        <v>318</v>
      </c>
      <c r="BW233" s="64" t="str">
        <f>if(OR(F233="SALE",F233="REFUNDED"),IFERROR(Vlookup(I233,'Listing SKU - Fill SKU Mapping'!A:C,3,false),"Map"),"")</f>
        <v>Keystone</v>
      </c>
      <c r="BX233" s="64" t="str">
        <f>IF(OR(F233="SALE",F233="REFUNDED")=TRUE,iferror(Vlookup(I233,'Listing SKU - Fill SKU Mapping'!A:B,2,false),"Map"),"")</f>
        <v>52316S</v>
      </c>
      <c r="BY233" s="64">
        <f>IF(OR(F233="SALE",F233="REFUNDED")=TRUE,iferror(Vlookup(I233,'Listing SKU - Fill SKU Mapping'!A:D,4,false),"Map"),"")</f>
        <v>30.77</v>
      </c>
      <c r="BZ233" s="66">
        <f t="shared" si="1"/>
        <v>11.5</v>
      </c>
      <c r="CA233" s="66">
        <f t="shared" si="2"/>
        <v>42.27</v>
      </c>
      <c r="CB233" s="66">
        <f t="shared" si="3"/>
        <v>33.97</v>
      </c>
      <c r="CC233" s="64" t="str">
        <f>if(F233="REFUNDED",iferror(Vlookup(I233,'Listing SKU - Fill SKU Mapping'!A:B,2,false),"Map"),"")</f>
        <v/>
      </c>
      <c r="CD233" s="64" t="str">
        <f>if(F233="REFUNDED",iferror(Vlookup(I233,'Listing SKU - Fill SKU Mapping'!A:C,3,false),"Map"),"")</f>
        <v/>
      </c>
      <c r="CE233" s="64" t="str">
        <f t="shared" si="4"/>
        <v>2025</v>
      </c>
      <c r="CF233" s="64" t="str">
        <f t="shared" si="5"/>
        <v>September</v>
      </c>
      <c r="CG233" s="64" t="str">
        <f t="shared" si="6"/>
        <v/>
      </c>
    </row>
    <row r="234">
      <c r="A234" s="55">
        <v>2.0001E14</v>
      </c>
      <c r="B234" s="56">
        <v>1.0</v>
      </c>
      <c r="C234" s="57">
        <v>1.2902E14</v>
      </c>
      <c r="D234" s="58">
        <v>1.0</v>
      </c>
      <c r="F234" s="59" t="s">
        <v>100</v>
      </c>
      <c r="G234" s="60">
        <v>45894.0</v>
      </c>
      <c r="H234" s="58">
        <v>1.0</v>
      </c>
      <c r="I234" s="58" t="s">
        <v>342</v>
      </c>
      <c r="J234" s="61">
        <v>4.67129958634E11</v>
      </c>
      <c r="K234" s="63"/>
      <c r="L234" s="63"/>
      <c r="M234" s="63"/>
      <c r="N234" s="63"/>
      <c r="O234" s="63"/>
      <c r="P234" s="63"/>
      <c r="Q234" s="63"/>
      <c r="R234" s="63"/>
      <c r="S234" s="63"/>
      <c r="T234" s="58" t="s">
        <v>105</v>
      </c>
      <c r="U234" s="59">
        <v>91.14</v>
      </c>
      <c r="V234" s="59">
        <v>79.96</v>
      </c>
      <c r="W234" s="58">
        <v>6.02</v>
      </c>
      <c r="X234" s="58">
        <v>7.0</v>
      </c>
      <c r="Y234" s="68">
        <v>85.98</v>
      </c>
      <c r="Z234" s="69">
        <v>0.0</v>
      </c>
      <c r="AA234" s="68">
        <v>0.0</v>
      </c>
      <c r="AB234" s="68">
        <v>0.0</v>
      </c>
      <c r="AC234" s="68">
        <v>0.0</v>
      </c>
      <c r="AD234" s="68">
        <v>0.0</v>
      </c>
      <c r="AE234" s="68">
        <v>0.0</v>
      </c>
      <c r="AF234" s="68">
        <v>0.0</v>
      </c>
      <c r="AG234" s="68">
        <v>0.0</v>
      </c>
      <c r="AH234" s="68">
        <v>0.0</v>
      </c>
      <c r="AI234" s="68">
        <v>0.0</v>
      </c>
      <c r="AJ234" s="68">
        <v>0.0</v>
      </c>
      <c r="AK234" s="68">
        <v>0.0</v>
      </c>
      <c r="AL234" s="68">
        <v>0.0</v>
      </c>
      <c r="AM234" s="68">
        <v>0.0</v>
      </c>
      <c r="AN234" s="68">
        <v>0.0</v>
      </c>
      <c r="AO234" s="68">
        <v>5.16</v>
      </c>
      <c r="AP234" s="68">
        <v>0.0</v>
      </c>
      <c r="AQ234" s="68">
        <v>0.0</v>
      </c>
      <c r="AR234" s="68">
        <v>0.0</v>
      </c>
      <c r="AS234" s="68">
        <v>0.0</v>
      </c>
      <c r="AT234" s="68">
        <v>0.0</v>
      </c>
      <c r="AU234" s="68">
        <v>0.0</v>
      </c>
      <c r="AV234" s="68">
        <v>0.0</v>
      </c>
      <c r="AW234" s="68">
        <v>0.0</v>
      </c>
      <c r="AX234" s="68">
        <v>0.0</v>
      </c>
      <c r="AY234" s="68">
        <v>0.0</v>
      </c>
      <c r="AZ234" s="68">
        <v>0.0</v>
      </c>
      <c r="BA234" s="68">
        <v>0.0</v>
      </c>
      <c r="BB234" s="68">
        <v>5.16</v>
      </c>
      <c r="BC234" s="68" t="s">
        <v>106</v>
      </c>
      <c r="BD234" s="68"/>
      <c r="BG234" s="70">
        <v>-8.6</v>
      </c>
      <c r="BH234" s="68" t="s">
        <v>107</v>
      </c>
      <c r="BI234" s="68" t="s">
        <v>108</v>
      </c>
      <c r="BJ234" s="68" t="s">
        <v>109</v>
      </c>
      <c r="BK234" s="68" t="s">
        <v>333</v>
      </c>
      <c r="BM234" s="68"/>
      <c r="BN234" s="70" t="s">
        <v>111</v>
      </c>
      <c r="BO234" s="68" t="s">
        <v>112</v>
      </c>
      <c r="BP234" s="68" t="s">
        <v>113</v>
      </c>
      <c r="BQ234" s="68" t="s">
        <v>348</v>
      </c>
      <c r="BR234" s="68">
        <v>2.58</v>
      </c>
      <c r="BS234" s="68"/>
      <c r="BW234" s="64" t="str">
        <f>if(OR(F234="SALE",F234="REFUNDED"),IFERROR(Vlookup(I234,'Listing SKU - Fill SKU Mapping'!A:C,3,false),"Map"),"")</f>
        <v>Keystone</v>
      </c>
      <c r="BX234" s="64" t="str">
        <f>IF(OR(F234="SALE",F234="REFUNDED")=TRUE,iferror(Vlookup(I234,'Listing SKU - Fill SKU Mapping'!A:B,2,false),"Map"),"")</f>
        <v>47016S</v>
      </c>
      <c r="BY234" s="64">
        <f>IF(OR(F234="SALE",F234="REFUNDED")=TRUE,iferror(Vlookup(I234,'Listing SKU - Fill SKU Mapping'!A:D,4,false),"Map"),"")</f>
        <v>33.53</v>
      </c>
      <c r="BZ234" s="66">
        <f t="shared" si="1"/>
        <v>11.5</v>
      </c>
      <c r="CA234" s="66">
        <f t="shared" si="2"/>
        <v>45.03</v>
      </c>
      <c r="CB234" s="66">
        <f t="shared" si="3"/>
        <v>34.93</v>
      </c>
      <c r="CC234" s="64" t="str">
        <f>if(F234="REFUNDED",iferror(Vlookup(I234,'Listing SKU - Fill SKU Mapping'!A:B,2,false),"Map"),"")</f>
        <v/>
      </c>
      <c r="CD234" s="64" t="str">
        <f>if(F234="REFUNDED",iferror(Vlookup(I234,'Listing SKU - Fill SKU Mapping'!A:C,3,false),"Map"),"")</f>
        <v/>
      </c>
      <c r="CE234" s="64" t="str">
        <f t="shared" si="4"/>
        <v>2025</v>
      </c>
      <c r="CF234" s="64" t="str">
        <f t="shared" si="5"/>
        <v>August</v>
      </c>
      <c r="CG234" s="64" t="str">
        <f t="shared" si="6"/>
        <v/>
      </c>
    </row>
    <row r="235">
      <c r="A235" s="55">
        <v>2.0001E14</v>
      </c>
      <c r="B235" s="56">
        <v>1.0</v>
      </c>
      <c r="C235" s="57">
        <v>1.2902E14</v>
      </c>
      <c r="D235" s="58">
        <v>1.0</v>
      </c>
      <c r="F235" s="59" t="s">
        <v>100</v>
      </c>
      <c r="G235" s="60">
        <v>45903.0</v>
      </c>
      <c r="H235" s="58">
        <v>1.0</v>
      </c>
      <c r="I235" s="58" t="s">
        <v>220</v>
      </c>
      <c r="J235" s="61">
        <v>4.60776238135E11</v>
      </c>
      <c r="K235" s="63"/>
      <c r="L235" s="63"/>
      <c r="M235" s="63"/>
      <c r="N235" s="63"/>
      <c r="O235" s="63"/>
      <c r="P235" s="63"/>
      <c r="Q235" s="63"/>
      <c r="R235" s="63"/>
      <c r="S235" s="63"/>
      <c r="T235" s="58" t="s">
        <v>105</v>
      </c>
      <c r="U235" s="59">
        <v>109.64</v>
      </c>
      <c r="V235" s="59">
        <v>102.28</v>
      </c>
      <c r="W235" s="58">
        <v>7.7</v>
      </c>
      <c r="X235" s="58">
        <v>7.0</v>
      </c>
      <c r="Y235" s="68">
        <v>99.9</v>
      </c>
      <c r="Z235" s="69">
        <v>0.0</v>
      </c>
      <c r="AA235" s="68">
        <v>0.0</v>
      </c>
      <c r="AB235" s="68">
        <v>0.0</v>
      </c>
      <c r="AC235" s="68">
        <v>0.0</v>
      </c>
      <c r="AD235" s="68">
        <v>0.0</v>
      </c>
      <c r="AE235" s="68">
        <v>0.0</v>
      </c>
      <c r="AF235" s="68">
        <v>0.0</v>
      </c>
      <c r="AG235" s="68">
        <v>0.0</v>
      </c>
      <c r="AH235" s="68">
        <v>0.0</v>
      </c>
      <c r="AI235" s="68">
        <v>0.0</v>
      </c>
      <c r="AJ235" s="68">
        <v>0.0</v>
      </c>
      <c r="AK235" s="68">
        <v>0.0</v>
      </c>
      <c r="AL235" s="68">
        <v>0.0</v>
      </c>
      <c r="AM235" s="68">
        <v>0.0</v>
      </c>
      <c r="AN235" s="68">
        <v>0.0</v>
      </c>
      <c r="AO235" s="68">
        <v>9.74</v>
      </c>
      <c r="AP235" s="68">
        <v>0.0</v>
      </c>
      <c r="AQ235" s="68">
        <v>0.0</v>
      </c>
      <c r="AR235" s="68">
        <v>0.0</v>
      </c>
      <c r="AS235" s="68">
        <v>0.0</v>
      </c>
      <c r="AT235" s="68">
        <v>0.0</v>
      </c>
      <c r="AU235" s="68">
        <v>0.0</v>
      </c>
      <c r="AV235" s="68">
        <v>0.0</v>
      </c>
      <c r="AW235" s="68">
        <v>0.0</v>
      </c>
      <c r="AX235" s="68">
        <v>0.0</v>
      </c>
      <c r="AY235" s="68">
        <v>0.0</v>
      </c>
      <c r="AZ235" s="68">
        <v>0.0</v>
      </c>
      <c r="BA235" s="68">
        <v>0.0</v>
      </c>
      <c r="BB235" s="68">
        <v>9.74</v>
      </c>
      <c r="BC235" s="68" t="s">
        <v>106</v>
      </c>
      <c r="BD235" s="68"/>
      <c r="BF235" s="70">
        <v>109.98</v>
      </c>
      <c r="BG235" s="68">
        <v>-11.0</v>
      </c>
      <c r="BH235" s="68" t="s">
        <v>107</v>
      </c>
      <c r="BI235" s="68" t="s">
        <v>108</v>
      </c>
      <c r="BJ235" s="68" t="s">
        <v>109</v>
      </c>
      <c r="BK235" s="68" t="s">
        <v>394</v>
      </c>
      <c r="BM235" s="68"/>
      <c r="BN235" s="70" t="s">
        <v>111</v>
      </c>
      <c r="BO235" s="68" t="s">
        <v>112</v>
      </c>
      <c r="BP235" s="68" t="s">
        <v>113</v>
      </c>
      <c r="BQ235" s="68" t="s">
        <v>317</v>
      </c>
      <c r="BR235" s="68">
        <v>3.3</v>
      </c>
      <c r="BS235" s="68"/>
      <c r="BT235" s="70">
        <v>-10.08</v>
      </c>
      <c r="BU235" s="68" t="s">
        <v>318</v>
      </c>
      <c r="BW235" s="64" t="str">
        <f>if(OR(F235="SALE",F235="REFUNDED"),IFERROR(Vlookup(I235,'Listing SKU - Fill SKU Mapping'!A:C,3,false),"Map"),"")</f>
        <v>Keystone</v>
      </c>
      <c r="BX235" s="64" t="str">
        <f>IF(OR(F235="SALE",F235="REFUNDED")=TRUE,iferror(Vlookup(I235,'Listing SKU - Fill SKU Mapping'!A:B,2,false),"Map"),"")</f>
        <v>IMP409BLK</v>
      </c>
      <c r="BY235" s="64">
        <f>IF(OR(F235="SALE",F235="REFUNDED")=TRUE,iferror(Vlookup(I235,'Listing SKU - Fill SKU Mapping'!A:D,4,false),"Map"),"")</f>
        <v>50.49</v>
      </c>
      <c r="BZ235" s="66">
        <f t="shared" si="1"/>
        <v>11.5</v>
      </c>
      <c r="CA235" s="66">
        <f t="shared" si="2"/>
        <v>61.99</v>
      </c>
      <c r="CB235" s="66">
        <f t="shared" si="3"/>
        <v>40.29</v>
      </c>
      <c r="CC235" s="64" t="str">
        <f>if(F235="REFUNDED",iferror(Vlookup(I235,'Listing SKU - Fill SKU Mapping'!A:B,2,false),"Map"),"")</f>
        <v/>
      </c>
      <c r="CD235" s="64" t="str">
        <f>if(F235="REFUNDED",iferror(Vlookup(I235,'Listing SKU - Fill SKU Mapping'!A:C,3,false),"Map"),"")</f>
        <v/>
      </c>
      <c r="CE235" s="64" t="str">
        <f t="shared" si="4"/>
        <v>2025</v>
      </c>
      <c r="CF235" s="64" t="str">
        <f t="shared" si="5"/>
        <v>September</v>
      </c>
      <c r="CG235" s="64" t="str">
        <f t="shared" si="6"/>
        <v/>
      </c>
    </row>
    <row r="236">
      <c r="A236" s="55">
        <v>2.0001E14</v>
      </c>
      <c r="B236" s="56">
        <v>1.0</v>
      </c>
      <c r="C236" s="57">
        <v>1.2902E14</v>
      </c>
      <c r="D236" s="58">
        <v>1.0</v>
      </c>
      <c r="F236" s="59" t="s">
        <v>128</v>
      </c>
      <c r="G236" s="60">
        <v>45895.0</v>
      </c>
      <c r="H236" s="58">
        <v>1.0</v>
      </c>
      <c r="I236" s="58" t="s">
        <v>360</v>
      </c>
      <c r="J236" s="61">
        <v>4.60776272498E11</v>
      </c>
      <c r="K236" s="63"/>
      <c r="L236" s="63"/>
      <c r="M236" s="63"/>
      <c r="N236" s="63"/>
      <c r="O236" s="63"/>
      <c r="P236" s="63"/>
      <c r="Q236" s="63"/>
      <c r="R236" s="63"/>
      <c r="S236" s="63"/>
      <c r="U236" s="59">
        <v>-109.11</v>
      </c>
      <c r="V236" s="59">
        <v>-111.58</v>
      </c>
      <c r="W236" s="58">
        <v>-8.4</v>
      </c>
      <c r="X236" s="58">
        <v>0.0</v>
      </c>
      <c r="Y236" s="68">
        <v>0.0</v>
      </c>
      <c r="Z236" s="69">
        <v>-102.93</v>
      </c>
      <c r="AA236" s="68">
        <v>0.0</v>
      </c>
      <c r="AB236" s="68">
        <v>0.0</v>
      </c>
      <c r="AC236" s="68">
        <v>0.0</v>
      </c>
      <c r="AD236" s="68">
        <v>0.0</v>
      </c>
      <c r="AE236" s="68">
        <v>0.0</v>
      </c>
      <c r="AF236" s="68">
        <v>0.0</v>
      </c>
      <c r="AG236" s="68">
        <v>0.0</v>
      </c>
      <c r="AH236" s="68">
        <v>0.0</v>
      </c>
      <c r="AI236" s="68">
        <v>0.0</v>
      </c>
      <c r="AJ236" s="68">
        <v>0.0</v>
      </c>
      <c r="AK236" s="68">
        <v>0.0</v>
      </c>
      <c r="AL236" s="68">
        <v>0.0</v>
      </c>
      <c r="AM236" s="68">
        <v>0.0</v>
      </c>
      <c r="AN236" s="68">
        <v>0.0</v>
      </c>
      <c r="AO236" s="68">
        <v>0.0</v>
      </c>
      <c r="AP236" s="68">
        <v>0.0</v>
      </c>
      <c r="AQ236" s="68">
        <v>0.0</v>
      </c>
      <c r="AR236" s="68">
        <v>0.0</v>
      </c>
      <c r="AS236" s="68">
        <v>0.0</v>
      </c>
      <c r="AT236" s="68">
        <v>-6.18</v>
      </c>
      <c r="AU236" s="68">
        <v>0.0</v>
      </c>
      <c r="AV236" s="68">
        <v>0.0</v>
      </c>
      <c r="AW236" s="68">
        <v>0.0</v>
      </c>
      <c r="AX236" s="68">
        <v>0.0</v>
      </c>
      <c r="AY236" s="68">
        <v>0.0</v>
      </c>
      <c r="AZ236" s="68">
        <v>0.0</v>
      </c>
      <c r="BA236" s="68">
        <v>0.0</v>
      </c>
      <c r="BB236" s="68">
        <v>-6.18</v>
      </c>
      <c r="BC236" s="68" t="s">
        <v>106</v>
      </c>
      <c r="BD236" s="68" t="s">
        <v>156</v>
      </c>
      <c r="BE236" s="68">
        <v>5010.0</v>
      </c>
      <c r="BF236" s="68">
        <v>119.98</v>
      </c>
      <c r="BG236" s="68"/>
      <c r="BH236" s="70" t="s">
        <v>107</v>
      </c>
      <c r="BI236" s="68" t="s">
        <v>108</v>
      </c>
      <c r="BK236" s="68"/>
      <c r="BL236" s="70">
        <v>1016.0</v>
      </c>
      <c r="BM236" s="68" t="s">
        <v>258</v>
      </c>
      <c r="BN236" s="68" t="s">
        <v>111</v>
      </c>
      <c r="BO236" s="68" t="s">
        <v>112</v>
      </c>
      <c r="BQ236" s="68"/>
      <c r="BT236" s="70">
        <v>17.05</v>
      </c>
      <c r="BU236" s="68"/>
      <c r="BW236" s="64" t="str">
        <f>if(OR(F236="SALE",F236="REFUNDED"),IFERROR(Vlookup(I236,'Listing SKU - Fill SKU Mapping'!A:C,3,false),"Map"),"")</f>
        <v>Keystone</v>
      </c>
      <c r="BX236" s="64" t="str">
        <f>IF(OR(F236="SALE",F236="REFUNDED")=TRUE,iferror(Vlookup(I236,'Listing SKU - Fill SKU Mapping'!A:B,2,false),"Map"),"")</f>
        <v>IMP361BLK</v>
      </c>
      <c r="BY236" s="64">
        <f>IF(OR(F236="SALE",F236="REFUNDED")=TRUE,iferror(Vlookup(I236,'Listing SKU - Fill SKU Mapping'!A:D,4,false),"Map"),"")</f>
        <v>57.2</v>
      </c>
      <c r="BZ236" s="66">
        <f t="shared" si="1"/>
        <v>11.5</v>
      </c>
      <c r="CA236" s="66">
        <f t="shared" si="2"/>
        <v>68.7</v>
      </c>
      <c r="CB236" s="64" t="str">
        <f t="shared" si="3"/>
        <v/>
      </c>
      <c r="CC236" s="64" t="str">
        <f>if(F236="REFUNDED",iferror(Vlookup(I236,'Listing SKU - Fill SKU Mapping'!A:B,2,false),"Map"),"")</f>
        <v>IMP361BLK</v>
      </c>
      <c r="CD236" s="64" t="str">
        <f>if(F236="REFUNDED",iferror(Vlookup(I236,'Listing SKU - Fill SKU Mapping'!A:C,3,false),"Map"),"")</f>
        <v>Keystone</v>
      </c>
      <c r="CE236" s="64" t="str">
        <f t="shared" si="4"/>
        <v>2025</v>
      </c>
      <c r="CF236" s="64" t="str">
        <f t="shared" si="5"/>
        <v>August</v>
      </c>
      <c r="CG236" s="64" t="str">
        <f t="shared" si="6"/>
        <v/>
      </c>
    </row>
    <row r="237">
      <c r="A237" s="55">
        <v>2.0001E14</v>
      </c>
      <c r="B237" s="56">
        <v>1.0</v>
      </c>
      <c r="C237" s="57">
        <v>1.2902E14</v>
      </c>
      <c r="D237" s="58">
        <v>1.0</v>
      </c>
      <c r="F237" s="59" t="s">
        <v>100</v>
      </c>
      <c r="G237" s="60">
        <v>45897.0</v>
      </c>
      <c r="H237" s="58">
        <v>1.0</v>
      </c>
      <c r="I237" s="58" t="s">
        <v>356</v>
      </c>
      <c r="J237" s="61">
        <v>4.60776239804E11</v>
      </c>
      <c r="K237" s="63"/>
      <c r="L237" s="63"/>
      <c r="M237" s="63"/>
      <c r="N237" s="63"/>
      <c r="O237" s="63"/>
      <c r="P237" s="63"/>
      <c r="Q237" s="63"/>
      <c r="R237" s="63"/>
      <c r="S237" s="63"/>
      <c r="T237" s="58" t="s">
        <v>105</v>
      </c>
      <c r="U237" s="59">
        <v>118.75</v>
      </c>
      <c r="V237" s="59">
        <v>103.21</v>
      </c>
      <c r="W237" s="58">
        <v>7.77</v>
      </c>
      <c r="X237" s="58">
        <v>7.0</v>
      </c>
      <c r="Y237" s="68">
        <v>110.98</v>
      </c>
      <c r="Z237" s="69">
        <v>0.0</v>
      </c>
      <c r="AA237" s="68">
        <v>0.0</v>
      </c>
      <c r="AB237" s="68">
        <v>0.0</v>
      </c>
      <c r="AC237" s="68">
        <v>0.0</v>
      </c>
      <c r="AD237" s="68">
        <v>0.0</v>
      </c>
      <c r="AE237" s="68">
        <v>0.0</v>
      </c>
      <c r="AF237" s="68">
        <v>0.0</v>
      </c>
      <c r="AG237" s="68">
        <v>0.0</v>
      </c>
      <c r="AH237" s="68">
        <v>0.0</v>
      </c>
      <c r="AI237" s="68">
        <v>0.0</v>
      </c>
      <c r="AJ237" s="68">
        <v>0.0</v>
      </c>
      <c r="AK237" s="68">
        <v>0.0</v>
      </c>
      <c r="AL237" s="68">
        <v>0.0</v>
      </c>
      <c r="AM237" s="68">
        <v>0.0</v>
      </c>
      <c r="AN237" s="68">
        <v>0.0</v>
      </c>
      <c r="AO237" s="68">
        <v>7.77</v>
      </c>
      <c r="AP237" s="68">
        <v>0.0</v>
      </c>
      <c r="AQ237" s="68">
        <v>0.0</v>
      </c>
      <c r="AR237" s="68">
        <v>0.0</v>
      </c>
      <c r="AS237" s="68">
        <v>0.0</v>
      </c>
      <c r="AT237" s="68">
        <v>0.0</v>
      </c>
      <c r="AU237" s="68">
        <v>0.0</v>
      </c>
      <c r="AV237" s="68">
        <v>0.0</v>
      </c>
      <c r="AW237" s="68">
        <v>0.0</v>
      </c>
      <c r="AX237" s="68">
        <v>0.0</v>
      </c>
      <c r="AY237" s="68">
        <v>0.0</v>
      </c>
      <c r="AZ237" s="68">
        <v>0.0</v>
      </c>
      <c r="BA237" s="68">
        <v>0.0</v>
      </c>
      <c r="BB237" s="68">
        <v>7.77</v>
      </c>
      <c r="BC237" s="68" t="s">
        <v>106</v>
      </c>
      <c r="BD237" s="68"/>
      <c r="BG237" s="70">
        <v>-11.1</v>
      </c>
      <c r="BH237" s="68" t="s">
        <v>107</v>
      </c>
      <c r="BI237" s="68" t="s">
        <v>108</v>
      </c>
      <c r="BJ237" s="68" t="s">
        <v>109</v>
      </c>
      <c r="BK237" s="68" t="s">
        <v>394</v>
      </c>
      <c r="BM237" s="68"/>
      <c r="BN237" s="70" t="s">
        <v>111</v>
      </c>
      <c r="BO237" s="68" t="s">
        <v>112</v>
      </c>
      <c r="BP237" s="68" t="s">
        <v>113</v>
      </c>
      <c r="BQ237" s="68" t="s">
        <v>114</v>
      </c>
      <c r="BR237" s="68">
        <v>3.33</v>
      </c>
      <c r="BS237" s="68"/>
      <c r="BW237" s="64" t="str">
        <f>if(OR(F237="SALE",F237="REFUNDED"),IFERROR(Vlookup(I237,'Listing SKU - Fill SKU Mapping'!A:C,3,false),"Map"),"")</f>
        <v>Keystone</v>
      </c>
      <c r="BX237" s="64" t="str">
        <f>IF(OR(F237="SALE",F237="REFUNDED")=TRUE,iferror(Vlookup(I237,'Listing SKU - Fill SKU Mapping'!A:B,2,false),"Map"),"")</f>
        <v>IMP96BLK</v>
      </c>
      <c r="BY237" s="64">
        <f>IF(OR(F237="SALE",F237="REFUNDED")=TRUE,iferror(Vlookup(I237,'Listing SKU - Fill SKU Mapping'!A:D,4,false),"Map"),"")</f>
        <v>51.28</v>
      </c>
      <c r="BZ237" s="66">
        <f t="shared" si="1"/>
        <v>11.5</v>
      </c>
      <c r="CA237" s="66">
        <f t="shared" si="2"/>
        <v>62.78</v>
      </c>
      <c r="CB237" s="66">
        <f t="shared" si="3"/>
        <v>40.43</v>
      </c>
      <c r="CC237" s="64" t="str">
        <f>if(F237="REFUNDED",iferror(Vlookup(I237,'Listing SKU - Fill SKU Mapping'!A:B,2,false),"Map"),"")</f>
        <v/>
      </c>
      <c r="CD237" s="64" t="str">
        <f>if(F237="REFUNDED",iferror(Vlookup(I237,'Listing SKU - Fill SKU Mapping'!A:C,3,false),"Map"),"")</f>
        <v/>
      </c>
      <c r="CE237" s="64" t="str">
        <f t="shared" si="4"/>
        <v>2025</v>
      </c>
      <c r="CF237" s="64" t="str">
        <f t="shared" si="5"/>
        <v>August</v>
      </c>
      <c r="CG237" s="64" t="str">
        <f t="shared" si="6"/>
        <v/>
      </c>
    </row>
    <row r="238">
      <c r="A238" s="55">
        <v>2.0001E14</v>
      </c>
      <c r="B238" s="56">
        <v>1.0</v>
      </c>
      <c r="C238" s="57">
        <v>1.1902E14</v>
      </c>
      <c r="D238" s="58">
        <v>1.0</v>
      </c>
      <c r="F238" s="59" t="s">
        <v>100</v>
      </c>
      <c r="G238" s="60">
        <v>45902.0</v>
      </c>
      <c r="H238" s="58">
        <v>1.0</v>
      </c>
      <c r="I238" s="58" t="s">
        <v>403</v>
      </c>
      <c r="J238" s="61">
        <v>4.60776274119E11</v>
      </c>
      <c r="K238" s="63"/>
      <c r="L238" s="63"/>
      <c r="M238" s="63"/>
      <c r="N238" s="63"/>
      <c r="O238" s="63"/>
      <c r="P238" s="63"/>
      <c r="Q238" s="63"/>
      <c r="R238" s="63"/>
      <c r="S238" s="63"/>
      <c r="T238" s="58" t="s">
        <v>105</v>
      </c>
      <c r="U238" s="59">
        <v>123.34</v>
      </c>
      <c r="V238" s="59">
        <v>107.86</v>
      </c>
      <c r="W238" s="58">
        <v>8.12</v>
      </c>
      <c r="X238" s="58">
        <v>7.0</v>
      </c>
      <c r="Y238" s="68">
        <v>115.98</v>
      </c>
      <c r="Z238" s="69">
        <v>0.0</v>
      </c>
      <c r="AA238" s="68">
        <v>0.0</v>
      </c>
      <c r="AB238" s="68">
        <v>0.0</v>
      </c>
      <c r="AC238" s="68">
        <v>0.0</v>
      </c>
      <c r="AD238" s="68">
        <v>0.0</v>
      </c>
      <c r="AE238" s="68">
        <v>0.0</v>
      </c>
      <c r="AF238" s="68">
        <v>0.0</v>
      </c>
      <c r="AG238" s="68">
        <v>0.0</v>
      </c>
      <c r="AH238" s="68">
        <v>0.0</v>
      </c>
      <c r="AI238" s="68">
        <v>0.0</v>
      </c>
      <c r="AJ238" s="68">
        <v>0.0</v>
      </c>
      <c r="AK238" s="68">
        <v>0.0</v>
      </c>
      <c r="AL238" s="68">
        <v>0.0</v>
      </c>
      <c r="AM238" s="68">
        <v>0.0</v>
      </c>
      <c r="AN238" s="68">
        <v>0.0</v>
      </c>
      <c r="AO238" s="68">
        <v>7.36</v>
      </c>
      <c r="AP238" s="68">
        <v>0.0</v>
      </c>
      <c r="AQ238" s="68">
        <v>0.0</v>
      </c>
      <c r="AR238" s="68">
        <v>0.0</v>
      </c>
      <c r="AS238" s="68">
        <v>0.0</v>
      </c>
      <c r="AT238" s="68">
        <v>0.0</v>
      </c>
      <c r="AU238" s="68">
        <v>0.0</v>
      </c>
      <c r="AV238" s="68">
        <v>0.0</v>
      </c>
      <c r="AW238" s="68">
        <v>0.0</v>
      </c>
      <c r="AX238" s="68">
        <v>0.0</v>
      </c>
      <c r="AY238" s="68">
        <v>0.0</v>
      </c>
      <c r="AZ238" s="68">
        <v>0.0</v>
      </c>
      <c r="BA238" s="68">
        <v>0.0</v>
      </c>
      <c r="BB238" s="68">
        <v>7.36</v>
      </c>
      <c r="BC238" s="68" t="s">
        <v>106</v>
      </c>
      <c r="BD238" s="68"/>
      <c r="BG238" s="70">
        <v>-11.6</v>
      </c>
      <c r="BH238" s="68" t="s">
        <v>107</v>
      </c>
      <c r="BI238" s="68" t="s">
        <v>108</v>
      </c>
      <c r="BJ238" s="68" t="s">
        <v>109</v>
      </c>
      <c r="BK238" s="68" t="s">
        <v>394</v>
      </c>
      <c r="BM238" s="68"/>
      <c r="BN238" s="70" t="s">
        <v>111</v>
      </c>
      <c r="BO238" s="68" t="s">
        <v>112</v>
      </c>
      <c r="BP238" s="68" t="s">
        <v>113</v>
      </c>
      <c r="BQ238" s="68" t="s">
        <v>114</v>
      </c>
      <c r="BR238" s="68">
        <v>3.48</v>
      </c>
      <c r="BS238" s="68"/>
      <c r="BW238" s="64" t="str">
        <f>if(OR(F238="SALE",F238="REFUNDED"),IFERROR(Vlookup(I238,'Listing SKU - Fill SKU Mapping'!A:C,3,false),"Map"),"")</f>
        <v>Keystone</v>
      </c>
      <c r="BX238" s="64" t="str">
        <f>IF(OR(F238="SALE",F238="REFUNDED")=TRUE,iferror(Vlookup(I238,'Listing SKU - Fill SKU Mapping'!A:B,2,false),"Map"),"")</f>
        <v>IMP64X</v>
      </c>
      <c r="BY238" s="64">
        <f>IF(OR(F238="SALE",F238="REFUNDED")=TRUE,iferror(Vlookup(I238,'Listing SKU - Fill SKU Mapping'!A:D,4,false),"Map"),"")</f>
        <v>54.44</v>
      </c>
      <c r="BZ238" s="66">
        <f t="shared" si="1"/>
        <v>11.5</v>
      </c>
      <c r="CA238" s="66">
        <f t="shared" si="2"/>
        <v>65.94</v>
      </c>
      <c r="CB238" s="66">
        <f t="shared" si="3"/>
        <v>41.92</v>
      </c>
      <c r="CC238" s="64" t="str">
        <f>if(F238="REFUNDED",iferror(Vlookup(I238,'Listing SKU - Fill SKU Mapping'!A:B,2,false),"Map"),"")</f>
        <v/>
      </c>
      <c r="CD238" s="64" t="str">
        <f>if(F238="REFUNDED",iferror(Vlookup(I238,'Listing SKU - Fill SKU Mapping'!A:C,3,false),"Map"),"")</f>
        <v/>
      </c>
      <c r="CE238" s="64" t="str">
        <f t="shared" si="4"/>
        <v>2025</v>
      </c>
      <c r="CF238" s="64" t="str">
        <f t="shared" si="5"/>
        <v>September</v>
      </c>
      <c r="CG238" s="64" t="str">
        <f t="shared" si="6"/>
        <v/>
      </c>
    </row>
    <row r="239">
      <c r="A239" s="55">
        <v>2.0001E14</v>
      </c>
      <c r="B239" s="56">
        <v>1.0</v>
      </c>
      <c r="C239" s="57">
        <v>1.2902E14</v>
      </c>
      <c r="D239" s="58">
        <v>1.0</v>
      </c>
      <c r="F239" s="59" t="s">
        <v>100</v>
      </c>
      <c r="G239" s="60">
        <v>45894.0</v>
      </c>
      <c r="H239" s="58">
        <v>1.0</v>
      </c>
      <c r="I239" s="58" t="s">
        <v>291</v>
      </c>
      <c r="J239" s="61">
        <v>4.67129915064E11</v>
      </c>
      <c r="K239" s="63"/>
      <c r="L239" s="63"/>
      <c r="M239" s="63"/>
      <c r="N239" s="63"/>
      <c r="O239" s="63"/>
      <c r="P239" s="63"/>
      <c r="Q239" s="63"/>
      <c r="R239" s="63"/>
      <c r="S239" s="63"/>
      <c r="T239" s="58" t="s">
        <v>105</v>
      </c>
      <c r="U239" s="59">
        <v>97.0</v>
      </c>
      <c r="V239" s="59">
        <v>81.82</v>
      </c>
      <c r="W239" s="58">
        <v>6.16</v>
      </c>
      <c r="X239" s="58">
        <v>7.0</v>
      </c>
      <c r="Y239" s="68">
        <v>87.98</v>
      </c>
      <c r="Z239" s="69">
        <v>0.0</v>
      </c>
      <c r="AA239" s="68">
        <v>0.0</v>
      </c>
      <c r="AB239" s="68">
        <v>0.0</v>
      </c>
      <c r="AC239" s="68">
        <v>0.0</v>
      </c>
      <c r="AD239" s="68">
        <v>0.0</v>
      </c>
      <c r="AE239" s="68">
        <v>0.0</v>
      </c>
      <c r="AF239" s="68">
        <v>0.0</v>
      </c>
      <c r="AG239" s="68">
        <v>0.0</v>
      </c>
      <c r="AH239" s="68">
        <v>0.0</v>
      </c>
      <c r="AI239" s="68">
        <v>0.0</v>
      </c>
      <c r="AJ239" s="68">
        <v>0.0</v>
      </c>
      <c r="AK239" s="68">
        <v>0.0</v>
      </c>
      <c r="AL239" s="68">
        <v>0.0</v>
      </c>
      <c r="AM239" s="68">
        <v>0.0</v>
      </c>
      <c r="AN239" s="68">
        <v>0.0</v>
      </c>
      <c r="AO239" s="68">
        <v>9.02</v>
      </c>
      <c r="AP239" s="68">
        <v>0.0</v>
      </c>
      <c r="AQ239" s="68">
        <v>0.0</v>
      </c>
      <c r="AR239" s="68">
        <v>0.0</v>
      </c>
      <c r="AS239" s="68">
        <v>0.0</v>
      </c>
      <c r="AT239" s="68">
        <v>0.0</v>
      </c>
      <c r="AU239" s="68">
        <v>0.0</v>
      </c>
      <c r="AV239" s="68">
        <v>0.0</v>
      </c>
      <c r="AW239" s="68">
        <v>0.0</v>
      </c>
      <c r="AX239" s="68">
        <v>0.0</v>
      </c>
      <c r="AY239" s="68">
        <v>0.0</v>
      </c>
      <c r="AZ239" s="68">
        <v>0.0</v>
      </c>
      <c r="BA239" s="68">
        <v>0.0</v>
      </c>
      <c r="BB239" s="68">
        <v>9.02</v>
      </c>
      <c r="BC239" s="68" t="s">
        <v>106</v>
      </c>
      <c r="BD239" s="68"/>
      <c r="BG239" s="70">
        <v>-8.8</v>
      </c>
      <c r="BH239" s="68" t="s">
        <v>107</v>
      </c>
      <c r="BI239" s="68" t="s">
        <v>108</v>
      </c>
      <c r="BJ239" s="68" t="s">
        <v>109</v>
      </c>
      <c r="BK239" s="68" t="s">
        <v>333</v>
      </c>
      <c r="BM239" s="68"/>
      <c r="BN239" s="70" t="s">
        <v>111</v>
      </c>
      <c r="BO239" s="68" t="s">
        <v>112</v>
      </c>
      <c r="BP239" s="68" t="s">
        <v>113</v>
      </c>
      <c r="BQ239" s="68" t="s">
        <v>348</v>
      </c>
      <c r="BR239" s="68">
        <v>2.64</v>
      </c>
      <c r="BS239" s="68"/>
      <c r="BW239" s="64" t="str">
        <f>if(OR(F239="SALE",F239="REFUNDED"),IFERROR(Vlookup(I239,'Listing SKU - Fill SKU Mapping'!A:C,3,false),"Map"),"")</f>
        <v>Keystone</v>
      </c>
      <c r="BX239" s="64" t="str">
        <f>IF(OR(F239="SALE",F239="REFUNDED")=TRUE,iferror(Vlookup(I239,'Listing SKU - Fill SKU Mapping'!A:B,2,false),"Map"),"")</f>
        <v>47218S</v>
      </c>
      <c r="BY239" s="64">
        <f>IF(OR(F239="SALE",F239="REFUNDED")=TRUE,iferror(Vlookup(I239,'Listing SKU - Fill SKU Mapping'!A:D,4,false),"Map"),"")</f>
        <v>34.71</v>
      </c>
      <c r="BZ239" s="66">
        <f t="shared" si="1"/>
        <v>11.5</v>
      </c>
      <c r="CA239" s="66">
        <f t="shared" si="2"/>
        <v>46.21</v>
      </c>
      <c r="CB239" s="66">
        <f t="shared" si="3"/>
        <v>35.61</v>
      </c>
      <c r="CC239" s="64" t="str">
        <f>if(F239="REFUNDED",iferror(Vlookup(I239,'Listing SKU - Fill SKU Mapping'!A:B,2,false),"Map"),"")</f>
        <v/>
      </c>
      <c r="CD239" s="64" t="str">
        <f>if(F239="REFUNDED",iferror(Vlookup(I239,'Listing SKU - Fill SKU Mapping'!A:C,3,false),"Map"),"")</f>
        <v/>
      </c>
      <c r="CE239" s="64" t="str">
        <f t="shared" si="4"/>
        <v>2025</v>
      </c>
      <c r="CF239" s="64" t="str">
        <f t="shared" si="5"/>
        <v>August</v>
      </c>
      <c r="CG239" s="64" t="str">
        <f t="shared" si="6"/>
        <v/>
      </c>
    </row>
    <row r="240">
      <c r="A240" s="55">
        <v>2.0001E14</v>
      </c>
      <c r="B240" s="56">
        <v>1.0</v>
      </c>
      <c r="C240" s="57">
        <v>1.2902E14</v>
      </c>
      <c r="D240" s="58">
        <v>1.0</v>
      </c>
      <c r="F240" s="59" t="s">
        <v>128</v>
      </c>
      <c r="G240" s="60">
        <v>45892.0</v>
      </c>
      <c r="H240" s="58">
        <v>1.0</v>
      </c>
      <c r="I240" s="58" t="s">
        <v>337</v>
      </c>
      <c r="J240" s="61">
        <v>4.60776238326E11</v>
      </c>
      <c r="K240" s="63"/>
      <c r="L240" s="63"/>
      <c r="M240" s="63"/>
      <c r="N240" s="63"/>
      <c r="O240" s="63"/>
      <c r="P240" s="63"/>
      <c r="Q240" s="63"/>
      <c r="R240" s="63"/>
      <c r="S240" s="63"/>
      <c r="U240" s="59">
        <v>-111.16</v>
      </c>
      <c r="V240" s="59">
        <v>-94.84</v>
      </c>
      <c r="W240" s="58">
        <v>-7.14</v>
      </c>
      <c r="X240" s="58">
        <v>0.0</v>
      </c>
      <c r="Y240" s="68">
        <v>0.0</v>
      </c>
      <c r="Z240" s="69">
        <v>-101.98</v>
      </c>
      <c r="AA240" s="68">
        <v>0.0</v>
      </c>
      <c r="AB240" s="68">
        <v>0.0</v>
      </c>
      <c r="AC240" s="68">
        <v>0.0</v>
      </c>
      <c r="AD240" s="68">
        <v>0.0</v>
      </c>
      <c r="AE240" s="68">
        <v>0.0</v>
      </c>
      <c r="AF240" s="68">
        <v>0.0</v>
      </c>
      <c r="AG240" s="68">
        <v>0.0</v>
      </c>
      <c r="AH240" s="68">
        <v>0.0</v>
      </c>
      <c r="AI240" s="68">
        <v>0.0</v>
      </c>
      <c r="AJ240" s="68">
        <v>0.0</v>
      </c>
      <c r="AK240" s="68">
        <v>0.0</v>
      </c>
      <c r="AL240" s="68">
        <v>0.0</v>
      </c>
      <c r="AM240" s="68">
        <v>0.0</v>
      </c>
      <c r="AN240" s="68">
        <v>0.0</v>
      </c>
      <c r="AO240" s="68">
        <v>0.0</v>
      </c>
      <c r="AP240" s="68">
        <v>0.0</v>
      </c>
      <c r="AQ240" s="68">
        <v>0.0</v>
      </c>
      <c r="AR240" s="68">
        <v>0.0</v>
      </c>
      <c r="AS240" s="68">
        <v>0.0</v>
      </c>
      <c r="AT240" s="68">
        <v>-9.18</v>
      </c>
      <c r="AU240" s="68">
        <v>0.0</v>
      </c>
      <c r="AV240" s="68">
        <v>0.0</v>
      </c>
      <c r="AW240" s="68">
        <v>0.0</v>
      </c>
      <c r="AX240" s="68">
        <v>0.0</v>
      </c>
      <c r="AY240" s="68">
        <v>0.0</v>
      </c>
      <c r="AZ240" s="68">
        <v>0.0</v>
      </c>
      <c r="BA240" s="68">
        <v>0.0</v>
      </c>
      <c r="BB240" s="68">
        <v>-9.18</v>
      </c>
      <c r="BC240" s="68" t="s">
        <v>106</v>
      </c>
      <c r="BD240" s="68" t="s">
        <v>156</v>
      </c>
      <c r="BE240" s="68">
        <v>5010.0</v>
      </c>
      <c r="BF240" s="68"/>
      <c r="BH240" s="70" t="s">
        <v>107</v>
      </c>
      <c r="BI240" s="68" t="s">
        <v>108</v>
      </c>
      <c r="BK240" s="68"/>
      <c r="BL240" s="70">
        <v>1000.0</v>
      </c>
      <c r="BM240" s="68" t="s">
        <v>130</v>
      </c>
      <c r="BN240" s="68" t="s">
        <v>111</v>
      </c>
      <c r="BO240" s="68" t="s">
        <v>112</v>
      </c>
      <c r="BQ240" s="68"/>
      <c r="BW240" s="64" t="str">
        <f>if(OR(F240="SALE",F240="REFUNDED"),IFERROR(Vlookup(I240,'Listing SKU - Fill SKU Mapping'!A:C,3,false),"Map"),"")</f>
        <v>Keystone</v>
      </c>
      <c r="BX240" s="64" t="str">
        <f>IF(OR(F240="SALE",F240="REFUNDED")=TRUE,iferror(Vlookup(I240,'Listing SKU - Fill SKU Mapping'!A:B,2,false),"Map"),"")</f>
        <v>IMP340BLK</v>
      </c>
      <c r="BY240" s="64">
        <f>IF(OR(F240="SALE",F240="REFUNDED")=TRUE,iferror(Vlookup(I240,'Listing SKU - Fill SKU Mapping'!A:D,4,false),"Map"),"")</f>
        <v>45.76</v>
      </c>
      <c r="BZ240" s="66">
        <f t="shared" si="1"/>
        <v>11.5</v>
      </c>
      <c r="CA240" s="66">
        <f t="shared" si="2"/>
        <v>57.26</v>
      </c>
      <c r="CB240" s="64" t="str">
        <f t="shared" si="3"/>
        <v/>
      </c>
      <c r="CC240" s="64" t="str">
        <f>if(F240="REFUNDED",iferror(Vlookup(I240,'Listing SKU - Fill SKU Mapping'!A:B,2,false),"Map"),"")</f>
        <v>IMP340BLK</v>
      </c>
      <c r="CD240" s="64" t="str">
        <f>if(F240="REFUNDED",iferror(Vlookup(I240,'Listing SKU - Fill SKU Mapping'!A:C,3,false),"Map"),"")</f>
        <v>Keystone</v>
      </c>
      <c r="CE240" s="64" t="str">
        <f t="shared" si="4"/>
        <v>2025</v>
      </c>
      <c r="CF240" s="64" t="str">
        <f t="shared" si="5"/>
        <v>August</v>
      </c>
      <c r="CG240" s="64" t="str">
        <f t="shared" si="6"/>
        <v/>
      </c>
    </row>
    <row r="241">
      <c r="A241" s="55">
        <v>2.0001E14</v>
      </c>
      <c r="B241" s="56">
        <v>1.0</v>
      </c>
      <c r="C241" s="57">
        <v>1.2902E14</v>
      </c>
      <c r="D241" s="58">
        <v>1.0</v>
      </c>
      <c r="F241" s="59" t="s">
        <v>100</v>
      </c>
      <c r="G241" s="60">
        <v>45895.0</v>
      </c>
      <c r="H241" s="58">
        <v>1.0</v>
      </c>
      <c r="I241" s="58" t="s">
        <v>404</v>
      </c>
      <c r="J241" s="61">
        <v>4.69956342129E11</v>
      </c>
      <c r="K241" s="63"/>
      <c r="L241" s="63"/>
      <c r="M241" s="63"/>
      <c r="N241" s="63"/>
      <c r="O241" s="63"/>
      <c r="P241" s="63"/>
      <c r="Q241" s="63"/>
      <c r="R241" s="63"/>
      <c r="S241" s="63"/>
      <c r="T241" s="58" t="s">
        <v>105</v>
      </c>
      <c r="U241" s="59">
        <v>78.6</v>
      </c>
      <c r="V241" s="59">
        <v>68.8</v>
      </c>
      <c r="W241" s="58">
        <v>5.18</v>
      </c>
      <c r="X241" s="58">
        <v>7.0</v>
      </c>
      <c r="Y241" s="68">
        <v>73.98</v>
      </c>
      <c r="Z241" s="69">
        <v>0.0</v>
      </c>
      <c r="AA241" s="68">
        <v>0.0</v>
      </c>
      <c r="AB241" s="68">
        <v>0.0</v>
      </c>
      <c r="AC241" s="68">
        <v>0.0</v>
      </c>
      <c r="AD241" s="68">
        <v>0.0</v>
      </c>
      <c r="AE241" s="68">
        <v>0.0</v>
      </c>
      <c r="AF241" s="68">
        <v>0.0</v>
      </c>
      <c r="AG241" s="68">
        <v>0.0</v>
      </c>
      <c r="AH241" s="68">
        <v>0.0</v>
      </c>
      <c r="AI241" s="68">
        <v>0.0</v>
      </c>
      <c r="AJ241" s="68">
        <v>0.0</v>
      </c>
      <c r="AK241" s="68">
        <v>0.0</v>
      </c>
      <c r="AL241" s="68">
        <v>0.0</v>
      </c>
      <c r="AM241" s="68">
        <v>0.0</v>
      </c>
      <c r="AN241" s="68">
        <v>0.0</v>
      </c>
      <c r="AO241" s="68">
        <v>4.62</v>
      </c>
      <c r="AP241" s="68">
        <v>0.0</v>
      </c>
      <c r="AQ241" s="68">
        <v>0.0</v>
      </c>
      <c r="AR241" s="68">
        <v>0.0</v>
      </c>
      <c r="AS241" s="68">
        <v>0.0</v>
      </c>
      <c r="AT241" s="68">
        <v>0.0</v>
      </c>
      <c r="AU241" s="68">
        <v>0.0</v>
      </c>
      <c r="AV241" s="68">
        <v>0.0</v>
      </c>
      <c r="AW241" s="68">
        <v>0.0</v>
      </c>
      <c r="AX241" s="68">
        <v>0.0</v>
      </c>
      <c r="AY241" s="68">
        <v>0.0</v>
      </c>
      <c r="AZ241" s="68">
        <v>0.0</v>
      </c>
      <c r="BA241" s="68">
        <v>0.0</v>
      </c>
      <c r="BB241" s="68">
        <v>4.62</v>
      </c>
      <c r="BC241" s="68" t="s">
        <v>106</v>
      </c>
      <c r="BD241" s="68"/>
      <c r="BG241" s="70">
        <v>-7.4</v>
      </c>
      <c r="BH241" s="68" t="s">
        <v>107</v>
      </c>
      <c r="BI241" s="68" t="s">
        <v>108</v>
      </c>
      <c r="BJ241" s="68" t="s">
        <v>109</v>
      </c>
      <c r="BK241" s="68" t="s">
        <v>392</v>
      </c>
      <c r="BM241" s="68"/>
      <c r="BN241" s="70" t="s">
        <v>111</v>
      </c>
      <c r="BO241" s="68" t="s">
        <v>112</v>
      </c>
      <c r="BP241" s="68" t="s">
        <v>113</v>
      </c>
      <c r="BQ241" s="68" t="s">
        <v>114</v>
      </c>
      <c r="BR241" s="68">
        <v>2.22</v>
      </c>
      <c r="BS241" s="68"/>
      <c r="BW241" s="64" t="str">
        <f>if(OR(F241="SALE",F241="REFUNDED"),IFERROR(Vlookup(I241,'Listing SKU - Fill SKU Mapping'!A:C,3,false),"Map"),"")</f>
        <v>Keystone</v>
      </c>
      <c r="BX241" s="64" t="str">
        <f>IF(OR(F241="SALE",F241="REFUNDED")=TRUE,iferror(Vlookup(I241,'Listing SKU - Fill SKU Mapping'!A:B,2,false),"Map"),"")</f>
        <v>41015S</v>
      </c>
      <c r="BY241" s="64">
        <f>IF(OR(F241="SALE",F241="REFUNDED")=TRUE,iferror(Vlookup(I241,'Listing SKU - Fill SKU Mapping'!A:D,4,false),"Map"),"")</f>
        <v>26.04</v>
      </c>
      <c r="BZ241" s="66">
        <f t="shared" si="1"/>
        <v>11.5</v>
      </c>
      <c r="CA241" s="66">
        <f t="shared" si="2"/>
        <v>37.54</v>
      </c>
      <c r="CB241" s="66">
        <f t="shared" si="3"/>
        <v>31.26</v>
      </c>
      <c r="CC241" s="64" t="str">
        <f>if(F241="REFUNDED",iferror(Vlookup(I241,'Listing SKU - Fill SKU Mapping'!A:B,2,false),"Map"),"")</f>
        <v/>
      </c>
      <c r="CD241" s="64" t="str">
        <f>if(F241="REFUNDED",iferror(Vlookup(I241,'Listing SKU - Fill SKU Mapping'!A:C,3,false),"Map"),"")</f>
        <v/>
      </c>
      <c r="CE241" s="64" t="str">
        <f t="shared" si="4"/>
        <v>2025</v>
      </c>
      <c r="CF241" s="64" t="str">
        <f t="shared" si="5"/>
        <v>August</v>
      </c>
      <c r="CG241" s="64" t="str">
        <f t="shared" si="6"/>
        <v/>
      </c>
    </row>
    <row r="242">
      <c r="A242" s="55">
        <v>2.0001E14</v>
      </c>
      <c r="B242" s="56">
        <v>1.0</v>
      </c>
      <c r="C242" s="57">
        <v>1.2902E14</v>
      </c>
      <c r="D242" s="58">
        <v>1.0</v>
      </c>
      <c r="F242" s="59" t="s">
        <v>158</v>
      </c>
      <c r="G242" s="60">
        <v>45893.0</v>
      </c>
      <c r="H242" s="58">
        <v>1.0</v>
      </c>
      <c r="I242" s="58" t="s">
        <v>375</v>
      </c>
      <c r="J242" s="61">
        <v>4.65595356978E11</v>
      </c>
      <c r="K242" s="63"/>
      <c r="L242" s="63"/>
      <c r="M242" s="63"/>
      <c r="N242" s="63"/>
      <c r="O242" s="63"/>
      <c r="P242" s="63"/>
      <c r="Q242" s="63"/>
      <c r="R242" s="63"/>
      <c r="S242" s="63"/>
      <c r="T242" s="58" t="s">
        <v>105</v>
      </c>
      <c r="U242" s="59">
        <v>0.0</v>
      </c>
      <c r="V242" s="59">
        <v>-8.89</v>
      </c>
      <c r="W242" s="58">
        <v>0.0</v>
      </c>
      <c r="X242" s="58">
        <v>0.0</v>
      </c>
      <c r="Y242" s="70">
        <v>0.0</v>
      </c>
      <c r="Z242" s="69">
        <v>0.0</v>
      </c>
      <c r="AA242" s="68">
        <v>0.0</v>
      </c>
      <c r="AB242" s="68">
        <v>0.0</v>
      </c>
      <c r="AC242" s="68">
        <v>0.0</v>
      </c>
      <c r="AD242" s="68">
        <v>0.0</v>
      </c>
      <c r="AE242" s="68">
        <v>0.0</v>
      </c>
      <c r="AF242" s="68">
        <v>0.0</v>
      </c>
      <c r="AG242" s="68">
        <v>0.0</v>
      </c>
      <c r="AH242" s="68">
        <v>0.0</v>
      </c>
      <c r="AI242" s="68">
        <v>0.0</v>
      </c>
      <c r="AJ242" s="68">
        <v>0.0</v>
      </c>
      <c r="AK242" s="68">
        <v>0.0</v>
      </c>
      <c r="AL242" s="68">
        <v>0.0</v>
      </c>
      <c r="AM242" s="68">
        <v>0.0</v>
      </c>
      <c r="AN242" s="68">
        <v>0.0</v>
      </c>
      <c r="AO242" s="68">
        <v>0.0</v>
      </c>
      <c r="AP242" s="68">
        <v>0.0</v>
      </c>
      <c r="AQ242" s="68">
        <v>0.0</v>
      </c>
      <c r="AR242" s="68">
        <v>0.0</v>
      </c>
      <c r="AS242" s="68">
        <v>0.0</v>
      </c>
      <c r="AT242" s="68">
        <v>0.0</v>
      </c>
      <c r="AU242" s="68">
        <v>0.0</v>
      </c>
      <c r="AV242" s="68">
        <v>0.0</v>
      </c>
      <c r="AW242" s="68">
        <v>0.0</v>
      </c>
      <c r="AX242" s="68">
        <v>0.0</v>
      </c>
      <c r="AY242" s="68">
        <v>0.0</v>
      </c>
      <c r="AZ242" s="68">
        <v>0.0</v>
      </c>
      <c r="BA242" s="68">
        <v>0.0</v>
      </c>
      <c r="BB242" s="68">
        <v>0.0</v>
      </c>
      <c r="BC242" s="68" t="s">
        <v>106</v>
      </c>
      <c r="BD242" s="68" t="s">
        <v>163</v>
      </c>
      <c r="BE242" s="68">
        <v>5013.0</v>
      </c>
      <c r="BF242" s="68"/>
      <c r="BH242" s="70" t="s">
        <v>107</v>
      </c>
      <c r="BI242" s="68" t="s">
        <v>108</v>
      </c>
      <c r="BK242" s="68"/>
      <c r="BN242" s="70" t="s">
        <v>111</v>
      </c>
      <c r="BO242" s="68" t="s">
        <v>112</v>
      </c>
      <c r="BQ242" s="68"/>
      <c r="BW242" s="64" t="str">
        <f>if(OR(F242="SALE",F242="REFUNDED"),IFERROR(Vlookup(I242,'Listing SKU - Fill SKU Mapping'!A:C,3,false),"Map"),"")</f>
        <v/>
      </c>
      <c r="BX242" s="64" t="str">
        <f>IF(OR(F242="SALE",F242="REFUNDED")=TRUE,iferror(Vlookup(I242,'Listing SKU - Fill SKU Mapping'!A:B,2,false),"Map"),"")</f>
        <v/>
      </c>
      <c r="BY242" s="64" t="str">
        <f>IF(OR(F242="SALE",F242="REFUNDED")=TRUE,iferror(Vlookup(I242,'Listing SKU - Fill SKU Mapping'!A:D,4,false),"Map"),"")</f>
        <v/>
      </c>
      <c r="BZ242" s="66" t="str">
        <f t="shared" si="1"/>
        <v/>
      </c>
      <c r="CA242" s="64" t="str">
        <f t="shared" si="2"/>
        <v/>
      </c>
      <c r="CB242" s="64" t="str">
        <f t="shared" si="3"/>
        <v/>
      </c>
      <c r="CC242" s="64" t="str">
        <f>if(F242="REFUNDED",iferror(Vlookup(I242,'Listing SKU - Fill SKU Mapping'!A:B,2,false),"Map"),"")</f>
        <v/>
      </c>
      <c r="CD242" s="64" t="str">
        <f>if(F242="REFUNDED",iferror(Vlookup(I242,'Listing SKU - Fill SKU Mapping'!A:C,3,false),"Map"),"")</f>
        <v/>
      </c>
      <c r="CE242" s="64" t="str">
        <f t="shared" si="4"/>
        <v>2025</v>
      </c>
      <c r="CF242" s="64" t="str">
        <f t="shared" si="5"/>
        <v>August</v>
      </c>
      <c r="CG242" s="64" t="str">
        <f t="shared" si="6"/>
        <v/>
      </c>
    </row>
    <row r="243">
      <c r="A243" s="55">
        <v>2.0001E14</v>
      </c>
      <c r="B243" s="56">
        <v>1.0</v>
      </c>
      <c r="C243" s="57">
        <v>1.2902E14</v>
      </c>
      <c r="D243" s="58">
        <v>1.0</v>
      </c>
      <c r="F243" s="59" t="s">
        <v>158</v>
      </c>
      <c r="G243" s="60">
        <v>45893.0</v>
      </c>
      <c r="H243" s="58">
        <v>1.0</v>
      </c>
      <c r="I243" s="58" t="s">
        <v>159</v>
      </c>
      <c r="J243" s="61">
        <v>4.60776234854E11</v>
      </c>
      <c r="K243" s="63"/>
      <c r="L243" s="63"/>
      <c r="M243" s="63"/>
      <c r="N243" s="63"/>
      <c r="O243" s="63"/>
      <c r="P243" s="63"/>
      <c r="Q243" s="63"/>
      <c r="R243" s="63"/>
      <c r="S243" s="63"/>
      <c r="T243" s="58" t="s">
        <v>105</v>
      </c>
      <c r="U243" s="59">
        <v>0.0</v>
      </c>
      <c r="V243" s="59">
        <v>-8.89</v>
      </c>
      <c r="W243" s="58">
        <v>0.0</v>
      </c>
      <c r="X243" s="58">
        <v>0.0</v>
      </c>
      <c r="Y243" s="70">
        <v>0.0</v>
      </c>
      <c r="Z243" s="69">
        <v>0.0</v>
      </c>
      <c r="AA243" s="68">
        <v>0.0</v>
      </c>
      <c r="AB243" s="68">
        <v>0.0</v>
      </c>
      <c r="AC243" s="68">
        <v>0.0</v>
      </c>
      <c r="AD243" s="68">
        <v>0.0</v>
      </c>
      <c r="AE243" s="68">
        <v>0.0</v>
      </c>
      <c r="AF243" s="68">
        <v>0.0</v>
      </c>
      <c r="AG243" s="68">
        <v>0.0</v>
      </c>
      <c r="AH243" s="68">
        <v>0.0</v>
      </c>
      <c r="AI243" s="68">
        <v>0.0</v>
      </c>
      <c r="AJ243" s="68">
        <v>0.0</v>
      </c>
      <c r="AK243" s="68">
        <v>0.0</v>
      </c>
      <c r="AL243" s="68">
        <v>0.0</v>
      </c>
      <c r="AM243" s="68">
        <v>0.0</v>
      </c>
      <c r="AN243" s="68">
        <v>0.0</v>
      </c>
      <c r="AO243" s="68">
        <v>0.0</v>
      </c>
      <c r="AP243" s="68">
        <v>0.0</v>
      </c>
      <c r="AQ243" s="68">
        <v>0.0</v>
      </c>
      <c r="AR243" s="68">
        <v>0.0</v>
      </c>
      <c r="AS243" s="68">
        <v>0.0</v>
      </c>
      <c r="AT243" s="68">
        <v>0.0</v>
      </c>
      <c r="AU243" s="68">
        <v>0.0</v>
      </c>
      <c r="AV243" s="68">
        <v>0.0</v>
      </c>
      <c r="AW243" s="68">
        <v>0.0</v>
      </c>
      <c r="AX243" s="68">
        <v>0.0</v>
      </c>
      <c r="AY243" s="68">
        <v>0.0</v>
      </c>
      <c r="AZ243" s="68">
        <v>0.0</v>
      </c>
      <c r="BA243" s="68">
        <v>0.0</v>
      </c>
      <c r="BB243" s="68">
        <v>0.0</v>
      </c>
      <c r="BC243" s="68" t="s">
        <v>106</v>
      </c>
      <c r="BD243" s="68" t="s">
        <v>163</v>
      </c>
      <c r="BE243" s="68">
        <v>5013.0</v>
      </c>
      <c r="BF243" s="68"/>
      <c r="BH243" s="70" t="s">
        <v>107</v>
      </c>
      <c r="BI243" s="68" t="s">
        <v>108</v>
      </c>
      <c r="BK243" s="68"/>
      <c r="BN243" s="70" t="s">
        <v>111</v>
      </c>
      <c r="BO243" s="68" t="s">
        <v>112</v>
      </c>
      <c r="BQ243" s="68"/>
      <c r="BW243" s="64" t="str">
        <f>if(OR(F243="SALE",F243="REFUNDED"),IFERROR(Vlookup(I243,'Listing SKU - Fill SKU Mapping'!A:C,3,false),"Map"),"")</f>
        <v/>
      </c>
      <c r="BX243" s="64" t="str">
        <f>IF(OR(F243="SALE",F243="REFUNDED")=TRUE,iferror(Vlookup(I243,'Listing SKU - Fill SKU Mapping'!A:B,2,false),"Map"),"")</f>
        <v/>
      </c>
      <c r="BY243" s="64" t="str">
        <f>IF(OR(F243="SALE",F243="REFUNDED")=TRUE,iferror(Vlookup(I243,'Listing SKU - Fill SKU Mapping'!A:D,4,false),"Map"),"")</f>
        <v/>
      </c>
      <c r="BZ243" s="66" t="str">
        <f t="shared" si="1"/>
        <v/>
      </c>
      <c r="CA243" s="64" t="str">
        <f t="shared" si="2"/>
        <v/>
      </c>
      <c r="CB243" s="64" t="str">
        <f t="shared" si="3"/>
        <v/>
      </c>
      <c r="CC243" s="64" t="str">
        <f>if(F243="REFUNDED",iferror(Vlookup(I243,'Listing SKU - Fill SKU Mapping'!A:B,2,false),"Map"),"")</f>
        <v/>
      </c>
      <c r="CD243" s="64" t="str">
        <f>if(F243="REFUNDED",iferror(Vlookup(I243,'Listing SKU - Fill SKU Mapping'!A:C,3,false),"Map"),"")</f>
        <v/>
      </c>
      <c r="CE243" s="64" t="str">
        <f t="shared" si="4"/>
        <v>2025</v>
      </c>
      <c r="CF243" s="64" t="str">
        <f t="shared" si="5"/>
        <v>August</v>
      </c>
      <c r="CG243" s="64" t="str">
        <f t="shared" si="6"/>
        <v/>
      </c>
    </row>
    <row r="244">
      <c r="A244" s="55">
        <v>2.0001E14</v>
      </c>
      <c r="B244" s="56">
        <v>1.0</v>
      </c>
      <c r="C244" s="57">
        <v>1.2902E14</v>
      </c>
      <c r="D244" s="58">
        <v>1.0</v>
      </c>
      <c r="F244" s="59" t="s">
        <v>128</v>
      </c>
      <c r="G244" s="60">
        <v>45905.0</v>
      </c>
      <c r="H244" s="58">
        <v>1.0</v>
      </c>
      <c r="I244" s="58" t="s">
        <v>279</v>
      </c>
      <c r="J244" s="61">
        <v>4.67129950768E11</v>
      </c>
      <c r="K244" s="63"/>
      <c r="L244" s="63"/>
      <c r="M244" s="63"/>
      <c r="N244" s="63"/>
      <c r="O244" s="63"/>
      <c r="P244" s="63"/>
      <c r="Q244" s="63"/>
      <c r="R244" s="63"/>
      <c r="S244" s="63"/>
      <c r="U244" s="59">
        <v>-95.65</v>
      </c>
      <c r="V244" s="59">
        <v>-79.96</v>
      </c>
      <c r="W244" s="58">
        <v>-6.02</v>
      </c>
      <c r="X244" s="58">
        <v>0.0</v>
      </c>
      <c r="Y244" s="68">
        <v>0.0</v>
      </c>
      <c r="Z244" s="69">
        <v>-85.98</v>
      </c>
      <c r="AA244" s="68">
        <v>0.0</v>
      </c>
      <c r="AB244" s="68">
        <v>0.0</v>
      </c>
      <c r="AC244" s="68">
        <v>0.0</v>
      </c>
      <c r="AD244" s="68">
        <v>0.0</v>
      </c>
      <c r="AE244" s="68">
        <v>0.0</v>
      </c>
      <c r="AF244" s="68">
        <v>0.0</v>
      </c>
      <c r="AG244" s="68">
        <v>0.0</v>
      </c>
      <c r="AH244" s="68">
        <v>0.0</v>
      </c>
      <c r="AI244" s="68">
        <v>0.0</v>
      </c>
      <c r="AJ244" s="68">
        <v>0.0</v>
      </c>
      <c r="AK244" s="68">
        <v>0.0</v>
      </c>
      <c r="AL244" s="68">
        <v>0.0</v>
      </c>
      <c r="AM244" s="68">
        <v>0.0</v>
      </c>
      <c r="AN244" s="68">
        <v>0.0</v>
      </c>
      <c r="AO244" s="68">
        <v>0.0</v>
      </c>
      <c r="AP244" s="68">
        <v>0.0</v>
      </c>
      <c r="AQ244" s="68">
        <v>0.0</v>
      </c>
      <c r="AR244" s="68">
        <v>0.0</v>
      </c>
      <c r="AS244" s="68">
        <v>0.0</v>
      </c>
      <c r="AT244" s="68">
        <v>-9.67</v>
      </c>
      <c r="AU244" s="68">
        <v>0.0</v>
      </c>
      <c r="AV244" s="68">
        <v>0.0</v>
      </c>
      <c r="AW244" s="68">
        <v>0.0</v>
      </c>
      <c r="AX244" s="68">
        <v>0.0</v>
      </c>
      <c r="AY244" s="68">
        <v>0.0</v>
      </c>
      <c r="AZ244" s="68">
        <v>0.0</v>
      </c>
      <c r="BA244" s="68">
        <v>0.0</v>
      </c>
      <c r="BB244" s="68">
        <v>-9.67</v>
      </c>
      <c r="BC244" s="68" t="s">
        <v>106</v>
      </c>
      <c r="BD244" s="68" t="s">
        <v>156</v>
      </c>
      <c r="BE244" s="68">
        <v>5010.0</v>
      </c>
      <c r="BF244" s="68"/>
      <c r="BH244" s="70" t="s">
        <v>107</v>
      </c>
      <c r="BI244" s="68" t="s">
        <v>108</v>
      </c>
      <c r="BK244" s="68"/>
      <c r="BL244" s="70">
        <v>1010.0</v>
      </c>
      <c r="BM244" s="68" t="s">
        <v>204</v>
      </c>
      <c r="BN244" s="68" t="s">
        <v>111</v>
      </c>
      <c r="BO244" s="68" t="s">
        <v>112</v>
      </c>
      <c r="BQ244" s="68"/>
      <c r="BW244" s="64" t="str">
        <f>if(OR(F244="SALE",F244="REFUNDED"),IFERROR(Vlookup(I244,'Listing SKU - Fill SKU Mapping'!A:C,3,false),"Map"),"")</f>
        <v>Keystone</v>
      </c>
      <c r="BX244" s="64" t="str">
        <f>IF(OR(F244="SALE",F244="REFUNDED")=TRUE,iferror(Vlookup(I244,'Listing SKU - Fill SKU Mapping'!A:B,2,false),"Map"),"")</f>
        <v>43517S</v>
      </c>
      <c r="BY244" s="64">
        <f>IF(OR(F244="SALE",F244="REFUNDED")=TRUE,iferror(Vlookup(I244,'Listing SKU - Fill SKU Mapping'!A:D,4,false),"Map"),"")</f>
        <v>33.53</v>
      </c>
      <c r="BZ244" s="66">
        <f t="shared" si="1"/>
        <v>11.5</v>
      </c>
      <c r="CA244" s="66">
        <f t="shared" si="2"/>
        <v>45.03</v>
      </c>
      <c r="CB244" s="64" t="str">
        <f t="shared" si="3"/>
        <v/>
      </c>
      <c r="CC244" s="64" t="str">
        <f>if(F244="REFUNDED",iferror(Vlookup(I244,'Listing SKU - Fill SKU Mapping'!A:B,2,false),"Map"),"")</f>
        <v>43517S</v>
      </c>
      <c r="CD244" s="64" t="str">
        <f>if(F244="REFUNDED",iferror(Vlookup(I244,'Listing SKU - Fill SKU Mapping'!A:C,3,false),"Map"),"")</f>
        <v>Keystone</v>
      </c>
      <c r="CE244" s="64" t="str">
        <f t="shared" si="4"/>
        <v>2025</v>
      </c>
      <c r="CF244" s="64" t="str">
        <f t="shared" si="5"/>
        <v>September</v>
      </c>
      <c r="CG244" s="64" t="str">
        <f t="shared" si="6"/>
        <v/>
      </c>
    </row>
    <row r="245">
      <c r="A245" s="55">
        <v>2.0001E14</v>
      </c>
      <c r="B245" s="56">
        <v>1.0</v>
      </c>
      <c r="C245" s="57">
        <v>1.2902E14</v>
      </c>
      <c r="D245" s="58">
        <v>1.0</v>
      </c>
      <c r="F245" s="59" t="s">
        <v>128</v>
      </c>
      <c r="G245" s="60">
        <v>45902.0</v>
      </c>
      <c r="H245" s="58">
        <v>1.0</v>
      </c>
      <c r="I245" s="58" t="s">
        <v>378</v>
      </c>
      <c r="J245" s="61">
        <v>4.67129929344E11</v>
      </c>
      <c r="K245" s="63"/>
      <c r="L245" s="63"/>
      <c r="M245" s="63"/>
      <c r="N245" s="63"/>
      <c r="O245" s="63"/>
      <c r="P245" s="63"/>
      <c r="Q245" s="63"/>
      <c r="R245" s="63"/>
      <c r="S245" s="63"/>
      <c r="U245" s="59">
        <v>-120.94</v>
      </c>
      <c r="V245" s="59">
        <v>-104.14</v>
      </c>
      <c r="W245" s="58">
        <v>-7.84</v>
      </c>
      <c r="X245" s="58">
        <v>0.0</v>
      </c>
      <c r="Y245" s="68">
        <v>0.0</v>
      </c>
      <c r="Z245" s="69">
        <v>-111.98</v>
      </c>
      <c r="AA245" s="68">
        <v>0.0</v>
      </c>
      <c r="AB245" s="68">
        <v>0.0</v>
      </c>
      <c r="AC245" s="68">
        <v>0.0</v>
      </c>
      <c r="AD245" s="68">
        <v>0.0</v>
      </c>
      <c r="AE245" s="68">
        <v>0.0</v>
      </c>
      <c r="AF245" s="68">
        <v>0.0</v>
      </c>
      <c r="AG245" s="68">
        <v>0.0</v>
      </c>
      <c r="AH245" s="68">
        <v>0.0</v>
      </c>
      <c r="AI245" s="68">
        <v>0.0</v>
      </c>
      <c r="AJ245" s="68">
        <v>0.0</v>
      </c>
      <c r="AK245" s="68">
        <v>0.0</v>
      </c>
      <c r="AL245" s="68">
        <v>0.0</v>
      </c>
      <c r="AM245" s="68">
        <v>0.0</v>
      </c>
      <c r="AN245" s="68">
        <v>0.0</v>
      </c>
      <c r="AO245" s="68">
        <v>0.0</v>
      </c>
      <c r="AP245" s="68">
        <v>0.0</v>
      </c>
      <c r="AQ245" s="68">
        <v>0.0</v>
      </c>
      <c r="AR245" s="68">
        <v>0.0</v>
      </c>
      <c r="AS245" s="68">
        <v>0.0</v>
      </c>
      <c r="AT245" s="68">
        <v>-8.96</v>
      </c>
      <c r="AU245" s="68">
        <v>0.0</v>
      </c>
      <c r="AV245" s="68">
        <v>0.0</v>
      </c>
      <c r="AW245" s="68">
        <v>0.0</v>
      </c>
      <c r="AX245" s="68">
        <v>0.0</v>
      </c>
      <c r="AY245" s="68">
        <v>0.0</v>
      </c>
      <c r="AZ245" s="68">
        <v>0.0</v>
      </c>
      <c r="BA245" s="68">
        <v>0.0</v>
      </c>
      <c r="BB245" s="68">
        <v>-8.96</v>
      </c>
      <c r="BC245" s="68" t="s">
        <v>106</v>
      </c>
      <c r="BD245" s="68" t="s">
        <v>156</v>
      </c>
      <c r="BE245" s="68">
        <v>5010.0</v>
      </c>
      <c r="BF245" s="68"/>
      <c r="BH245" s="70" t="s">
        <v>107</v>
      </c>
      <c r="BI245" s="68" t="s">
        <v>108</v>
      </c>
      <c r="BK245" s="68"/>
      <c r="BL245" s="70">
        <v>1007.0</v>
      </c>
      <c r="BM245" s="68" t="s">
        <v>405</v>
      </c>
      <c r="BN245" s="68" t="s">
        <v>111</v>
      </c>
      <c r="BO245" s="68" t="s">
        <v>112</v>
      </c>
      <c r="BQ245" s="68"/>
      <c r="BW245" s="64" t="str">
        <f>if(OR(F245="SALE",F245="REFUNDED"),IFERROR(Vlookup(I245,'Listing SKU - Fill SKU Mapping'!A:C,3,false),"Map"),"")</f>
        <v>Keystone</v>
      </c>
      <c r="BX245" s="64" t="str">
        <f>IF(OR(F245="SALE",F245="REFUNDED")=TRUE,iferror(Vlookup(I245,'Listing SKU - Fill SKU Mapping'!A:B,2,false),"Map"),"")</f>
        <v>54915BLK</v>
      </c>
      <c r="BY245" s="64">
        <f>IF(OR(F245="SALE",F245="REFUNDED")=TRUE,iferror(Vlookup(I245,'Listing SKU - Fill SKU Mapping'!A:D,4,false),"Map"),"")</f>
        <v>49.71</v>
      </c>
      <c r="BZ245" s="66">
        <f t="shared" si="1"/>
        <v>11.5</v>
      </c>
      <c r="CA245" s="66">
        <f t="shared" si="2"/>
        <v>61.21</v>
      </c>
      <c r="CB245" s="64" t="str">
        <f t="shared" si="3"/>
        <v/>
      </c>
      <c r="CC245" s="64" t="str">
        <f>if(F245="REFUNDED",iferror(Vlookup(I245,'Listing SKU - Fill SKU Mapping'!A:B,2,false),"Map"),"")</f>
        <v>54915BLK</v>
      </c>
      <c r="CD245" s="64" t="str">
        <f>if(F245="REFUNDED",iferror(Vlookup(I245,'Listing SKU - Fill SKU Mapping'!A:C,3,false),"Map"),"")</f>
        <v>Keystone</v>
      </c>
      <c r="CE245" s="64" t="str">
        <f t="shared" si="4"/>
        <v>2025</v>
      </c>
      <c r="CF245" s="64" t="str">
        <f t="shared" si="5"/>
        <v>September</v>
      </c>
      <c r="CG245" s="64" t="str">
        <f t="shared" si="6"/>
        <v/>
      </c>
    </row>
    <row r="246">
      <c r="A246" s="55">
        <v>2.0001E14</v>
      </c>
      <c r="B246" s="56">
        <v>1.0</v>
      </c>
      <c r="C246" s="57">
        <v>1.2902E14</v>
      </c>
      <c r="D246" s="58">
        <v>1.0</v>
      </c>
      <c r="F246" s="59" t="s">
        <v>128</v>
      </c>
      <c r="G246" s="60">
        <v>45897.0</v>
      </c>
      <c r="H246" s="58">
        <v>1.0</v>
      </c>
      <c r="I246" s="58" t="s">
        <v>390</v>
      </c>
      <c r="J246" s="61">
        <v>4.60776230733E11</v>
      </c>
      <c r="K246" s="63"/>
      <c r="L246" s="63"/>
      <c r="M246" s="63"/>
      <c r="N246" s="63"/>
      <c r="O246" s="63"/>
      <c r="P246" s="63"/>
      <c r="Q246" s="63"/>
      <c r="R246" s="63"/>
      <c r="S246" s="63"/>
      <c r="U246" s="59">
        <v>-102.71</v>
      </c>
      <c r="V246" s="59">
        <v>-100.42</v>
      </c>
      <c r="W246" s="58">
        <v>-7.56</v>
      </c>
      <c r="X246" s="58">
        <v>0.0</v>
      </c>
      <c r="Y246" s="68">
        <v>0.0</v>
      </c>
      <c r="Z246" s="69">
        <v>-96.9</v>
      </c>
      <c r="AA246" s="68">
        <v>0.0</v>
      </c>
      <c r="AB246" s="68">
        <v>0.0</v>
      </c>
      <c r="AC246" s="68">
        <v>0.0</v>
      </c>
      <c r="AD246" s="68">
        <v>0.0</v>
      </c>
      <c r="AE246" s="68">
        <v>0.0</v>
      </c>
      <c r="AF246" s="68">
        <v>0.0</v>
      </c>
      <c r="AG246" s="68">
        <v>0.0</v>
      </c>
      <c r="AH246" s="68">
        <v>0.0</v>
      </c>
      <c r="AI246" s="68">
        <v>0.0</v>
      </c>
      <c r="AJ246" s="68">
        <v>0.0</v>
      </c>
      <c r="AK246" s="68">
        <v>0.0</v>
      </c>
      <c r="AL246" s="68">
        <v>0.0</v>
      </c>
      <c r="AM246" s="68">
        <v>0.0</v>
      </c>
      <c r="AN246" s="68">
        <v>0.0</v>
      </c>
      <c r="AO246" s="68">
        <v>0.0</v>
      </c>
      <c r="AP246" s="68">
        <v>0.0</v>
      </c>
      <c r="AQ246" s="68">
        <v>0.0</v>
      </c>
      <c r="AR246" s="68">
        <v>0.0</v>
      </c>
      <c r="AS246" s="68">
        <v>0.0</v>
      </c>
      <c r="AT246" s="68">
        <v>-5.81</v>
      </c>
      <c r="AU246" s="68">
        <v>0.0</v>
      </c>
      <c r="AV246" s="68">
        <v>0.0</v>
      </c>
      <c r="AW246" s="68">
        <v>0.0</v>
      </c>
      <c r="AX246" s="68">
        <v>0.0</v>
      </c>
      <c r="AY246" s="68">
        <v>0.0</v>
      </c>
      <c r="AZ246" s="68">
        <v>0.0</v>
      </c>
      <c r="BA246" s="68">
        <v>0.0</v>
      </c>
      <c r="BB246" s="68">
        <v>-5.81</v>
      </c>
      <c r="BC246" s="68" t="s">
        <v>106</v>
      </c>
      <c r="BD246" s="68" t="s">
        <v>156</v>
      </c>
      <c r="BE246" s="68">
        <v>5010.0</v>
      </c>
      <c r="BF246" s="68">
        <v>107.98</v>
      </c>
      <c r="BG246" s="68"/>
      <c r="BH246" s="70" t="s">
        <v>107</v>
      </c>
      <c r="BI246" s="68" t="s">
        <v>108</v>
      </c>
      <c r="BK246" s="68"/>
      <c r="BL246" s="70">
        <v>1000.0</v>
      </c>
      <c r="BM246" s="68" t="s">
        <v>130</v>
      </c>
      <c r="BN246" s="68" t="s">
        <v>111</v>
      </c>
      <c r="BO246" s="68" t="s">
        <v>112</v>
      </c>
      <c r="BQ246" s="68"/>
      <c r="BT246" s="70">
        <v>11.08</v>
      </c>
      <c r="BU246" s="68"/>
      <c r="BW246" s="64" t="str">
        <f>if(OR(F246="SALE",F246="REFUNDED"),IFERROR(Vlookup(I246,'Listing SKU - Fill SKU Mapping'!A:C,3,false),"Map"),"")</f>
        <v>Keystone</v>
      </c>
      <c r="BX246" s="64" t="str">
        <f>IF(OR(F246="SALE",F246="REFUNDED")=TRUE,iferror(Vlookup(I246,'Listing SKU - Fill SKU Mapping'!A:B,2,false),"Map"),"")</f>
        <v>IMP19X</v>
      </c>
      <c r="BY246" s="64">
        <f>IF(OR(F246="SALE",F246="REFUNDED")=TRUE,iferror(Vlookup(I246,'Listing SKU - Fill SKU Mapping'!A:D,4,false),"Map"),"")</f>
        <v>49.71</v>
      </c>
      <c r="BZ246" s="66">
        <f t="shared" si="1"/>
        <v>11.5</v>
      </c>
      <c r="CA246" s="66">
        <f t="shared" si="2"/>
        <v>61.21</v>
      </c>
      <c r="CB246" s="64" t="str">
        <f t="shared" si="3"/>
        <v/>
      </c>
      <c r="CC246" s="64" t="str">
        <f>if(F246="REFUNDED",iferror(Vlookup(I246,'Listing SKU - Fill SKU Mapping'!A:B,2,false),"Map"),"")</f>
        <v>IMP19X</v>
      </c>
      <c r="CD246" s="64" t="str">
        <f>if(F246="REFUNDED",iferror(Vlookup(I246,'Listing SKU - Fill SKU Mapping'!A:C,3,false),"Map"),"")</f>
        <v>Keystone</v>
      </c>
      <c r="CE246" s="64" t="str">
        <f t="shared" si="4"/>
        <v>2025</v>
      </c>
      <c r="CF246" s="64" t="str">
        <f t="shared" si="5"/>
        <v>August</v>
      </c>
      <c r="CG246" s="64" t="str">
        <f t="shared" si="6"/>
        <v/>
      </c>
    </row>
    <row r="247">
      <c r="A247" s="55">
        <v>2.0001E14</v>
      </c>
      <c r="B247" s="56">
        <v>4.0</v>
      </c>
      <c r="C247" s="57">
        <v>1.2902E14</v>
      </c>
      <c r="D247" s="58">
        <v>4.0</v>
      </c>
      <c r="F247" s="59" t="s">
        <v>100</v>
      </c>
      <c r="G247" s="60">
        <v>45908.0</v>
      </c>
      <c r="H247" s="58">
        <v>1.0</v>
      </c>
      <c r="I247" s="58" t="s">
        <v>342</v>
      </c>
      <c r="J247" s="61">
        <v>4.67129958634E11</v>
      </c>
      <c r="K247" s="63"/>
      <c r="L247" s="63"/>
      <c r="M247" s="63"/>
      <c r="N247" s="63"/>
      <c r="O247" s="63"/>
      <c r="P247" s="63"/>
      <c r="Q247" s="63"/>
      <c r="R247" s="63"/>
      <c r="S247" s="63"/>
      <c r="T247" s="58" t="s">
        <v>105</v>
      </c>
      <c r="U247" s="59">
        <v>92.86</v>
      </c>
      <c r="V247" s="59">
        <v>79.96</v>
      </c>
      <c r="W247" s="58">
        <v>6.02</v>
      </c>
      <c r="X247" s="58">
        <v>7.0</v>
      </c>
      <c r="Y247" s="68">
        <v>85.98</v>
      </c>
      <c r="Z247" s="69">
        <v>0.0</v>
      </c>
      <c r="AA247" s="68">
        <v>0.0</v>
      </c>
      <c r="AB247" s="68">
        <v>0.0</v>
      </c>
      <c r="AC247" s="68">
        <v>0.0</v>
      </c>
      <c r="AD247" s="68">
        <v>0.0</v>
      </c>
      <c r="AE247" s="68">
        <v>0.0</v>
      </c>
      <c r="AF247" s="68">
        <v>0.0</v>
      </c>
      <c r="AG247" s="68">
        <v>0.0</v>
      </c>
      <c r="AH247" s="68">
        <v>0.0</v>
      </c>
      <c r="AI247" s="68">
        <v>0.0</v>
      </c>
      <c r="AJ247" s="68">
        <v>0.0</v>
      </c>
      <c r="AK247" s="68">
        <v>0.0</v>
      </c>
      <c r="AL247" s="68">
        <v>0.0</v>
      </c>
      <c r="AM247" s="68">
        <v>0.0</v>
      </c>
      <c r="AN247" s="68">
        <v>0.0</v>
      </c>
      <c r="AO247" s="68">
        <v>6.88</v>
      </c>
      <c r="AP247" s="68">
        <v>0.0</v>
      </c>
      <c r="AQ247" s="68">
        <v>0.0</v>
      </c>
      <c r="AR247" s="68">
        <v>0.0</v>
      </c>
      <c r="AS247" s="68">
        <v>0.0</v>
      </c>
      <c r="AT247" s="68">
        <v>0.0</v>
      </c>
      <c r="AU247" s="68">
        <v>0.0</v>
      </c>
      <c r="AV247" s="68">
        <v>0.0</v>
      </c>
      <c r="AW247" s="68">
        <v>0.0</v>
      </c>
      <c r="AX247" s="68">
        <v>0.0</v>
      </c>
      <c r="AY247" s="68">
        <v>0.0</v>
      </c>
      <c r="AZ247" s="68">
        <v>0.0</v>
      </c>
      <c r="BA247" s="68">
        <v>0.0</v>
      </c>
      <c r="BB247" s="68">
        <v>6.88</v>
      </c>
      <c r="BC247" s="68" t="s">
        <v>106</v>
      </c>
      <c r="BD247" s="68"/>
      <c r="BG247" s="70">
        <v>-8.6</v>
      </c>
      <c r="BH247" s="68" t="s">
        <v>107</v>
      </c>
      <c r="BI247" s="68" t="s">
        <v>108</v>
      </c>
      <c r="BJ247" s="68" t="s">
        <v>109</v>
      </c>
      <c r="BK247" s="68" t="s">
        <v>406</v>
      </c>
      <c r="BM247" s="68"/>
      <c r="BN247" s="70" t="s">
        <v>111</v>
      </c>
      <c r="BO247" s="68" t="s">
        <v>112</v>
      </c>
      <c r="BP247" s="68" t="s">
        <v>113</v>
      </c>
      <c r="BQ247" s="68" t="s">
        <v>114</v>
      </c>
      <c r="BR247" s="68">
        <v>2.58</v>
      </c>
      <c r="BS247" s="68"/>
      <c r="BV247" s="72"/>
      <c r="BW247" s="64" t="str">
        <f>if(OR(F247="SALE",F247="REFUNDED"),IFERROR(Vlookup(I247,'Listing SKU - Fill SKU Mapping'!A:C,3,false),"Map"),"")</f>
        <v>Keystone</v>
      </c>
      <c r="BX247" s="64" t="str">
        <f>IF(OR(F247="SALE",F247="REFUNDED")=TRUE,iferror(Vlookup(I247,'Listing SKU - Fill SKU Mapping'!A:B,2,false),"Map"),"")</f>
        <v>47016S</v>
      </c>
      <c r="BY247" s="64">
        <f>IF(OR(F247="SALE",F247="REFUNDED")=TRUE,iferror(Vlookup(I247,'Listing SKU - Fill SKU Mapping'!A:D,4,false),"Map"),"")</f>
        <v>33.53</v>
      </c>
      <c r="BZ247" s="66">
        <f t="shared" si="1"/>
        <v>11.5</v>
      </c>
      <c r="CA247" s="66">
        <f t="shared" si="2"/>
        <v>45.03</v>
      </c>
      <c r="CB247" s="66">
        <f t="shared" si="3"/>
        <v>34.93</v>
      </c>
      <c r="CC247" s="64" t="str">
        <f>if(F247="REFUNDED",iferror(Vlookup(I247,'Listing SKU - Fill SKU Mapping'!A:B,2,false),"Map"),"")</f>
        <v/>
      </c>
      <c r="CD247" s="64" t="str">
        <f>if(F247="REFUNDED",iferror(Vlookup(I247,'Listing SKU - Fill SKU Mapping'!A:C,3,false),"Map"),"")</f>
        <v/>
      </c>
      <c r="CE247" s="64" t="str">
        <f t="shared" si="4"/>
        <v>2025</v>
      </c>
      <c r="CF247" s="64" t="str">
        <f t="shared" si="5"/>
        <v>September</v>
      </c>
      <c r="CG247" s="64" t="str">
        <f t="shared" si="6"/>
        <v/>
      </c>
    </row>
    <row r="248">
      <c r="A248" s="55">
        <v>2.0001E14</v>
      </c>
      <c r="B248" s="56">
        <v>4.0</v>
      </c>
      <c r="C248" s="57">
        <v>1.2902E14</v>
      </c>
      <c r="D248" s="58">
        <v>4.0</v>
      </c>
      <c r="F248" s="59" t="s">
        <v>128</v>
      </c>
      <c r="G248" s="60">
        <v>45910.0</v>
      </c>
      <c r="H248" s="58">
        <v>1.0</v>
      </c>
      <c r="I248" s="58" t="s">
        <v>342</v>
      </c>
      <c r="J248" s="61">
        <v>4.67129958634E11</v>
      </c>
      <c r="K248" s="63"/>
      <c r="L248" s="63"/>
      <c r="M248" s="63"/>
      <c r="N248" s="63"/>
      <c r="O248" s="63"/>
      <c r="P248" s="63"/>
      <c r="Q248" s="63"/>
      <c r="R248" s="63"/>
      <c r="S248" s="63"/>
      <c r="U248" s="59">
        <v>-92.86</v>
      </c>
      <c r="V248" s="59">
        <v>-79.96</v>
      </c>
      <c r="W248" s="58">
        <v>-6.02</v>
      </c>
      <c r="X248" s="58">
        <v>0.0</v>
      </c>
      <c r="Y248" s="68">
        <v>0.0</v>
      </c>
      <c r="Z248" s="69">
        <v>-85.98</v>
      </c>
      <c r="AA248" s="68">
        <v>0.0</v>
      </c>
      <c r="AB248" s="68">
        <v>0.0</v>
      </c>
      <c r="AC248" s="68">
        <v>0.0</v>
      </c>
      <c r="AD248" s="68">
        <v>0.0</v>
      </c>
      <c r="AE248" s="68">
        <v>0.0</v>
      </c>
      <c r="AF248" s="68">
        <v>0.0</v>
      </c>
      <c r="AG248" s="68">
        <v>0.0</v>
      </c>
      <c r="AH248" s="68">
        <v>0.0</v>
      </c>
      <c r="AI248" s="68">
        <v>0.0</v>
      </c>
      <c r="AJ248" s="68">
        <v>0.0</v>
      </c>
      <c r="AK248" s="68">
        <v>0.0</v>
      </c>
      <c r="AL248" s="68">
        <v>0.0</v>
      </c>
      <c r="AM248" s="68">
        <v>0.0</v>
      </c>
      <c r="AN248" s="68">
        <v>0.0</v>
      </c>
      <c r="AO248" s="68">
        <v>0.0</v>
      </c>
      <c r="AP248" s="68">
        <v>0.0</v>
      </c>
      <c r="AQ248" s="68">
        <v>0.0</v>
      </c>
      <c r="AR248" s="68">
        <v>0.0</v>
      </c>
      <c r="AS248" s="68">
        <v>0.0</v>
      </c>
      <c r="AT248" s="68">
        <v>-6.88</v>
      </c>
      <c r="AU248" s="68">
        <v>0.0</v>
      </c>
      <c r="AV248" s="68">
        <v>0.0</v>
      </c>
      <c r="AW248" s="68">
        <v>0.0</v>
      </c>
      <c r="AX248" s="68">
        <v>0.0</v>
      </c>
      <c r="AY248" s="68">
        <v>0.0</v>
      </c>
      <c r="AZ248" s="68">
        <v>0.0</v>
      </c>
      <c r="BA248" s="68">
        <v>0.0</v>
      </c>
      <c r="BB248" s="68">
        <v>-6.88</v>
      </c>
      <c r="BC248" s="68" t="s">
        <v>106</v>
      </c>
      <c r="BD248" s="68" t="s">
        <v>156</v>
      </c>
      <c r="BE248" s="68">
        <v>5010.0</v>
      </c>
      <c r="BF248" s="68"/>
      <c r="BH248" s="70" t="s">
        <v>107</v>
      </c>
      <c r="BI248" s="68" t="s">
        <v>108</v>
      </c>
      <c r="BK248" s="68"/>
      <c r="BL248" s="70">
        <v>1000.0</v>
      </c>
      <c r="BM248" s="68" t="s">
        <v>130</v>
      </c>
      <c r="BN248" s="68" t="s">
        <v>111</v>
      </c>
      <c r="BO248" s="68" t="s">
        <v>112</v>
      </c>
      <c r="BQ248" s="68"/>
      <c r="BV248" s="72"/>
      <c r="BW248" s="64" t="str">
        <f>if(OR(F248="SALE",F248="REFUNDED"),IFERROR(Vlookup(I248,'Listing SKU - Fill SKU Mapping'!A:C,3,false),"Map"),"")</f>
        <v>Keystone</v>
      </c>
      <c r="BX248" s="64" t="str">
        <f>IF(OR(F248="SALE",F248="REFUNDED")=TRUE,iferror(Vlookup(I248,'Listing SKU - Fill SKU Mapping'!A:B,2,false),"Map"),"")</f>
        <v>47016S</v>
      </c>
      <c r="BY248" s="64">
        <f>IF(OR(F248="SALE",F248="REFUNDED")=TRUE,iferror(Vlookup(I248,'Listing SKU - Fill SKU Mapping'!A:D,4,false),"Map"),"")</f>
        <v>33.53</v>
      </c>
      <c r="BZ248" s="66">
        <f t="shared" si="1"/>
        <v>11.5</v>
      </c>
      <c r="CA248" s="66">
        <f t="shared" si="2"/>
        <v>45.03</v>
      </c>
      <c r="CB248" s="64" t="str">
        <f t="shared" si="3"/>
        <v/>
      </c>
      <c r="CC248" s="64" t="str">
        <f>if(F248="REFUNDED",iferror(Vlookup(I248,'Listing SKU - Fill SKU Mapping'!A:B,2,false),"Map"),"")</f>
        <v>47016S</v>
      </c>
      <c r="CD248" s="64" t="str">
        <f>if(F248="REFUNDED",iferror(Vlookup(I248,'Listing SKU - Fill SKU Mapping'!A:C,3,false),"Map"),"")</f>
        <v>Keystone</v>
      </c>
      <c r="CE248" s="64" t="str">
        <f t="shared" si="4"/>
        <v>2025</v>
      </c>
      <c r="CF248" s="64" t="str">
        <f t="shared" si="5"/>
        <v>September</v>
      </c>
      <c r="CG248" s="64" t="str">
        <f t="shared" si="6"/>
        <v/>
      </c>
    </row>
    <row r="249">
      <c r="A249" s="55">
        <v>2.0001E14</v>
      </c>
      <c r="B249" s="56">
        <v>1.0</v>
      </c>
      <c r="C249" s="57">
        <v>1.2903E14</v>
      </c>
      <c r="D249" s="58">
        <v>1.0</v>
      </c>
      <c r="F249" s="59" t="s">
        <v>100</v>
      </c>
      <c r="G249" s="60">
        <v>45919.0</v>
      </c>
      <c r="H249" s="58">
        <v>1.0</v>
      </c>
      <c r="I249" s="58" t="s">
        <v>369</v>
      </c>
      <c r="J249" s="61">
        <v>4.66885076132E11</v>
      </c>
      <c r="K249" s="63"/>
      <c r="L249" s="63"/>
      <c r="M249" s="63"/>
      <c r="N249" s="63"/>
      <c r="O249" s="63"/>
      <c r="P249" s="63"/>
      <c r="Q249" s="63"/>
      <c r="R249" s="63"/>
      <c r="S249" s="63"/>
      <c r="T249" s="58" t="s">
        <v>105</v>
      </c>
      <c r="U249" s="59">
        <v>70.84</v>
      </c>
      <c r="V249" s="59">
        <v>68.8</v>
      </c>
      <c r="W249" s="58">
        <v>5.18</v>
      </c>
      <c r="X249" s="58">
        <v>7.0</v>
      </c>
      <c r="Y249" s="68">
        <v>65.9</v>
      </c>
      <c r="Z249" s="69">
        <v>0.0</v>
      </c>
      <c r="AA249" s="68">
        <v>0.0</v>
      </c>
      <c r="AB249" s="68">
        <v>0.0</v>
      </c>
      <c r="AC249" s="68">
        <v>0.0</v>
      </c>
      <c r="AD249" s="68">
        <v>0.0</v>
      </c>
      <c r="AE249" s="68">
        <v>0.0</v>
      </c>
      <c r="AF249" s="68">
        <v>0.0</v>
      </c>
      <c r="AG249" s="68">
        <v>0.0</v>
      </c>
      <c r="AH249" s="68">
        <v>0.0</v>
      </c>
      <c r="AI249" s="68">
        <v>0.0</v>
      </c>
      <c r="AJ249" s="68">
        <v>0.0</v>
      </c>
      <c r="AK249" s="68">
        <v>0.0</v>
      </c>
      <c r="AL249" s="68">
        <v>0.0</v>
      </c>
      <c r="AM249" s="68">
        <v>0.0</v>
      </c>
      <c r="AN249" s="68">
        <v>0.0</v>
      </c>
      <c r="AO249" s="68">
        <v>4.94</v>
      </c>
      <c r="AP249" s="68">
        <v>0.0</v>
      </c>
      <c r="AQ249" s="68">
        <v>0.0</v>
      </c>
      <c r="AR249" s="68">
        <v>0.0</v>
      </c>
      <c r="AS249" s="68">
        <v>0.0</v>
      </c>
      <c r="AT249" s="68">
        <v>0.0</v>
      </c>
      <c r="AU249" s="68">
        <v>0.0</v>
      </c>
      <c r="AV249" s="68">
        <v>0.0</v>
      </c>
      <c r="AW249" s="68">
        <v>0.0</v>
      </c>
      <c r="AX249" s="68">
        <v>0.0</v>
      </c>
      <c r="AY249" s="68">
        <v>0.0</v>
      </c>
      <c r="AZ249" s="68">
        <v>0.0</v>
      </c>
      <c r="BA249" s="68">
        <v>0.0</v>
      </c>
      <c r="BB249" s="68">
        <v>4.94</v>
      </c>
      <c r="BC249" s="68" t="s">
        <v>106</v>
      </c>
      <c r="BD249" s="68"/>
      <c r="BF249" s="70">
        <v>73.98</v>
      </c>
      <c r="BG249" s="68">
        <v>-7.4</v>
      </c>
      <c r="BH249" s="68" t="s">
        <v>107</v>
      </c>
      <c r="BI249" s="68" t="s">
        <v>108</v>
      </c>
      <c r="BJ249" s="68" t="s">
        <v>109</v>
      </c>
      <c r="BK249" s="68" t="s">
        <v>407</v>
      </c>
      <c r="BM249" s="68"/>
      <c r="BN249" s="70" t="s">
        <v>111</v>
      </c>
      <c r="BO249" s="68" t="s">
        <v>112</v>
      </c>
      <c r="BP249" s="68" t="s">
        <v>113</v>
      </c>
      <c r="BQ249" s="68" t="s">
        <v>317</v>
      </c>
      <c r="BR249" s="68">
        <v>2.22</v>
      </c>
      <c r="BS249" s="68"/>
      <c r="BT249" s="70">
        <v>-8.08</v>
      </c>
      <c r="BU249" s="68" t="s">
        <v>318</v>
      </c>
      <c r="BV249" s="73"/>
      <c r="BW249" s="64" t="str">
        <f>if(OR(F249="SALE",F249="REFUNDED"),IFERROR(Vlookup(I249,'Listing SKU - Fill SKU Mapping'!A:C,3,false),"Map"),"")</f>
        <v>Keystone</v>
      </c>
      <c r="BX249" s="64" t="str">
        <f>IF(OR(F249="SALE",F249="REFUNDED")=TRUE,iferror(Vlookup(I249,'Listing SKU - Fill SKU Mapping'!A:B,2,false),"Map"),"")</f>
        <v>41415S</v>
      </c>
      <c r="BY249" s="64">
        <f>IF(OR(F249="SALE",F249="REFUNDED")=TRUE,iferror(Vlookup(I249,'Listing SKU - Fill SKU Mapping'!A:D,4,false),"Map"),"")</f>
        <v>26.04</v>
      </c>
      <c r="BZ249" s="66">
        <f t="shared" si="1"/>
        <v>11.5</v>
      </c>
      <c r="CA249" s="66">
        <f t="shared" si="2"/>
        <v>37.54</v>
      </c>
      <c r="CB249" s="66">
        <f t="shared" si="3"/>
        <v>31.26</v>
      </c>
      <c r="CC249" s="64" t="str">
        <f>if(F249="REFUNDED",iferror(Vlookup(I249,'Listing SKU - Fill SKU Mapping'!A:B,2,false),"Map"),"")</f>
        <v/>
      </c>
      <c r="CD249" s="64" t="str">
        <f>if(F249="REFUNDED",iferror(Vlookup(I249,'Listing SKU - Fill SKU Mapping'!A:C,3,false),"Map"),"")</f>
        <v/>
      </c>
      <c r="CE249" s="64" t="str">
        <f t="shared" si="4"/>
        <v>2025</v>
      </c>
      <c r="CF249" s="64" t="str">
        <f t="shared" si="5"/>
        <v>September</v>
      </c>
      <c r="CG249" s="64" t="str">
        <f t="shared" si="6"/>
        <v/>
      </c>
    </row>
    <row r="250">
      <c r="A250" s="55">
        <v>2.0001E14</v>
      </c>
      <c r="B250" s="56">
        <v>1.0</v>
      </c>
      <c r="C250" s="57">
        <v>1.2903E14</v>
      </c>
      <c r="D250" s="58">
        <v>1.0</v>
      </c>
      <c r="F250" s="59" t="s">
        <v>100</v>
      </c>
      <c r="G250" s="60">
        <v>45908.0</v>
      </c>
      <c r="H250" s="58">
        <v>1.0</v>
      </c>
      <c r="I250" s="58" t="s">
        <v>408</v>
      </c>
      <c r="J250" s="61">
        <v>4.69971002015E11</v>
      </c>
      <c r="K250" s="63"/>
      <c r="L250" s="63"/>
      <c r="M250" s="63"/>
      <c r="N250" s="63"/>
      <c r="O250" s="63"/>
      <c r="P250" s="63"/>
      <c r="Q250" s="63"/>
      <c r="R250" s="63"/>
      <c r="S250" s="63"/>
      <c r="T250" s="58" t="s">
        <v>105</v>
      </c>
      <c r="U250" s="59">
        <v>78.39</v>
      </c>
      <c r="V250" s="59">
        <v>66.94</v>
      </c>
      <c r="W250" s="58">
        <v>5.04</v>
      </c>
      <c r="X250" s="58">
        <v>7.0</v>
      </c>
      <c r="Y250" s="68">
        <v>71.98</v>
      </c>
      <c r="Z250" s="69">
        <v>0.0</v>
      </c>
      <c r="AA250" s="68">
        <v>0.0</v>
      </c>
      <c r="AB250" s="68">
        <v>0.0</v>
      </c>
      <c r="AC250" s="68">
        <v>0.0</v>
      </c>
      <c r="AD250" s="68">
        <v>0.0</v>
      </c>
      <c r="AE250" s="68">
        <v>0.0</v>
      </c>
      <c r="AF250" s="68">
        <v>0.0</v>
      </c>
      <c r="AG250" s="68">
        <v>0.0</v>
      </c>
      <c r="AH250" s="68">
        <v>0.0</v>
      </c>
      <c r="AI250" s="68">
        <v>0.0</v>
      </c>
      <c r="AJ250" s="68">
        <v>0.0</v>
      </c>
      <c r="AK250" s="68">
        <v>0.0</v>
      </c>
      <c r="AL250" s="68">
        <v>0.0</v>
      </c>
      <c r="AM250" s="68">
        <v>0.0</v>
      </c>
      <c r="AN250" s="68">
        <v>0.0</v>
      </c>
      <c r="AO250" s="68">
        <v>6.41</v>
      </c>
      <c r="AP250" s="68">
        <v>0.0</v>
      </c>
      <c r="AQ250" s="68">
        <v>0.0</v>
      </c>
      <c r="AR250" s="68">
        <v>0.0</v>
      </c>
      <c r="AS250" s="68">
        <v>0.0</v>
      </c>
      <c r="AT250" s="68">
        <v>0.0</v>
      </c>
      <c r="AU250" s="68">
        <v>0.0</v>
      </c>
      <c r="AV250" s="68">
        <v>0.0</v>
      </c>
      <c r="AW250" s="68">
        <v>0.0</v>
      </c>
      <c r="AX250" s="68">
        <v>0.0</v>
      </c>
      <c r="AY250" s="68">
        <v>0.0</v>
      </c>
      <c r="AZ250" s="68">
        <v>0.0</v>
      </c>
      <c r="BA250" s="68">
        <v>0.0</v>
      </c>
      <c r="BB250" s="68">
        <v>6.41</v>
      </c>
      <c r="BC250" s="68" t="s">
        <v>106</v>
      </c>
      <c r="BD250" s="68"/>
      <c r="BG250" s="70">
        <v>-7.2</v>
      </c>
      <c r="BH250" s="68" t="s">
        <v>107</v>
      </c>
      <c r="BI250" s="68" t="s">
        <v>108</v>
      </c>
      <c r="BJ250" s="68" t="s">
        <v>109</v>
      </c>
      <c r="BK250" s="68" t="s">
        <v>406</v>
      </c>
      <c r="BM250" s="68"/>
      <c r="BN250" s="70" t="s">
        <v>111</v>
      </c>
      <c r="BO250" s="68" t="s">
        <v>112</v>
      </c>
      <c r="BP250" s="68" t="s">
        <v>113</v>
      </c>
      <c r="BQ250" s="68" t="s">
        <v>114</v>
      </c>
      <c r="BR250" s="68">
        <v>2.16</v>
      </c>
      <c r="BS250" s="68"/>
      <c r="BV250" s="72"/>
      <c r="BW250" s="64" t="str">
        <f>if(OR(F250="SALE",F250="REFUNDED"),IFERROR(Vlookup(I250,'Listing SKU - Fill SKU Mapping'!A:C,3,false),"Map"),"")</f>
        <v>Keystone</v>
      </c>
      <c r="BX250" s="64" t="str">
        <f>IF(OR(F250="SALE",F250="REFUNDED")=TRUE,iferror(Vlookup(I250,'Listing SKU - Fill SKU Mapping'!A:B,2,false),"Map"),"")</f>
        <v>51516S</v>
      </c>
      <c r="BY250" s="64">
        <f>IF(OR(F250="SALE",F250="REFUNDED")=TRUE,iferror(Vlookup(I250,'Listing SKU - Fill SKU Mapping'!A:D,4,false),"Map"),"")</f>
        <v>24.38</v>
      </c>
      <c r="BZ250" s="66">
        <f t="shared" si="1"/>
        <v>11.5</v>
      </c>
      <c r="CA250" s="66">
        <f t="shared" si="2"/>
        <v>35.88</v>
      </c>
      <c r="CB250" s="66">
        <f t="shared" si="3"/>
        <v>31.06</v>
      </c>
      <c r="CC250" s="64" t="str">
        <f>if(F250="REFUNDED",iferror(Vlookup(I250,'Listing SKU - Fill SKU Mapping'!A:B,2,false),"Map"),"")</f>
        <v/>
      </c>
      <c r="CD250" s="64" t="str">
        <f>if(F250="REFUNDED",iferror(Vlookup(I250,'Listing SKU - Fill SKU Mapping'!A:C,3,false),"Map"),"")</f>
        <v/>
      </c>
      <c r="CE250" s="64" t="str">
        <f t="shared" si="4"/>
        <v>2025</v>
      </c>
      <c r="CF250" s="64" t="str">
        <f t="shared" si="5"/>
        <v>September</v>
      </c>
      <c r="CG250" s="64" t="str">
        <f t="shared" si="6"/>
        <v/>
      </c>
    </row>
    <row r="251">
      <c r="A251" s="55">
        <v>2.0001E14</v>
      </c>
      <c r="B251" s="56">
        <v>3.0</v>
      </c>
      <c r="C251" s="57">
        <v>1.2903E14</v>
      </c>
      <c r="D251" s="58">
        <v>3.0</v>
      </c>
      <c r="F251" s="59" t="s">
        <v>100</v>
      </c>
      <c r="G251" s="60">
        <v>45908.0</v>
      </c>
      <c r="H251" s="58">
        <v>2.0</v>
      </c>
      <c r="I251" s="58" t="s">
        <v>361</v>
      </c>
      <c r="J251" s="61">
        <v>4.65595347495E11</v>
      </c>
      <c r="K251" s="63"/>
      <c r="L251" s="63"/>
      <c r="M251" s="63"/>
      <c r="N251" s="63"/>
      <c r="O251" s="63"/>
      <c r="P251" s="63"/>
      <c r="Q251" s="63"/>
      <c r="R251" s="63"/>
      <c r="S251" s="63"/>
      <c r="T251" s="58" t="s">
        <v>105</v>
      </c>
      <c r="U251" s="59">
        <v>177.47</v>
      </c>
      <c r="V251" s="59">
        <v>178.52</v>
      </c>
      <c r="W251" s="58">
        <v>13.44</v>
      </c>
      <c r="X251" s="58">
        <v>7.0</v>
      </c>
      <c r="Y251" s="68">
        <v>165.86</v>
      </c>
      <c r="Z251" s="69">
        <v>0.0</v>
      </c>
      <c r="AA251" s="68">
        <v>0.0</v>
      </c>
      <c r="AB251" s="68">
        <v>0.0</v>
      </c>
      <c r="AC251" s="68">
        <v>0.0</v>
      </c>
      <c r="AD251" s="68">
        <v>0.0</v>
      </c>
      <c r="AE251" s="68">
        <v>0.0</v>
      </c>
      <c r="AF251" s="68">
        <v>0.0</v>
      </c>
      <c r="AG251" s="68">
        <v>0.0</v>
      </c>
      <c r="AH251" s="68">
        <v>0.0</v>
      </c>
      <c r="AI251" s="68">
        <v>0.0</v>
      </c>
      <c r="AJ251" s="68">
        <v>0.0</v>
      </c>
      <c r="AK251" s="68">
        <v>0.0</v>
      </c>
      <c r="AL251" s="68">
        <v>0.0</v>
      </c>
      <c r="AM251" s="68">
        <v>0.0</v>
      </c>
      <c r="AN251" s="68">
        <v>0.0</v>
      </c>
      <c r="AO251" s="68">
        <v>11.61</v>
      </c>
      <c r="AP251" s="68">
        <v>0.0</v>
      </c>
      <c r="AQ251" s="68">
        <v>0.0</v>
      </c>
      <c r="AR251" s="68">
        <v>0.0</v>
      </c>
      <c r="AS251" s="68">
        <v>0.0</v>
      </c>
      <c r="AT251" s="68">
        <v>0.0</v>
      </c>
      <c r="AU251" s="68">
        <v>0.0</v>
      </c>
      <c r="AV251" s="68">
        <v>0.0</v>
      </c>
      <c r="AW251" s="68">
        <v>0.0</v>
      </c>
      <c r="AX251" s="68">
        <v>0.0</v>
      </c>
      <c r="AY251" s="68">
        <v>0.0</v>
      </c>
      <c r="AZ251" s="68">
        <v>0.0</v>
      </c>
      <c r="BA251" s="68">
        <v>0.0</v>
      </c>
      <c r="BB251" s="68">
        <v>11.61</v>
      </c>
      <c r="BC251" s="68" t="s">
        <v>106</v>
      </c>
      <c r="BD251" s="68"/>
      <c r="BF251" s="70">
        <v>191.96</v>
      </c>
      <c r="BG251" s="68">
        <v>-19.2</v>
      </c>
      <c r="BH251" s="68" t="s">
        <v>107</v>
      </c>
      <c r="BI251" s="68" t="s">
        <v>108</v>
      </c>
      <c r="BJ251" s="68" t="s">
        <v>109</v>
      </c>
      <c r="BK251" s="68" t="s">
        <v>406</v>
      </c>
      <c r="BM251" s="68"/>
      <c r="BN251" s="70" t="s">
        <v>111</v>
      </c>
      <c r="BO251" s="68" t="s">
        <v>112</v>
      </c>
      <c r="BP251" s="68" t="s">
        <v>113</v>
      </c>
      <c r="BQ251" s="68" t="s">
        <v>317</v>
      </c>
      <c r="BR251" s="68">
        <v>5.76</v>
      </c>
      <c r="BS251" s="68"/>
      <c r="BT251" s="70">
        <v>-26.1</v>
      </c>
      <c r="BU251" s="68" t="s">
        <v>318</v>
      </c>
      <c r="BV251" s="73"/>
      <c r="BW251" s="64" t="str">
        <f>if(OR(F251="SALE",F251="REFUNDED"),IFERROR(Vlookup(I251,'Listing SKU - Fill SKU Mapping'!A:C,3,false),"Map"),"")</f>
        <v>Keystone</v>
      </c>
      <c r="BX251" s="64" t="str">
        <f>IF(OR(F251="SALE",F251="REFUNDED")=TRUE,iferror(Vlookup(I251,'Listing SKU - Fill SKU Mapping'!A:B,2,false),"Map"),"")</f>
        <v>IMP468BLK</v>
      </c>
      <c r="BY251" s="64">
        <f>IF(OR(F251="SALE",F251="REFUNDED")=TRUE,iferror(Vlookup(I251,'Listing SKU - Fill SKU Mapping'!A:D,4,false),"Map"),"")</f>
        <v>46.16</v>
      </c>
      <c r="BZ251" s="66">
        <f t="shared" si="1"/>
        <v>11.5</v>
      </c>
      <c r="CA251" s="66">
        <f t="shared" si="2"/>
        <v>57.66</v>
      </c>
      <c r="CB251" s="66">
        <f t="shared" si="3"/>
        <v>120.86</v>
      </c>
      <c r="CC251" s="64" t="str">
        <f>if(F251="REFUNDED",iferror(Vlookup(I251,'Listing SKU - Fill SKU Mapping'!A:B,2,false),"Map"),"")</f>
        <v/>
      </c>
      <c r="CD251" s="64" t="str">
        <f>if(F251="REFUNDED",iferror(Vlookup(I251,'Listing SKU - Fill SKU Mapping'!A:C,3,false),"Map"),"")</f>
        <v/>
      </c>
      <c r="CE251" s="64" t="str">
        <f t="shared" si="4"/>
        <v>2025</v>
      </c>
      <c r="CF251" s="64" t="str">
        <f t="shared" si="5"/>
        <v>September</v>
      </c>
      <c r="CG251" s="64" t="str">
        <f t="shared" si="6"/>
        <v/>
      </c>
    </row>
    <row r="252">
      <c r="A252" s="55">
        <v>2.0001E14</v>
      </c>
      <c r="B252" s="56">
        <v>1.0</v>
      </c>
      <c r="C252" s="57">
        <v>1.2903E14</v>
      </c>
      <c r="D252" s="58">
        <v>1.0</v>
      </c>
      <c r="F252" s="59" t="s">
        <v>100</v>
      </c>
      <c r="G252" s="60">
        <v>45918.0</v>
      </c>
      <c r="H252" s="58">
        <v>1.0</v>
      </c>
      <c r="I252" s="58" t="s">
        <v>386</v>
      </c>
      <c r="J252" s="61">
        <v>4.67620062427E11</v>
      </c>
      <c r="K252" s="63"/>
      <c r="L252" s="63"/>
      <c r="M252" s="63"/>
      <c r="N252" s="63"/>
      <c r="O252" s="63"/>
      <c r="P252" s="63"/>
      <c r="Q252" s="63"/>
      <c r="R252" s="63"/>
      <c r="S252" s="63"/>
      <c r="T252" s="58" t="s">
        <v>105</v>
      </c>
      <c r="U252" s="59">
        <v>68.03</v>
      </c>
      <c r="V252" s="59">
        <v>57.65</v>
      </c>
      <c r="W252" s="58">
        <v>4.34</v>
      </c>
      <c r="X252" s="58">
        <v>7.0</v>
      </c>
      <c r="Y252" s="68">
        <v>61.99</v>
      </c>
      <c r="Z252" s="69">
        <v>0.0</v>
      </c>
      <c r="AA252" s="68">
        <v>0.0</v>
      </c>
      <c r="AB252" s="68">
        <v>0.0</v>
      </c>
      <c r="AC252" s="68">
        <v>0.0</v>
      </c>
      <c r="AD252" s="68">
        <v>0.0</v>
      </c>
      <c r="AE252" s="68">
        <v>0.0</v>
      </c>
      <c r="AF252" s="68">
        <v>0.0</v>
      </c>
      <c r="AG252" s="68">
        <v>0.0</v>
      </c>
      <c r="AH252" s="68">
        <v>0.0</v>
      </c>
      <c r="AI252" s="68">
        <v>0.0</v>
      </c>
      <c r="AJ252" s="68">
        <v>0.0</v>
      </c>
      <c r="AK252" s="68">
        <v>0.0</v>
      </c>
      <c r="AL252" s="68">
        <v>0.0</v>
      </c>
      <c r="AM252" s="68">
        <v>0.0</v>
      </c>
      <c r="AN252" s="68">
        <v>0.0</v>
      </c>
      <c r="AO252" s="68">
        <v>6.04</v>
      </c>
      <c r="AP252" s="68">
        <v>0.0</v>
      </c>
      <c r="AQ252" s="68">
        <v>0.0</v>
      </c>
      <c r="AR252" s="68">
        <v>0.0</v>
      </c>
      <c r="AS252" s="68">
        <v>0.0</v>
      </c>
      <c r="AT252" s="68">
        <v>0.0</v>
      </c>
      <c r="AU252" s="68">
        <v>0.0</v>
      </c>
      <c r="AV252" s="68">
        <v>0.0</v>
      </c>
      <c r="AW252" s="68">
        <v>0.0</v>
      </c>
      <c r="AX252" s="68">
        <v>0.0</v>
      </c>
      <c r="AY252" s="68">
        <v>0.0</v>
      </c>
      <c r="AZ252" s="68">
        <v>0.0</v>
      </c>
      <c r="BA252" s="68">
        <v>0.0</v>
      </c>
      <c r="BB252" s="68">
        <v>6.04</v>
      </c>
      <c r="BC252" s="68" t="s">
        <v>106</v>
      </c>
      <c r="BD252" s="68"/>
      <c r="BG252" s="70">
        <v>-6.2</v>
      </c>
      <c r="BH252" s="68" t="s">
        <v>107</v>
      </c>
      <c r="BI252" s="68" t="s">
        <v>108</v>
      </c>
      <c r="BJ252" s="68" t="s">
        <v>325</v>
      </c>
      <c r="BK252" s="68" t="s">
        <v>333</v>
      </c>
      <c r="BM252" s="68"/>
      <c r="BN252" s="70" t="s">
        <v>111</v>
      </c>
      <c r="BO252" s="68" t="s">
        <v>112</v>
      </c>
      <c r="BP252" s="68" t="s">
        <v>113</v>
      </c>
      <c r="BQ252" s="68" t="s">
        <v>348</v>
      </c>
      <c r="BR252" s="68">
        <v>1.86</v>
      </c>
      <c r="BS252" s="68"/>
      <c r="BV252" s="72"/>
      <c r="BW252" s="64" t="str">
        <f>if(OR(F252="SALE",F252="REFUNDED"),IFERROR(Vlookup(I252,'Listing SKU - Fill SKU Mapping'!A:C,3,false),"Map"),"")</f>
        <v>Keystone</v>
      </c>
      <c r="BX252" s="64" t="str">
        <f>IF(OR(F252="SALE",F252="REFUNDED")=TRUE,iferror(Vlookup(I252,'Listing SKU - Fill SKU Mapping'!A:B,2,false),"Map"),"")</f>
        <v>1515P</v>
      </c>
      <c r="BY252" s="64">
        <f>IF(OR(F252="SALE",F252="REFUNDED")=TRUE,iferror(Vlookup(I252,'Listing SKU - Fill SKU Mapping'!A:D,4,false),"Map"),"")</f>
        <v>24.46</v>
      </c>
      <c r="BZ252" s="66">
        <f t="shared" si="1"/>
        <v>11.5</v>
      </c>
      <c r="CA252" s="66">
        <f t="shared" si="2"/>
        <v>35.96</v>
      </c>
      <c r="CB252" s="66">
        <f t="shared" si="3"/>
        <v>21.69</v>
      </c>
      <c r="CC252" s="64" t="str">
        <f>if(F252="REFUNDED",iferror(Vlookup(I252,'Listing SKU - Fill SKU Mapping'!A:B,2,false),"Map"),"")</f>
        <v/>
      </c>
      <c r="CD252" s="64" t="str">
        <f>if(F252="REFUNDED",iferror(Vlookup(I252,'Listing SKU - Fill SKU Mapping'!A:C,3,false),"Map"),"")</f>
        <v/>
      </c>
      <c r="CE252" s="64" t="str">
        <f t="shared" si="4"/>
        <v>2025</v>
      </c>
      <c r="CF252" s="64" t="str">
        <f t="shared" si="5"/>
        <v>September</v>
      </c>
      <c r="CG252" s="64" t="str">
        <f t="shared" si="6"/>
        <v/>
      </c>
    </row>
    <row r="253">
      <c r="A253" s="55">
        <v>2.0001E14</v>
      </c>
      <c r="B253" s="56">
        <v>1.0</v>
      </c>
      <c r="C253" s="57">
        <v>1.2903E14</v>
      </c>
      <c r="D253" s="58">
        <v>1.0</v>
      </c>
      <c r="F253" s="59" t="s">
        <v>100</v>
      </c>
      <c r="G253" s="60">
        <v>45911.0</v>
      </c>
      <c r="H253" s="58">
        <v>1.0</v>
      </c>
      <c r="I253" s="58" t="s">
        <v>409</v>
      </c>
      <c r="J253" s="61">
        <v>4.60776233901E11</v>
      </c>
      <c r="K253" s="63"/>
      <c r="L253" s="63"/>
      <c r="M253" s="63"/>
      <c r="N253" s="63"/>
      <c r="O253" s="63"/>
      <c r="P253" s="63"/>
      <c r="Q253" s="63"/>
      <c r="R253" s="63"/>
      <c r="S253" s="63"/>
      <c r="T253" s="58" t="s">
        <v>105</v>
      </c>
      <c r="U253" s="59">
        <v>115.98</v>
      </c>
      <c r="V253" s="59">
        <v>106.93</v>
      </c>
      <c r="W253" s="58">
        <v>8.05</v>
      </c>
      <c r="X253" s="58">
        <v>7.0</v>
      </c>
      <c r="Y253" s="68">
        <v>109.93</v>
      </c>
      <c r="Z253" s="69">
        <v>0.0</v>
      </c>
      <c r="AA253" s="68">
        <v>0.0</v>
      </c>
      <c r="AB253" s="68">
        <v>0.0</v>
      </c>
      <c r="AC253" s="68">
        <v>0.0</v>
      </c>
      <c r="AD253" s="68">
        <v>0.0</v>
      </c>
      <c r="AE253" s="68">
        <v>0.0</v>
      </c>
      <c r="AF253" s="68">
        <v>0.0</v>
      </c>
      <c r="AG253" s="68">
        <v>0.0</v>
      </c>
      <c r="AH253" s="68">
        <v>0.0</v>
      </c>
      <c r="AI253" s="68">
        <v>0.0</v>
      </c>
      <c r="AJ253" s="68">
        <v>0.0</v>
      </c>
      <c r="AK253" s="68">
        <v>0.0</v>
      </c>
      <c r="AL253" s="68">
        <v>0.0</v>
      </c>
      <c r="AM253" s="68">
        <v>0.0</v>
      </c>
      <c r="AN253" s="68">
        <v>0.0</v>
      </c>
      <c r="AO253" s="68">
        <v>6.05</v>
      </c>
      <c r="AP253" s="68">
        <v>0.0</v>
      </c>
      <c r="AQ253" s="68">
        <v>0.0</v>
      </c>
      <c r="AR253" s="68">
        <v>0.0</v>
      </c>
      <c r="AS253" s="68">
        <v>0.0</v>
      </c>
      <c r="AT253" s="68">
        <v>0.0</v>
      </c>
      <c r="AU253" s="68">
        <v>0.0</v>
      </c>
      <c r="AV253" s="68">
        <v>0.0</v>
      </c>
      <c r="AW253" s="68">
        <v>0.0</v>
      </c>
      <c r="AX253" s="68">
        <v>0.0</v>
      </c>
      <c r="AY253" s="68">
        <v>0.0</v>
      </c>
      <c r="AZ253" s="68">
        <v>0.0</v>
      </c>
      <c r="BA253" s="68">
        <v>0.0</v>
      </c>
      <c r="BB253" s="68">
        <v>6.05</v>
      </c>
      <c r="BC253" s="68" t="s">
        <v>106</v>
      </c>
      <c r="BD253" s="68"/>
      <c r="BF253" s="70">
        <v>114.98</v>
      </c>
      <c r="BG253" s="68">
        <v>-11.5</v>
      </c>
      <c r="BH253" s="68" t="s">
        <v>107</v>
      </c>
      <c r="BI253" s="68" t="s">
        <v>108</v>
      </c>
      <c r="BJ253" s="68" t="s">
        <v>109</v>
      </c>
      <c r="BK253" s="68" t="s">
        <v>406</v>
      </c>
      <c r="BM253" s="68"/>
      <c r="BN253" s="70" t="s">
        <v>111</v>
      </c>
      <c r="BO253" s="68" t="s">
        <v>112</v>
      </c>
      <c r="BP253" s="68" t="s">
        <v>113</v>
      </c>
      <c r="BQ253" s="68" t="s">
        <v>317</v>
      </c>
      <c r="BR253" s="68">
        <v>3.45</v>
      </c>
      <c r="BS253" s="68"/>
      <c r="BT253" s="70">
        <v>-5.05</v>
      </c>
      <c r="BU253" s="68" t="s">
        <v>318</v>
      </c>
      <c r="BV253" s="73"/>
      <c r="BW253" s="64" t="str">
        <f>if(OR(F253="SALE",F253="REFUNDED"),IFERROR(Vlookup(I253,'Listing SKU - Fill SKU Mapping'!A:C,3,false),"Map"),"")</f>
        <v>Keystone</v>
      </c>
      <c r="BX253" s="64" t="str">
        <f>IF(OR(F253="SALE",F253="REFUNDED")=TRUE,iferror(Vlookup(I253,'Listing SKU - Fill SKU Mapping'!A:B,2,false),"Map"),"")</f>
        <v>IMP412BLKN</v>
      </c>
      <c r="BY253" s="64">
        <f>IF(OR(F253="SALE",F253="REFUNDED")=TRUE,iferror(Vlookup(I253,'Listing SKU - Fill SKU Mapping'!A:D,4,false),"Map"),"")</f>
        <v>53.65</v>
      </c>
      <c r="BZ253" s="66">
        <f t="shared" si="1"/>
        <v>11.5</v>
      </c>
      <c r="CA253" s="66">
        <f t="shared" si="2"/>
        <v>65.15</v>
      </c>
      <c r="CB253" s="66">
        <f t="shared" si="3"/>
        <v>41.78</v>
      </c>
      <c r="CC253" s="64" t="str">
        <f>if(F253="REFUNDED",iferror(Vlookup(I253,'Listing SKU - Fill SKU Mapping'!A:B,2,false),"Map"),"")</f>
        <v/>
      </c>
      <c r="CD253" s="64" t="str">
        <f>if(F253="REFUNDED",iferror(Vlookup(I253,'Listing SKU - Fill SKU Mapping'!A:C,3,false),"Map"),"")</f>
        <v/>
      </c>
      <c r="CE253" s="64" t="str">
        <f t="shared" si="4"/>
        <v>2025</v>
      </c>
      <c r="CF253" s="64" t="str">
        <f t="shared" si="5"/>
        <v>September</v>
      </c>
      <c r="CG253" s="64" t="str">
        <f t="shared" si="6"/>
        <v/>
      </c>
    </row>
    <row r="254">
      <c r="A254" s="55">
        <v>2.0001E14</v>
      </c>
      <c r="B254" s="56">
        <v>2.0</v>
      </c>
      <c r="C254" s="57">
        <v>1.2903E14</v>
      </c>
      <c r="D254" s="58">
        <v>2.0</v>
      </c>
      <c r="F254" s="59" t="s">
        <v>100</v>
      </c>
      <c r="G254" s="60">
        <v>45915.0</v>
      </c>
      <c r="H254" s="58">
        <v>1.0</v>
      </c>
      <c r="I254" s="58" t="s">
        <v>347</v>
      </c>
      <c r="J254" s="61">
        <v>4.67129950577E11</v>
      </c>
      <c r="K254" s="63"/>
      <c r="L254" s="63"/>
      <c r="M254" s="63"/>
      <c r="N254" s="63"/>
      <c r="O254" s="63"/>
      <c r="P254" s="63"/>
      <c r="Q254" s="63"/>
      <c r="R254" s="63"/>
      <c r="S254" s="63"/>
      <c r="T254" s="58" t="s">
        <v>105</v>
      </c>
      <c r="U254" s="59">
        <v>84.51</v>
      </c>
      <c r="V254" s="59">
        <v>73.45</v>
      </c>
      <c r="W254" s="58">
        <v>5.53</v>
      </c>
      <c r="X254" s="58">
        <v>7.0</v>
      </c>
      <c r="Y254" s="68">
        <v>78.98</v>
      </c>
      <c r="Z254" s="69">
        <v>0.0</v>
      </c>
      <c r="AA254" s="68">
        <v>0.0</v>
      </c>
      <c r="AB254" s="68">
        <v>0.0</v>
      </c>
      <c r="AC254" s="68">
        <v>0.0</v>
      </c>
      <c r="AD254" s="68">
        <v>0.0</v>
      </c>
      <c r="AE254" s="68">
        <v>0.0</v>
      </c>
      <c r="AF254" s="68">
        <v>0.0</v>
      </c>
      <c r="AG254" s="68">
        <v>0.0</v>
      </c>
      <c r="AH254" s="68">
        <v>0.0</v>
      </c>
      <c r="AI254" s="68">
        <v>0.0</v>
      </c>
      <c r="AJ254" s="68">
        <v>0.0</v>
      </c>
      <c r="AK254" s="68">
        <v>0.0</v>
      </c>
      <c r="AL254" s="68">
        <v>0.0</v>
      </c>
      <c r="AM254" s="68">
        <v>0.0</v>
      </c>
      <c r="AN254" s="68">
        <v>0.0</v>
      </c>
      <c r="AO254" s="68">
        <v>5.53</v>
      </c>
      <c r="AP254" s="68">
        <v>0.0</v>
      </c>
      <c r="AQ254" s="68">
        <v>0.0</v>
      </c>
      <c r="AR254" s="68">
        <v>0.0</v>
      </c>
      <c r="AS254" s="68">
        <v>0.0</v>
      </c>
      <c r="AT254" s="68">
        <v>0.0</v>
      </c>
      <c r="AU254" s="68">
        <v>0.0</v>
      </c>
      <c r="AV254" s="68">
        <v>0.0</v>
      </c>
      <c r="AW254" s="68">
        <v>0.0</v>
      </c>
      <c r="AX254" s="68">
        <v>0.0</v>
      </c>
      <c r="AY254" s="68">
        <v>0.0</v>
      </c>
      <c r="AZ254" s="68">
        <v>0.0</v>
      </c>
      <c r="BA254" s="68">
        <v>0.0</v>
      </c>
      <c r="BB254" s="68">
        <v>5.53</v>
      </c>
      <c r="BC254" s="68" t="s">
        <v>106</v>
      </c>
      <c r="BD254" s="68"/>
      <c r="BG254" s="70">
        <v>-7.9</v>
      </c>
      <c r="BH254" s="68" t="s">
        <v>107</v>
      </c>
      <c r="BI254" s="68" t="s">
        <v>108</v>
      </c>
      <c r="BJ254" s="68" t="s">
        <v>109</v>
      </c>
      <c r="BK254" s="68" t="s">
        <v>407</v>
      </c>
      <c r="BM254" s="68"/>
      <c r="BN254" s="70" t="s">
        <v>111</v>
      </c>
      <c r="BO254" s="68" t="s">
        <v>112</v>
      </c>
      <c r="BP254" s="68" t="s">
        <v>113</v>
      </c>
      <c r="BQ254" s="68" t="s">
        <v>114</v>
      </c>
      <c r="BR254" s="68">
        <v>2.37</v>
      </c>
      <c r="BS254" s="68"/>
      <c r="BV254" s="72"/>
      <c r="BW254" s="64" t="str">
        <f>if(OR(F254="SALE",F254="REFUNDED"),IFERROR(Vlookup(I254,'Listing SKU - Fill SKU Mapping'!A:C,3,false),"Map"),"")</f>
        <v>Keystone</v>
      </c>
      <c r="BX254" s="64" t="str">
        <f>IF(OR(F254="SALE",F254="REFUNDED")=TRUE,iferror(Vlookup(I254,'Listing SKU - Fill SKU Mapping'!A:B,2,false),"Map"),"")</f>
        <v>51015S</v>
      </c>
      <c r="BY254" s="64">
        <f>IF(OR(F254="SALE",F254="REFUNDED")=TRUE,iferror(Vlookup(I254,'Listing SKU - Fill SKU Mapping'!A:D,4,false),"Map"),"")</f>
        <v>28.8</v>
      </c>
      <c r="BZ254" s="66">
        <f t="shared" si="1"/>
        <v>11.5</v>
      </c>
      <c r="CA254" s="66">
        <f t="shared" si="2"/>
        <v>40.3</v>
      </c>
      <c r="CB254" s="66">
        <f t="shared" si="3"/>
        <v>33.15</v>
      </c>
      <c r="CC254" s="64" t="str">
        <f>if(F254="REFUNDED",iferror(Vlookup(I254,'Listing SKU - Fill SKU Mapping'!A:B,2,false),"Map"),"")</f>
        <v/>
      </c>
      <c r="CD254" s="64" t="str">
        <f>if(F254="REFUNDED",iferror(Vlookup(I254,'Listing SKU - Fill SKU Mapping'!A:C,3,false),"Map"),"")</f>
        <v/>
      </c>
      <c r="CE254" s="64" t="str">
        <f t="shared" si="4"/>
        <v>2025</v>
      </c>
      <c r="CF254" s="64" t="str">
        <f t="shared" si="5"/>
        <v>September</v>
      </c>
      <c r="CG254" s="64" t="str">
        <f t="shared" si="6"/>
        <v/>
      </c>
    </row>
    <row r="255">
      <c r="A255" s="55">
        <v>2.0001E14</v>
      </c>
      <c r="B255" s="56">
        <v>1.0</v>
      </c>
      <c r="C255" s="57">
        <v>1.2903E14</v>
      </c>
      <c r="D255" s="58">
        <v>1.0</v>
      </c>
      <c r="F255" s="59" t="s">
        <v>100</v>
      </c>
      <c r="G255" s="60">
        <v>45917.0</v>
      </c>
      <c r="H255" s="58">
        <v>1.0</v>
      </c>
      <c r="I255" s="58" t="s">
        <v>324</v>
      </c>
      <c r="J255" s="61">
        <v>4.67620062434E11</v>
      </c>
      <c r="K255" s="63"/>
      <c r="L255" s="63"/>
      <c r="M255" s="63"/>
      <c r="N255" s="63"/>
      <c r="O255" s="63"/>
      <c r="P255" s="63"/>
      <c r="Q255" s="63"/>
      <c r="R255" s="63"/>
      <c r="S255" s="63"/>
      <c r="T255" s="58" t="s">
        <v>105</v>
      </c>
      <c r="U255" s="59">
        <v>40.27</v>
      </c>
      <c r="V255" s="59">
        <v>35.33</v>
      </c>
      <c r="W255" s="58">
        <v>2.66</v>
      </c>
      <c r="X255" s="58">
        <v>7.0</v>
      </c>
      <c r="Y255" s="68">
        <v>37.99</v>
      </c>
      <c r="Z255" s="69">
        <v>0.0</v>
      </c>
      <c r="AA255" s="68">
        <v>0.0</v>
      </c>
      <c r="AB255" s="68">
        <v>0.0</v>
      </c>
      <c r="AC255" s="68">
        <v>0.0</v>
      </c>
      <c r="AD255" s="68">
        <v>0.0</v>
      </c>
      <c r="AE255" s="68">
        <v>0.0</v>
      </c>
      <c r="AF255" s="68">
        <v>0.0</v>
      </c>
      <c r="AG255" s="68">
        <v>0.0</v>
      </c>
      <c r="AH255" s="68">
        <v>0.0</v>
      </c>
      <c r="AI255" s="68">
        <v>0.0</v>
      </c>
      <c r="AJ255" s="68">
        <v>0.0</v>
      </c>
      <c r="AK255" s="68">
        <v>0.0</v>
      </c>
      <c r="AL255" s="68">
        <v>0.0</v>
      </c>
      <c r="AM255" s="68">
        <v>0.0</v>
      </c>
      <c r="AN255" s="68">
        <v>0.0</v>
      </c>
      <c r="AO255" s="68">
        <v>2.28</v>
      </c>
      <c r="AP255" s="68">
        <v>0.0</v>
      </c>
      <c r="AQ255" s="68">
        <v>0.0</v>
      </c>
      <c r="AR255" s="68">
        <v>0.0</v>
      </c>
      <c r="AS255" s="68">
        <v>0.0</v>
      </c>
      <c r="AT255" s="68">
        <v>0.0</v>
      </c>
      <c r="AU255" s="68">
        <v>0.0</v>
      </c>
      <c r="AV255" s="68">
        <v>0.0</v>
      </c>
      <c r="AW255" s="68">
        <v>0.0</v>
      </c>
      <c r="AX255" s="68">
        <v>0.0</v>
      </c>
      <c r="AY255" s="68">
        <v>0.0</v>
      </c>
      <c r="AZ255" s="68">
        <v>0.0</v>
      </c>
      <c r="BA255" s="68">
        <v>0.0</v>
      </c>
      <c r="BB255" s="68">
        <v>2.28</v>
      </c>
      <c r="BC255" s="68" t="s">
        <v>106</v>
      </c>
      <c r="BD255" s="68"/>
      <c r="BG255" s="70">
        <v>-3.8</v>
      </c>
      <c r="BH255" s="68" t="s">
        <v>107</v>
      </c>
      <c r="BI255" s="68" t="s">
        <v>108</v>
      </c>
      <c r="BJ255" s="68" t="s">
        <v>325</v>
      </c>
      <c r="BK255" s="68" t="s">
        <v>407</v>
      </c>
      <c r="BM255" s="68"/>
      <c r="BN255" s="70" t="s">
        <v>111</v>
      </c>
      <c r="BO255" s="68" t="s">
        <v>112</v>
      </c>
      <c r="BP255" s="68" t="s">
        <v>113</v>
      </c>
      <c r="BQ255" s="68" t="s">
        <v>114</v>
      </c>
      <c r="BR255" s="68">
        <v>1.14</v>
      </c>
      <c r="BS255" s="68"/>
      <c r="BV255" s="72"/>
      <c r="BW255" s="64" t="str">
        <f>if(OR(F255="SALE",F255="REFUNDED"),IFERROR(Vlookup(I255,'Listing SKU - Fill SKU Mapping'!A:C,3,false),"Map"),"")</f>
        <v>Keystone</v>
      </c>
      <c r="BX255" s="64" t="str">
        <f>IF(OR(F255="SALE",F255="REFUNDED")=TRUE,iferror(Vlookup(I255,'Listing SKU - Fill SKU Mapping'!A:B,2,false),"Map"),"")</f>
        <v>1515TP</v>
      </c>
      <c r="BY255" s="64">
        <f>IF(OR(F255="SALE",F255="REFUNDED")=TRUE,iferror(Vlookup(I255,'Listing SKU - Fill SKU Mapping'!A:D,4,false),"Map"),"")</f>
        <v>14.99</v>
      </c>
      <c r="BZ255" s="66">
        <f t="shared" si="1"/>
        <v>11.5</v>
      </c>
      <c r="CA255" s="66">
        <f t="shared" si="2"/>
        <v>26.49</v>
      </c>
      <c r="CB255" s="66">
        <f t="shared" si="3"/>
        <v>8.84</v>
      </c>
      <c r="CC255" s="64" t="str">
        <f>if(F255="REFUNDED",iferror(Vlookup(I255,'Listing SKU - Fill SKU Mapping'!A:B,2,false),"Map"),"")</f>
        <v/>
      </c>
      <c r="CD255" s="64" t="str">
        <f>if(F255="REFUNDED",iferror(Vlookup(I255,'Listing SKU - Fill SKU Mapping'!A:C,3,false),"Map"),"")</f>
        <v/>
      </c>
      <c r="CE255" s="64" t="str">
        <f t="shared" si="4"/>
        <v>2025</v>
      </c>
      <c r="CF255" s="64" t="str">
        <f t="shared" si="5"/>
        <v>September</v>
      </c>
      <c r="CG255" s="64" t="str">
        <f t="shared" si="6"/>
        <v/>
      </c>
    </row>
    <row r="256">
      <c r="A256" s="55">
        <v>2.0001E14</v>
      </c>
      <c r="B256" s="56">
        <v>1.0</v>
      </c>
      <c r="C256" s="57">
        <v>1.2903E14</v>
      </c>
      <c r="D256" s="58">
        <v>1.0</v>
      </c>
      <c r="F256" s="59" t="s">
        <v>100</v>
      </c>
      <c r="G256" s="60">
        <v>45915.0</v>
      </c>
      <c r="H256" s="58">
        <v>1.0</v>
      </c>
      <c r="I256" s="58" t="s">
        <v>386</v>
      </c>
      <c r="J256" s="61">
        <v>4.67620062427E11</v>
      </c>
      <c r="K256" s="63"/>
      <c r="L256" s="63"/>
      <c r="M256" s="63"/>
      <c r="N256" s="63"/>
      <c r="O256" s="63"/>
      <c r="P256" s="63"/>
      <c r="Q256" s="63"/>
      <c r="R256" s="63"/>
      <c r="S256" s="63"/>
      <c r="T256" s="58" t="s">
        <v>105</v>
      </c>
      <c r="U256" s="59">
        <v>61.99</v>
      </c>
      <c r="V256" s="59">
        <v>57.65</v>
      </c>
      <c r="W256" s="58">
        <v>4.34</v>
      </c>
      <c r="X256" s="58">
        <v>7.0</v>
      </c>
      <c r="Y256" s="68">
        <v>61.99</v>
      </c>
      <c r="Z256" s="69">
        <v>0.0</v>
      </c>
      <c r="AA256" s="68">
        <v>0.0</v>
      </c>
      <c r="AB256" s="68">
        <v>0.0</v>
      </c>
      <c r="AC256" s="68">
        <v>0.0</v>
      </c>
      <c r="AD256" s="68">
        <v>0.0</v>
      </c>
      <c r="AE256" s="68">
        <v>0.0</v>
      </c>
      <c r="AF256" s="68">
        <v>0.0</v>
      </c>
      <c r="AG256" s="68">
        <v>0.0</v>
      </c>
      <c r="AH256" s="68">
        <v>0.0</v>
      </c>
      <c r="AI256" s="68">
        <v>0.0</v>
      </c>
      <c r="AJ256" s="68">
        <v>0.0</v>
      </c>
      <c r="AK256" s="68">
        <v>0.0</v>
      </c>
      <c r="AL256" s="68">
        <v>0.0</v>
      </c>
      <c r="AM256" s="68">
        <v>0.0</v>
      </c>
      <c r="AN256" s="68">
        <v>0.0</v>
      </c>
      <c r="AO256" s="68">
        <v>0.0</v>
      </c>
      <c r="AP256" s="68">
        <v>0.0</v>
      </c>
      <c r="AQ256" s="68">
        <v>0.0</v>
      </c>
      <c r="AR256" s="68">
        <v>0.0</v>
      </c>
      <c r="AS256" s="68">
        <v>0.0</v>
      </c>
      <c r="AT256" s="68">
        <v>0.0</v>
      </c>
      <c r="AU256" s="68">
        <v>0.0</v>
      </c>
      <c r="AV256" s="68">
        <v>0.0</v>
      </c>
      <c r="AW256" s="68">
        <v>0.0</v>
      </c>
      <c r="AX256" s="68">
        <v>0.0</v>
      </c>
      <c r="AY256" s="68">
        <v>0.0</v>
      </c>
      <c r="AZ256" s="68">
        <v>0.0</v>
      </c>
      <c r="BA256" s="68">
        <v>0.0</v>
      </c>
      <c r="BB256" s="68">
        <v>0.0</v>
      </c>
      <c r="BC256" s="68" t="s">
        <v>111</v>
      </c>
      <c r="BD256" s="68"/>
      <c r="BG256" s="70">
        <v>-6.2</v>
      </c>
      <c r="BH256" s="68" t="s">
        <v>107</v>
      </c>
      <c r="BI256" s="68" t="s">
        <v>108</v>
      </c>
      <c r="BJ256" s="68" t="s">
        <v>325</v>
      </c>
      <c r="BK256" s="68" t="s">
        <v>407</v>
      </c>
      <c r="BM256" s="68"/>
      <c r="BN256" s="70" t="s">
        <v>111</v>
      </c>
      <c r="BO256" s="68" t="s">
        <v>112</v>
      </c>
      <c r="BP256" s="68" t="s">
        <v>113</v>
      </c>
      <c r="BQ256" s="68" t="s">
        <v>114</v>
      </c>
      <c r="BR256" s="68">
        <v>1.86</v>
      </c>
      <c r="BS256" s="68"/>
      <c r="BV256" s="72"/>
      <c r="BW256" s="64" t="str">
        <f>if(OR(F256="SALE",F256="REFUNDED"),IFERROR(Vlookup(I256,'Listing SKU - Fill SKU Mapping'!A:C,3,false),"Map"),"")</f>
        <v>Keystone</v>
      </c>
      <c r="BX256" s="64" t="str">
        <f>IF(OR(F256="SALE",F256="REFUNDED")=TRUE,iferror(Vlookup(I256,'Listing SKU - Fill SKU Mapping'!A:B,2,false),"Map"),"")</f>
        <v>1515P</v>
      </c>
      <c r="BY256" s="64">
        <f>IF(OR(F256="SALE",F256="REFUNDED")=TRUE,iferror(Vlookup(I256,'Listing SKU - Fill SKU Mapping'!A:D,4,false),"Map"),"")</f>
        <v>24.46</v>
      </c>
      <c r="BZ256" s="66">
        <f t="shared" si="1"/>
        <v>11.5</v>
      </c>
      <c r="CA256" s="66">
        <f t="shared" si="2"/>
        <v>35.96</v>
      </c>
      <c r="CB256" s="66">
        <f t="shared" si="3"/>
        <v>21.69</v>
      </c>
      <c r="CC256" s="64" t="str">
        <f>if(F256="REFUNDED",iferror(Vlookup(I256,'Listing SKU - Fill SKU Mapping'!A:B,2,false),"Map"),"")</f>
        <v/>
      </c>
      <c r="CD256" s="64" t="str">
        <f>if(F256="REFUNDED",iferror(Vlookup(I256,'Listing SKU - Fill SKU Mapping'!A:C,3,false),"Map"),"")</f>
        <v/>
      </c>
      <c r="CE256" s="64" t="str">
        <f t="shared" si="4"/>
        <v>2025</v>
      </c>
      <c r="CF256" s="64" t="str">
        <f t="shared" si="5"/>
        <v>September</v>
      </c>
      <c r="CG256" s="64" t="str">
        <f t="shared" si="6"/>
        <v/>
      </c>
    </row>
    <row r="257">
      <c r="A257" s="55">
        <v>2.0001E14</v>
      </c>
      <c r="B257" s="56">
        <v>1.0</v>
      </c>
      <c r="C257" s="57">
        <v>1.1902E14</v>
      </c>
      <c r="D257" s="58">
        <v>1.0</v>
      </c>
      <c r="F257" s="59" t="s">
        <v>128</v>
      </c>
      <c r="G257" s="60">
        <v>45902.0</v>
      </c>
      <c r="H257" s="58">
        <v>1.0</v>
      </c>
      <c r="I257" s="58" t="s">
        <v>361</v>
      </c>
      <c r="J257" s="61">
        <v>4.65595347495E11</v>
      </c>
      <c r="K257" s="63"/>
      <c r="L257" s="63"/>
      <c r="M257" s="63"/>
      <c r="N257" s="63"/>
      <c r="O257" s="63"/>
      <c r="P257" s="63"/>
      <c r="Q257" s="63"/>
      <c r="R257" s="63"/>
      <c r="S257" s="63"/>
      <c r="U257" s="59">
        <v>-90.02</v>
      </c>
      <c r="V257" s="59">
        <v>-89.26</v>
      </c>
      <c r="W257" s="58">
        <v>-6.72</v>
      </c>
      <c r="X257" s="58">
        <v>0.0</v>
      </c>
      <c r="Y257" s="68">
        <v>0.0</v>
      </c>
      <c r="Z257" s="69">
        <v>-82.93</v>
      </c>
      <c r="AA257" s="68">
        <v>0.0</v>
      </c>
      <c r="AB257" s="68">
        <v>0.0</v>
      </c>
      <c r="AC257" s="68">
        <v>0.0</v>
      </c>
      <c r="AD257" s="68">
        <v>0.0</v>
      </c>
      <c r="AE257" s="68">
        <v>0.0</v>
      </c>
      <c r="AF257" s="68">
        <v>0.0</v>
      </c>
      <c r="AG257" s="68">
        <v>0.0</v>
      </c>
      <c r="AH257" s="68">
        <v>0.0</v>
      </c>
      <c r="AI257" s="68">
        <v>0.0</v>
      </c>
      <c r="AJ257" s="68">
        <v>0.0</v>
      </c>
      <c r="AK257" s="68">
        <v>0.0</v>
      </c>
      <c r="AL257" s="68">
        <v>0.0</v>
      </c>
      <c r="AM257" s="68">
        <v>0.0</v>
      </c>
      <c r="AN257" s="68">
        <v>0.0</v>
      </c>
      <c r="AO257" s="68">
        <v>0.0</v>
      </c>
      <c r="AP257" s="68">
        <v>0.0</v>
      </c>
      <c r="AQ257" s="68">
        <v>0.0</v>
      </c>
      <c r="AR257" s="68">
        <v>0.0</v>
      </c>
      <c r="AS257" s="68">
        <v>0.0</v>
      </c>
      <c r="AT257" s="68">
        <v>-7.09</v>
      </c>
      <c r="AU257" s="68">
        <v>0.0</v>
      </c>
      <c r="AV257" s="68">
        <v>0.0</v>
      </c>
      <c r="AW257" s="68">
        <v>0.0</v>
      </c>
      <c r="AX257" s="68">
        <v>0.0</v>
      </c>
      <c r="AY257" s="68">
        <v>0.0</v>
      </c>
      <c r="AZ257" s="68">
        <v>0.0</v>
      </c>
      <c r="BA257" s="68">
        <v>0.0</v>
      </c>
      <c r="BB257" s="68">
        <v>-7.09</v>
      </c>
      <c r="BC257" s="68" t="s">
        <v>106</v>
      </c>
      <c r="BD257" s="68" t="s">
        <v>156</v>
      </c>
      <c r="BE257" s="68">
        <v>5010.0</v>
      </c>
      <c r="BF257" s="68">
        <v>95.98</v>
      </c>
      <c r="BG257" s="68"/>
      <c r="BH257" s="70" t="s">
        <v>107</v>
      </c>
      <c r="BI257" s="68" t="s">
        <v>108</v>
      </c>
      <c r="BK257" s="68"/>
      <c r="BL257" s="70">
        <v>1018.0</v>
      </c>
      <c r="BM257" s="68" t="s">
        <v>157</v>
      </c>
      <c r="BN257" s="68" t="s">
        <v>111</v>
      </c>
      <c r="BO257" s="68" t="s">
        <v>112</v>
      </c>
      <c r="BQ257" s="68"/>
      <c r="BT257" s="70">
        <v>13.05</v>
      </c>
      <c r="BU257" s="68"/>
      <c r="BV257" s="72"/>
      <c r="BW257" s="64" t="str">
        <f>if(OR(F257="SALE",F257="REFUNDED"),IFERROR(Vlookup(I257,'Listing SKU - Fill SKU Mapping'!A:C,3,false),"Map"),"")</f>
        <v>Keystone</v>
      </c>
      <c r="BX257" s="64" t="str">
        <f>IF(OR(F257="SALE",F257="REFUNDED")=TRUE,iferror(Vlookup(I257,'Listing SKU - Fill SKU Mapping'!A:B,2,false),"Map"),"")</f>
        <v>IMP468BLK</v>
      </c>
      <c r="BY257" s="64">
        <f>IF(OR(F257="SALE",F257="REFUNDED")=TRUE,iferror(Vlookup(I257,'Listing SKU - Fill SKU Mapping'!A:D,4,false),"Map"),"")</f>
        <v>46.16</v>
      </c>
      <c r="BZ257" s="66">
        <f t="shared" si="1"/>
        <v>11.5</v>
      </c>
      <c r="CA257" s="66">
        <f t="shared" si="2"/>
        <v>57.66</v>
      </c>
      <c r="CB257" s="64" t="str">
        <f t="shared" si="3"/>
        <v/>
      </c>
      <c r="CC257" s="64" t="str">
        <f>if(F257="REFUNDED",iferror(Vlookup(I257,'Listing SKU - Fill SKU Mapping'!A:B,2,false),"Map"),"")</f>
        <v>IMP468BLK</v>
      </c>
      <c r="CD257" s="64" t="str">
        <f>if(F257="REFUNDED",iferror(Vlookup(I257,'Listing SKU - Fill SKU Mapping'!A:C,3,false),"Map"),"")</f>
        <v>Keystone</v>
      </c>
      <c r="CE257" s="64" t="str">
        <f t="shared" si="4"/>
        <v>2025</v>
      </c>
      <c r="CF257" s="64" t="str">
        <f t="shared" si="5"/>
        <v>September</v>
      </c>
      <c r="CG257" s="64" t="str">
        <f t="shared" si="6"/>
        <v/>
      </c>
    </row>
    <row r="258">
      <c r="A258" s="55">
        <v>2.0001E14</v>
      </c>
      <c r="B258" s="56">
        <v>28.0</v>
      </c>
      <c r="C258" s="57">
        <v>1.2903E14</v>
      </c>
      <c r="D258" s="58">
        <v>28.0</v>
      </c>
      <c r="F258" s="59" t="s">
        <v>100</v>
      </c>
      <c r="G258" s="60">
        <v>45912.0</v>
      </c>
      <c r="H258" s="58">
        <v>1.0</v>
      </c>
      <c r="I258" s="58" t="s">
        <v>410</v>
      </c>
      <c r="J258" s="61">
        <v>4.67129923137E11</v>
      </c>
      <c r="K258" s="63"/>
      <c r="L258" s="63"/>
      <c r="M258" s="63"/>
      <c r="N258" s="63"/>
      <c r="O258" s="63"/>
      <c r="P258" s="63"/>
      <c r="Q258" s="63"/>
      <c r="R258" s="63"/>
      <c r="S258" s="63"/>
      <c r="T258" s="58" t="s">
        <v>105</v>
      </c>
      <c r="U258" s="59">
        <v>92.03</v>
      </c>
      <c r="V258" s="59">
        <v>78.1</v>
      </c>
      <c r="W258" s="58">
        <v>5.88</v>
      </c>
      <c r="X258" s="58">
        <v>7.0</v>
      </c>
      <c r="Y258" s="68">
        <v>83.98</v>
      </c>
      <c r="Z258" s="69">
        <v>0.0</v>
      </c>
      <c r="AA258" s="68">
        <v>0.0</v>
      </c>
      <c r="AB258" s="68">
        <v>0.0</v>
      </c>
      <c r="AC258" s="68">
        <v>0.0</v>
      </c>
      <c r="AD258" s="68">
        <v>0.0</v>
      </c>
      <c r="AE258" s="68">
        <v>0.0</v>
      </c>
      <c r="AF258" s="68">
        <v>0.0</v>
      </c>
      <c r="AG258" s="68">
        <v>0.0</v>
      </c>
      <c r="AH258" s="68">
        <v>0.0</v>
      </c>
      <c r="AI258" s="68">
        <v>0.0</v>
      </c>
      <c r="AJ258" s="68">
        <v>0.0</v>
      </c>
      <c r="AK258" s="68">
        <v>0.0</v>
      </c>
      <c r="AL258" s="68">
        <v>0.0</v>
      </c>
      <c r="AM258" s="68">
        <v>0.0</v>
      </c>
      <c r="AN258" s="68">
        <v>0.0</v>
      </c>
      <c r="AO258" s="68">
        <v>8.05</v>
      </c>
      <c r="AP258" s="68">
        <v>0.0</v>
      </c>
      <c r="AQ258" s="68">
        <v>0.0</v>
      </c>
      <c r="AR258" s="68">
        <v>0.0</v>
      </c>
      <c r="AS258" s="68">
        <v>0.0</v>
      </c>
      <c r="AT258" s="68">
        <v>0.0</v>
      </c>
      <c r="AU258" s="68">
        <v>0.0</v>
      </c>
      <c r="AV258" s="68">
        <v>0.0</v>
      </c>
      <c r="AW258" s="68">
        <v>0.0</v>
      </c>
      <c r="AX258" s="68">
        <v>0.0</v>
      </c>
      <c r="AY258" s="68">
        <v>0.0</v>
      </c>
      <c r="AZ258" s="68">
        <v>0.0</v>
      </c>
      <c r="BA258" s="68">
        <v>0.0</v>
      </c>
      <c r="BB258" s="68">
        <v>8.05</v>
      </c>
      <c r="BC258" s="68" t="s">
        <v>106</v>
      </c>
      <c r="BD258" s="68"/>
      <c r="BG258" s="70">
        <v>-8.4</v>
      </c>
      <c r="BH258" s="68" t="s">
        <v>107</v>
      </c>
      <c r="BI258" s="68" t="s">
        <v>108</v>
      </c>
      <c r="BJ258" s="68" t="s">
        <v>109</v>
      </c>
      <c r="BK258" s="68" t="s">
        <v>407</v>
      </c>
      <c r="BM258" s="68"/>
      <c r="BN258" s="70" t="s">
        <v>106</v>
      </c>
      <c r="BO258" s="68" t="s">
        <v>112</v>
      </c>
      <c r="BP258" s="68" t="s">
        <v>113</v>
      </c>
      <c r="BQ258" s="68" t="s">
        <v>114</v>
      </c>
      <c r="BR258" s="68">
        <v>2.52</v>
      </c>
      <c r="BS258" s="68"/>
      <c r="BV258" s="72"/>
      <c r="BW258" s="64" t="str">
        <f>if(OR(F258="SALE",F258="REFUNDED"),IFERROR(Vlookup(I258,'Listing SKU - Fill SKU Mapping'!A:C,3,false),"Map"),"")</f>
        <v>Keystone</v>
      </c>
      <c r="BX258" s="64" t="str">
        <f>IF(OR(F258="SALE",F258="REFUNDED")=TRUE,iferror(Vlookup(I258,'Listing SKU - Fill SKU Mapping'!A:B,2,false),"Map"),"")</f>
        <v>52217S</v>
      </c>
      <c r="BY258" s="64">
        <f>IF(OR(F258="SALE",F258="REFUNDED")=TRUE,iferror(Vlookup(I258,'Listing SKU - Fill SKU Mapping'!A:D,4,false),"Map"),"")</f>
        <v>31.95</v>
      </c>
      <c r="BZ258" s="66">
        <f t="shared" si="1"/>
        <v>11.5</v>
      </c>
      <c r="CA258" s="66">
        <f t="shared" si="2"/>
        <v>43.45</v>
      </c>
      <c r="CB258" s="66">
        <f t="shared" si="3"/>
        <v>34.65</v>
      </c>
      <c r="CC258" s="64" t="str">
        <f>if(F258="REFUNDED",iferror(Vlookup(I258,'Listing SKU - Fill SKU Mapping'!A:B,2,false),"Map"),"")</f>
        <v/>
      </c>
      <c r="CD258" s="64" t="str">
        <f>if(F258="REFUNDED",iferror(Vlookup(I258,'Listing SKU - Fill SKU Mapping'!A:C,3,false),"Map"),"")</f>
        <v/>
      </c>
      <c r="CE258" s="64" t="str">
        <f t="shared" si="4"/>
        <v>2025</v>
      </c>
      <c r="CF258" s="64" t="str">
        <f t="shared" si="5"/>
        <v>September</v>
      </c>
      <c r="CG258" s="64" t="str">
        <f t="shared" si="6"/>
        <v/>
      </c>
    </row>
    <row r="259">
      <c r="A259" s="55">
        <v>2.0001E14</v>
      </c>
      <c r="B259" s="56">
        <v>1.0</v>
      </c>
      <c r="C259" s="57">
        <v>1.2903E14</v>
      </c>
      <c r="D259" s="58">
        <v>1.0</v>
      </c>
      <c r="F259" s="59" t="s">
        <v>100</v>
      </c>
      <c r="G259" s="60">
        <v>45911.0</v>
      </c>
      <c r="H259" s="58">
        <v>1.0</v>
      </c>
      <c r="I259" s="58" t="s">
        <v>205</v>
      </c>
      <c r="J259" s="61">
        <v>4.60776231143E11</v>
      </c>
      <c r="K259" s="63"/>
      <c r="L259" s="63"/>
      <c r="M259" s="63"/>
      <c r="N259" s="63"/>
      <c r="O259" s="63"/>
      <c r="P259" s="63"/>
      <c r="Q259" s="63"/>
      <c r="R259" s="63"/>
      <c r="S259" s="63"/>
      <c r="T259" s="58" t="s">
        <v>105</v>
      </c>
      <c r="U259" s="59">
        <v>109.37</v>
      </c>
      <c r="V259" s="59">
        <v>94.84</v>
      </c>
      <c r="W259" s="58">
        <v>7.14</v>
      </c>
      <c r="X259" s="58">
        <v>7.0</v>
      </c>
      <c r="Y259" s="68">
        <v>101.98</v>
      </c>
      <c r="Z259" s="69">
        <v>0.0</v>
      </c>
      <c r="AA259" s="68">
        <v>0.0</v>
      </c>
      <c r="AB259" s="68">
        <v>0.0</v>
      </c>
      <c r="AC259" s="68">
        <v>0.0</v>
      </c>
      <c r="AD259" s="68">
        <v>0.0</v>
      </c>
      <c r="AE259" s="68">
        <v>0.0</v>
      </c>
      <c r="AF259" s="68">
        <v>0.0</v>
      </c>
      <c r="AG259" s="68">
        <v>0.0</v>
      </c>
      <c r="AH259" s="68">
        <v>0.0</v>
      </c>
      <c r="AI259" s="68">
        <v>0.0</v>
      </c>
      <c r="AJ259" s="68">
        <v>0.0</v>
      </c>
      <c r="AK259" s="68">
        <v>0.0</v>
      </c>
      <c r="AL259" s="68">
        <v>0.0</v>
      </c>
      <c r="AM259" s="68">
        <v>0.0</v>
      </c>
      <c r="AN259" s="68">
        <v>0.0</v>
      </c>
      <c r="AO259" s="68">
        <v>7.39</v>
      </c>
      <c r="AP259" s="68">
        <v>0.0</v>
      </c>
      <c r="AQ259" s="68">
        <v>0.0</v>
      </c>
      <c r="AR259" s="68">
        <v>0.0</v>
      </c>
      <c r="AS259" s="68">
        <v>0.0</v>
      </c>
      <c r="AT259" s="68">
        <v>0.0</v>
      </c>
      <c r="AU259" s="68">
        <v>0.0</v>
      </c>
      <c r="AV259" s="68">
        <v>0.0</v>
      </c>
      <c r="AW259" s="68">
        <v>0.0</v>
      </c>
      <c r="AX259" s="68">
        <v>0.0</v>
      </c>
      <c r="AY259" s="68">
        <v>0.0</v>
      </c>
      <c r="AZ259" s="68">
        <v>0.0</v>
      </c>
      <c r="BA259" s="68">
        <v>0.0</v>
      </c>
      <c r="BB259" s="68">
        <v>7.39</v>
      </c>
      <c r="BC259" s="68" t="s">
        <v>106</v>
      </c>
      <c r="BD259" s="68"/>
      <c r="BG259" s="70">
        <v>-10.2</v>
      </c>
      <c r="BH259" s="68" t="s">
        <v>107</v>
      </c>
      <c r="BI259" s="68" t="s">
        <v>108</v>
      </c>
      <c r="BJ259" s="68" t="s">
        <v>109</v>
      </c>
      <c r="BK259" s="68" t="s">
        <v>406</v>
      </c>
      <c r="BM259" s="68"/>
      <c r="BN259" s="70" t="s">
        <v>111</v>
      </c>
      <c r="BO259" s="68" t="s">
        <v>112</v>
      </c>
      <c r="BP259" s="68" t="s">
        <v>113</v>
      </c>
      <c r="BQ259" s="68" t="s">
        <v>114</v>
      </c>
      <c r="BR259" s="68">
        <v>3.06</v>
      </c>
      <c r="BS259" s="68"/>
      <c r="BV259" s="72"/>
      <c r="BW259" s="64" t="str">
        <f>if(OR(F259="SALE",F259="REFUNDED"),IFERROR(Vlookup(I259,'Listing SKU - Fill SKU Mapping'!A:C,3,false),"Map"),"")</f>
        <v>Keystone</v>
      </c>
      <c r="BX259" s="64" t="str">
        <f>IF(OR(F259="SALE",F259="REFUNDED")=TRUE,iferror(Vlookup(I259,'Listing SKU - Fill SKU Mapping'!A:B,2,false),"Map"),"")</f>
        <v>IMP378X</v>
      </c>
      <c r="BY259" s="64">
        <f>IF(OR(F259="SALE",F259="REFUNDED")=TRUE,iferror(Vlookup(I259,'Listing SKU - Fill SKU Mapping'!A:D,4,false),"Map"),"")</f>
        <v>45.36</v>
      </c>
      <c r="BZ259" s="66">
        <f t="shared" si="1"/>
        <v>11.5</v>
      </c>
      <c r="CA259" s="66">
        <f t="shared" si="2"/>
        <v>56.86</v>
      </c>
      <c r="CB259" s="66">
        <f t="shared" si="3"/>
        <v>37.98</v>
      </c>
      <c r="CC259" s="64" t="str">
        <f>if(F259="REFUNDED",iferror(Vlookup(I259,'Listing SKU - Fill SKU Mapping'!A:B,2,false),"Map"),"")</f>
        <v/>
      </c>
      <c r="CD259" s="64" t="str">
        <f>if(F259="REFUNDED",iferror(Vlookup(I259,'Listing SKU - Fill SKU Mapping'!A:C,3,false),"Map"),"")</f>
        <v/>
      </c>
      <c r="CE259" s="64" t="str">
        <f t="shared" si="4"/>
        <v>2025</v>
      </c>
      <c r="CF259" s="64" t="str">
        <f t="shared" si="5"/>
        <v>September</v>
      </c>
      <c r="CG259" s="64" t="str">
        <f t="shared" si="6"/>
        <v/>
      </c>
    </row>
    <row r="260">
      <c r="A260" s="55">
        <v>2.0001E14</v>
      </c>
      <c r="B260" s="56">
        <v>1.0</v>
      </c>
      <c r="C260" s="57">
        <v>1.2903E14</v>
      </c>
      <c r="D260" s="58">
        <v>1.0</v>
      </c>
      <c r="F260" s="59" t="s">
        <v>100</v>
      </c>
      <c r="G260" s="60">
        <v>45916.0</v>
      </c>
      <c r="H260" s="58">
        <v>1.0</v>
      </c>
      <c r="I260" s="58" t="s">
        <v>386</v>
      </c>
      <c r="J260" s="61">
        <v>4.67620062427E11</v>
      </c>
      <c r="K260" s="63"/>
      <c r="L260" s="63"/>
      <c r="M260" s="63"/>
      <c r="N260" s="63"/>
      <c r="O260" s="63"/>
      <c r="P260" s="63"/>
      <c r="Q260" s="63"/>
      <c r="R260" s="63"/>
      <c r="S260" s="63"/>
      <c r="T260" s="58" t="s">
        <v>105</v>
      </c>
      <c r="U260" s="59">
        <v>65.71</v>
      </c>
      <c r="V260" s="59">
        <v>57.65</v>
      </c>
      <c r="W260" s="58">
        <v>4.34</v>
      </c>
      <c r="X260" s="58">
        <v>7.0</v>
      </c>
      <c r="Y260" s="68">
        <v>61.99</v>
      </c>
      <c r="Z260" s="69">
        <v>0.0</v>
      </c>
      <c r="AA260" s="68">
        <v>0.0</v>
      </c>
      <c r="AB260" s="68">
        <v>0.0</v>
      </c>
      <c r="AC260" s="68">
        <v>0.0</v>
      </c>
      <c r="AD260" s="68">
        <v>0.0</v>
      </c>
      <c r="AE260" s="68">
        <v>0.0</v>
      </c>
      <c r="AF260" s="68">
        <v>0.0</v>
      </c>
      <c r="AG260" s="68">
        <v>0.0</v>
      </c>
      <c r="AH260" s="68">
        <v>0.0</v>
      </c>
      <c r="AI260" s="68">
        <v>0.0</v>
      </c>
      <c r="AJ260" s="68">
        <v>0.0</v>
      </c>
      <c r="AK260" s="68">
        <v>0.0</v>
      </c>
      <c r="AL260" s="68">
        <v>0.0</v>
      </c>
      <c r="AM260" s="68">
        <v>0.0</v>
      </c>
      <c r="AN260" s="68">
        <v>0.0</v>
      </c>
      <c r="AO260" s="68">
        <v>3.72</v>
      </c>
      <c r="AP260" s="68">
        <v>0.0</v>
      </c>
      <c r="AQ260" s="68">
        <v>0.0</v>
      </c>
      <c r="AR260" s="68">
        <v>0.0</v>
      </c>
      <c r="AS260" s="68">
        <v>0.0</v>
      </c>
      <c r="AT260" s="68">
        <v>0.0</v>
      </c>
      <c r="AU260" s="68">
        <v>0.0</v>
      </c>
      <c r="AV260" s="68">
        <v>0.0</v>
      </c>
      <c r="AW260" s="68">
        <v>0.0</v>
      </c>
      <c r="AX260" s="68">
        <v>0.0</v>
      </c>
      <c r="AY260" s="68">
        <v>0.0</v>
      </c>
      <c r="AZ260" s="68">
        <v>0.0</v>
      </c>
      <c r="BA260" s="68">
        <v>0.0</v>
      </c>
      <c r="BB260" s="68">
        <v>3.72</v>
      </c>
      <c r="BC260" s="68" t="s">
        <v>106</v>
      </c>
      <c r="BD260" s="68"/>
      <c r="BG260" s="70">
        <v>-6.2</v>
      </c>
      <c r="BH260" s="68" t="s">
        <v>107</v>
      </c>
      <c r="BI260" s="68" t="s">
        <v>108</v>
      </c>
      <c r="BJ260" s="68" t="s">
        <v>325</v>
      </c>
      <c r="BK260" s="68" t="s">
        <v>333</v>
      </c>
      <c r="BM260" s="68"/>
      <c r="BN260" s="70" t="s">
        <v>111</v>
      </c>
      <c r="BO260" s="68" t="s">
        <v>112</v>
      </c>
      <c r="BP260" s="68" t="s">
        <v>113</v>
      </c>
      <c r="BQ260" s="68" t="s">
        <v>348</v>
      </c>
      <c r="BR260" s="68">
        <v>1.86</v>
      </c>
      <c r="BS260" s="68"/>
      <c r="BV260" s="72"/>
      <c r="BW260" s="64" t="str">
        <f>if(OR(F260="SALE",F260="REFUNDED"),IFERROR(Vlookup(I260,'Listing SKU - Fill SKU Mapping'!A:C,3,false),"Map"),"")</f>
        <v>Keystone</v>
      </c>
      <c r="BX260" s="64" t="str">
        <f>IF(OR(F260="SALE",F260="REFUNDED")=TRUE,iferror(Vlookup(I260,'Listing SKU - Fill SKU Mapping'!A:B,2,false),"Map"),"")</f>
        <v>1515P</v>
      </c>
      <c r="BY260" s="64">
        <f>IF(OR(F260="SALE",F260="REFUNDED")=TRUE,iferror(Vlookup(I260,'Listing SKU - Fill SKU Mapping'!A:D,4,false),"Map"),"")</f>
        <v>24.46</v>
      </c>
      <c r="BZ260" s="66">
        <f t="shared" si="1"/>
        <v>11.5</v>
      </c>
      <c r="CA260" s="66">
        <f t="shared" si="2"/>
        <v>35.96</v>
      </c>
      <c r="CB260" s="66">
        <f t="shared" si="3"/>
        <v>21.69</v>
      </c>
      <c r="CC260" s="64" t="str">
        <f>if(F260="REFUNDED",iferror(Vlookup(I260,'Listing SKU - Fill SKU Mapping'!A:B,2,false),"Map"),"")</f>
        <v/>
      </c>
      <c r="CD260" s="64" t="str">
        <f>if(F260="REFUNDED",iferror(Vlookup(I260,'Listing SKU - Fill SKU Mapping'!A:C,3,false),"Map"),"")</f>
        <v/>
      </c>
      <c r="CE260" s="64" t="str">
        <f t="shared" si="4"/>
        <v>2025</v>
      </c>
      <c r="CF260" s="64" t="str">
        <f t="shared" si="5"/>
        <v>September</v>
      </c>
      <c r="CG260" s="64" t="str">
        <f t="shared" si="6"/>
        <v/>
      </c>
    </row>
    <row r="261">
      <c r="A261" s="55">
        <v>2.0001E14</v>
      </c>
      <c r="B261" s="56">
        <v>1.0</v>
      </c>
      <c r="C261" s="57">
        <v>1.2903E14</v>
      </c>
      <c r="D261" s="58">
        <v>1.0</v>
      </c>
      <c r="F261" s="59" t="s">
        <v>100</v>
      </c>
      <c r="G261" s="60">
        <v>45917.0</v>
      </c>
      <c r="H261" s="58">
        <v>1.0</v>
      </c>
      <c r="I261" s="58" t="s">
        <v>411</v>
      </c>
      <c r="J261" s="61">
        <v>4.67129941902E11</v>
      </c>
      <c r="K261" s="63"/>
      <c r="L261" s="63"/>
      <c r="M261" s="63"/>
      <c r="N261" s="63"/>
      <c r="O261" s="63"/>
      <c r="P261" s="63"/>
      <c r="Q261" s="63"/>
      <c r="R261" s="63"/>
      <c r="S261" s="63"/>
      <c r="T261" s="58" t="s">
        <v>105</v>
      </c>
      <c r="U261" s="59">
        <v>109.87</v>
      </c>
      <c r="V261" s="59">
        <v>103.21</v>
      </c>
      <c r="W261" s="58">
        <v>7.77</v>
      </c>
      <c r="X261" s="58">
        <v>7.0</v>
      </c>
      <c r="Y261" s="68">
        <v>103.9</v>
      </c>
      <c r="Z261" s="69">
        <v>0.0</v>
      </c>
      <c r="AA261" s="68">
        <v>0.0</v>
      </c>
      <c r="AB261" s="68">
        <v>0.0</v>
      </c>
      <c r="AC261" s="68">
        <v>0.0</v>
      </c>
      <c r="AD261" s="68">
        <v>0.0</v>
      </c>
      <c r="AE261" s="68">
        <v>0.0</v>
      </c>
      <c r="AF261" s="68">
        <v>0.0</v>
      </c>
      <c r="AG261" s="68">
        <v>0.0</v>
      </c>
      <c r="AH261" s="68">
        <v>0.0</v>
      </c>
      <c r="AI261" s="68">
        <v>0.0</v>
      </c>
      <c r="AJ261" s="68">
        <v>0.0</v>
      </c>
      <c r="AK261" s="68">
        <v>0.0</v>
      </c>
      <c r="AL261" s="68">
        <v>0.0</v>
      </c>
      <c r="AM261" s="68">
        <v>0.0</v>
      </c>
      <c r="AN261" s="68">
        <v>0.0</v>
      </c>
      <c r="AO261" s="68">
        <v>5.97</v>
      </c>
      <c r="AP261" s="68">
        <v>0.0</v>
      </c>
      <c r="AQ261" s="68">
        <v>0.0</v>
      </c>
      <c r="AR261" s="68">
        <v>0.0</v>
      </c>
      <c r="AS261" s="68">
        <v>0.0</v>
      </c>
      <c r="AT261" s="68">
        <v>0.0</v>
      </c>
      <c r="AU261" s="68">
        <v>0.0</v>
      </c>
      <c r="AV261" s="68">
        <v>0.0</v>
      </c>
      <c r="AW261" s="68">
        <v>0.0</v>
      </c>
      <c r="AX261" s="68">
        <v>0.0</v>
      </c>
      <c r="AY261" s="68">
        <v>0.0</v>
      </c>
      <c r="AZ261" s="68">
        <v>0.0</v>
      </c>
      <c r="BA261" s="68">
        <v>0.0</v>
      </c>
      <c r="BB261" s="68">
        <v>5.97</v>
      </c>
      <c r="BC261" s="68" t="s">
        <v>106</v>
      </c>
      <c r="BD261" s="68"/>
      <c r="BF261" s="70">
        <v>110.98</v>
      </c>
      <c r="BG261" s="68">
        <v>-11.1</v>
      </c>
      <c r="BH261" s="68" t="s">
        <v>107</v>
      </c>
      <c r="BI261" s="68" t="s">
        <v>108</v>
      </c>
      <c r="BJ261" s="68" t="s">
        <v>109</v>
      </c>
      <c r="BK261" s="68" t="s">
        <v>407</v>
      </c>
      <c r="BM261" s="68"/>
      <c r="BN261" s="70" t="s">
        <v>106</v>
      </c>
      <c r="BO261" s="68" t="s">
        <v>112</v>
      </c>
      <c r="BP261" s="68" t="s">
        <v>113</v>
      </c>
      <c r="BQ261" s="68" t="s">
        <v>317</v>
      </c>
      <c r="BR261" s="68">
        <v>3.33</v>
      </c>
      <c r="BS261" s="68"/>
      <c r="BT261" s="70">
        <v>-7.08</v>
      </c>
      <c r="BU261" s="68" t="s">
        <v>318</v>
      </c>
      <c r="BV261" s="73"/>
      <c r="BW261" s="64" t="str">
        <f>if(OR(F261="SALE",F261="REFUNDED"),IFERROR(Vlookup(I261,'Listing SKU - Fill SKU Mapping'!A:C,3,false),"Map"),"")</f>
        <v>Keystone</v>
      </c>
      <c r="BX261" s="64" t="str">
        <f>IF(OR(F261="SALE",F261="REFUNDED")=TRUE,iferror(Vlookup(I261,'Listing SKU - Fill SKU Mapping'!A:B,2,false),"Map"),"")</f>
        <v>52116C</v>
      </c>
      <c r="BY261" s="64">
        <f>IF(OR(F261="SALE",F261="REFUNDED")=TRUE,iferror(Vlookup(I261,'Listing SKU - Fill SKU Mapping'!A:D,4,false),"Map"),"")</f>
        <v>48.52</v>
      </c>
      <c r="BZ261" s="66">
        <f t="shared" si="1"/>
        <v>11.5</v>
      </c>
      <c r="CA261" s="66">
        <f t="shared" si="2"/>
        <v>60.02</v>
      </c>
      <c r="CB261" s="66">
        <f t="shared" si="3"/>
        <v>43.19</v>
      </c>
      <c r="CC261" s="64" t="str">
        <f>if(F261="REFUNDED",iferror(Vlookup(I261,'Listing SKU - Fill SKU Mapping'!A:B,2,false),"Map"),"")</f>
        <v/>
      </c>
      <c r="CD261" s="64" t="str">
        <f>if(F261="REFUNDED",iferror(Vlookup(I261,'Listing SKU - Fill SKU Mapping'!A:C,3,false),"Map"),"")</f>
        <v/>
      </c>
      <c r="CE261" s="64" t="str">
        <f t="shared" si="4"/>
        <v>2025</v>
      </c>
      <c r="CF261" s="64" t="str">
        <f t="shared" si="5"/>
        <v>September</v>
      </c>
      <c r="CG261" s="64" t="str">
        <f t="shared" si="6"/>
        <v/>
      </c>
    </row>
    <row r="262">
      <c r="A262" s="55">
        <v>2.0001E14</v>
      </c>
      <c r="B262" s="56">
        <v>1.0</v>
      </c>
      <c r="C262" s="57">
        <v>1.2903E14</v>
      </c>
      <c r="D262" s="58">
        <v>1.0</v>
      </c>
      <c r="F262" s="59" t="s">
        <v>100</v>
      </c>
      <c r="G262" s="60">
        <v>45908.0</v>
      </c>
      <c r="H262" s="58">
        <v>1.0</v>
      </c>
      <c r="I262" s="58" t="s">
        <v>412</v>
      </c>
      <c r="J262" s="61">
        <v>4.66885045534E11</v>
      </c>
      <c r="K262" s="63"/>
      <c r="L262" s="63"/>
      <c r="M262" s="63"/>
      <c r="N262" s="63"/>
      <c r="O262" s="63"/>
      <c r="P262" s="63"/>
      <c r="Q262" s="63"/>
      <c r="R262" s="63"/>
      <c r="S262" s="63"/>
      <c r="T262" s="58" t="s">
        <v>105</v>
      </c>
      <c r="U262" s="59">
        <v>74.62</v>
      </c>
      <c r="V262" s="59">
        <v>65.08</v>
      </c>
      <c r="W262" s="58">
        <v>4.9</v>
      </c>
      <c r="X262" s="58">
        <v>7.0</v>
      </c>
      <c r="Y262" s="68">
        <v>69.98</v>
      </c>
      <c r="Z262" s="69">
        <v>0.0</v>
      </c>
      <c r="AA262" s="68">
        <v>0.0</v>
      </c>
      <c r="AB262" s="68">
        <v>0.0</v>
      </c>
      <c r="AC262" s="68">
        <v>0.0</v>
      </c>
      <c r="AD262" s="68">
        <v>0.0</v>
      </c>
      <c r="AE262" s="68">
        <v>0.0</v>
      </c>
      <c r="AF262" s="68">
        <v>0.0</v>
      </c>
      <c r="AG262" s="68">
        <v>0.0</v>
      </c>
      <c r="AH262" s="68">
        <v>0.0</v>
      </c>
      <c r="AI262" s="68">
        <v>0.0</v>
      </c>
      <c r="AJ262" s="68">
        <v>0.0</v>
      </c>
      <c r="AK262" s="68">
        <v>0.0</v>
      </c>
      <c r="AL262" s="68">
        <v>0.0</v>
      </c>
      <c r="AM262" s="68">
        <v>0.0</v>
      </c>
      <c r="AN262" s="68">
        <v>0.0</v>
      </c>
      <c r="AO262" s="68">
        <v>4.64</v>
      </c>
      <c r="AP262" s="68">
        <v>0.0</v>
      </c>
      <c r="AQ262" s="68">
        <v>0.0</v>
      </c>
      <c r="AR262" s="68">
        <v>0.0</v>
      </c>
      <c r="AS262" s="68">
        <v>0.0</v>
      </c>
      <c r="AT262" s="68">
        <v>0.0</v>
      </c>
      <c r="AU262" s="68">
        <v>0.0</v>
      </c>
      <c r="AV262" s="68">
        <v>0.0</v>
      </c>
      <c r="AW262" s="68">
        <v>0.0</v>
      </c>
      <c r="AX262" s="68">
        <v>0.0</v>
      </c>
      <c r="AY262" s="68">
        <v>0.0</v>
      </c>
      <c r="AZ262" s="68">
        <v>0.0</v>
      </c>
      <c r="BA262" s="68">
        <v>0.0</v>
      </c>
      <c r="BB262" s="68">
        <v>4.64</v>
      </c>
      <c r="BC262" s="68" t="s">
        <v>106</v>
      </c>
      <c r="BD262" s="68"/>
      <c r="BG262" s="70">
        <v>-7.0</v>
      </c>
      <c r="BH262" s="68" t="s">
        <v>107</v>
      </c>
      <c r="BI262" s="68" t="s">
        <v>108</v>
      </c>
      <c r="BJ262" s="68" t="s">
        <v>109</v>
      </c>
      <c r="BK262" s="68" t="s">
        <v>406</v>
      </c>
      <c r="BM262" s="68"/>
      <c r="BN262" s="70" t="s">
        <v>111</v>
      </c>
      <c r="BO262" s="68" t="s">
        <v>112</v>
      </c>
      <c r="BP262" s="68" t="s">
        <v>113</v>
      </c>
      <c r="BQ262" s="68" t="s">
        <v>114</v>
      </c>
      <c r="BR262" s="68">
        <v>2.1</v>
      </c>
      <c r="BS262" s="68"/>
      <c r="BV262" s="72"/>
      <c r="BW262" s="64" t="str">
        <f>if(OR(F262="SALE",F262="REFUNDED"),IFERROR(Vlookup(I262,'Listing SKU - Fill SKU Mapping'!A:C,3,false),"Map"),"")</f>
        <v>Keystone</v>
      </c>
      <c r="BX262" s="64" t="str">
        <f>IF(OR(F262="SALE",F262="REFUNDED")=TRUE,iferror(Vlookup(I262,'Listing SKU - Fill SKU Mapping'!A:B,2,false),"Map"),"")</f>
        <v>19314S</v>
      </c>
      <c r="BY262" s="64">
        <f>IF(OR(F262="SALE",F262="REFUNDED")=TRUE,iferror(Vlookup(I262,'Listing SKU - Fill SKU Mapping'!A:D,4,false),"Map"),"")</f>
        <v>23.27</v>
      </c>
      <c r="BZ262" s="66">
        <f t="shared" si="1"/>
        <v>11.5</v>
      </c>
      <c r="CA262" s="66">
        <f t="shared" si="2"/>
        <v>34.77</v>
      </c>
      <c r="CB262" s="66">
        <f t="shared" si="3"/>
        <v>30.31</v>
      </c>
      <c r="CC262" s="64" t="str">
        <f>if(F262="REFUNDED",iferror(Vlookup(I262,'Listing SKU - Fill SKU Mapping'!A:B,2,false),"Map"),"")</f>
        <v/>
      </c>
      <c r="CD262" s="64" t="str">
        <f>if(F262="REFUNDED",iferror(Vlookup(I262,'Listing SKU - Fill SKU Mapping'!A:C,3,false),"Map"),"")</f>
        <v/>
      </c>
      <c r="CE262" s="64" t="str">
        <f t="shared" si="4"/>
        <v>2025</v>
      </c>
      <c r="CF262" s="64" t="str">
        <f t="shared" si="5"/>
        <v>September</v>
      </c>
      <c r="CG262" s="64" t="str">
        <f t="shared" si="6"/>
        <v/>
      </c>
    </row>
    <row r="263">
      <c r="A263" s="55">
        <v>2.0001E14</v>
      </c>
      <c r="B263" s="56">
        <v>1.0</v>
      </c>
      <c r="C263" s="57">
        <v>1.2903E14</v>
      </c>
      <c r="D263" s="58">
        <v>1.0</v>
      </c>
      <c r="F263" s="59" t="s">
        <v>100</v>
      </c>
      <c r="G263" s="60">
        <v>45918.0</v>
      </c>
      <c r="H263" s="58">
        <v>1.0</v>
      </c>
      <c r="I263" s="58" t="s">
        <v>413</v>
      </c>
      <c r="J263" s="61">
        <v>4.67129958542E11</v>
      </c>
      <c r="K263" s="63"/>
      <c r="L263" s="63"/>
      <c r="M263" s="63"/>
      <c r="N263" s="63"/>
      <c r="O263" s="63"/>
      <c r="P263" s="63"/>
      <c r="Q263" s="63"/>
      <c r="R263" s="63"/>
      <c r="S263" s="63"/>
      <c r="T263" s="58" t="s">
        <v>105</v>
      </c>
      <c r="U263" s="59">
        <v>73.5</v>
      </c>
      <c r="V263" s="59">
        <v>70.66</v>
      </c>
      <c r="W263" s="58">
        <v>5.32</v>
      </c>
      <c r="X263" s="58">
        <v>7.0</v>
      </c>
      <c r="Y263" s="68">
        <v>67.9</v>
      </c>
      <c r="Z263" s="69">
        <v>0.0</v>
      </c>
      <c r="AA263" s="68">
        <v>0.0</v>
      </c>
      <c r="AB263" s="68">
        <v>0.0</v>
      </c>
      <c r="AC263" s="68">
        <v>0.0</v>
      </c>
      <c r="AD263" s="68">
        <v>0.0</v>
      </c>
      <c r="AE263" s="68">
        <v>0.0</v>
      </c>
      <c r="AF263" s="68">
        <v>0.0</v>
      </c>
      <c r="AG263" s="68">
        <v>0.0</v>
      </c>
      <c r="AH263" s="68">
        <v>0.0</v>
      </c>
      <c r="AI263" s="68">
        <v>0.0</v>
      </c>
      <c r="AJ263" s="68">
        <v>0.0</v>
      </c>
      <c r="AK263" s="68">
        <v>0.0</v>
      </c>
      <c r="AL263" s="68">
        <v>0.0</v>
      </c>
      <c r="AM263" s="68">
        <v>0.0</v>
      </c>
      <c r="AN263" s="68">
        <v>0.0</v>
      </c>
      <c r="AO263" s="68">
        <v>5.6</v>
      </c>
      <c r="AP263" s="68">
        <v>0.0</v>
      </c>
      <c r="AQ263" s="68">
        <v>0.0</v>
      </c>
      <c r="AR263" s="68">
        <v>0.0</v>
      </c>
      <c r="AS263" s="68">
        <v>0.0</v>
      </c>
      <c r="AT263" s="68">
        <v>0.0</v>
      </c>
      <c r="AU263" s="68">
        <v>0.0</v>
      </c>
      <c r="AV263" s="68">
        <v>0.0</v>
      </c>
      <c r="AW263" s="68">
        <v>0.0</v>
      </c>
      <c r="AX263" s="68">
        <v>0.0</v>
      </c>
      <c r="AY263" s="68">
        <v>0.0</v>
      </c>
      <c r="AZ263" s="68">
        <v>0.0</v>
      </c>
      <c r="BA263" s="68">
        <v>0.0</v>
      </c>
      <c r="BB263" s="68">
        <v>5.6</v>
      </c>
      <c r="BC263" s="68" t="s">
        <v>106</v>
      </c>
      <c r="BD263" s="68"/>
      <c r="BF263" s="70">
        <v>75.98</v>
      </c>
      <c r="BG263" s="68">
        <v>-7.6</v>
      </c>
      <c r="BH263" s="68" t="s">
        <v>107</v>
      </c>
      <c r="BI263" s="68" t="s">
        <v>108</v>
      </c>
      <c r="BJ263" s="68" t="s">
        <v>109</v>
      </c>
      <c r="BK263" s="68" t="s">
        <v>407</v>
      </c>
      <c r="BM263" s="68"/>
      <c r="BN263" s="70" t="s">
        <v>111</v>
      </c>
      <c r="BO263" s="68" t="s">
        <v>112</v>
      </c>
      <c r="BP263" s="68" t="s">
        <v>113</v>
      </c>
      <c r="BQ263" s="68" t="s">
        <v>317</v>
      </c>
      <c r="BR263" s="68">
        <v>2.28</v>
      </c>
      <c r="BS263" s="68"/>
      <c r="BT263" s="70">
        <v>-8.08</v>
      </c>
      <c r="BU263" s="68" t="s">
        <v>318</v>
      </c>
      <c r="BV263" s="73"/>
      <c r="BW263" s="64" t="str">
        <f>if(OR(F263="SALE",F263="REFUNDED"),IFERROR(Vlookup(I263,'Listing SKU - Fill SKU Mapping'!A:C,3,false),"Map"),"")</f>
        <v>Keystone</v>
      </c>
      <c r="BX263" s="64" t="str">
        <f>IF(OR(F263="SALE",F263="REFUNDED")=TRUE,iferror(Vlookup(I263,'Listing SKU - Fill SKU Mapping'!A:B,2,false),"Map"),"")</f>
        <v>45216S</v>
      </c>
      <c r="BY263" s="64">
        <f>IF(OR(F263="SALE",F263="REFUNDED")=TRUE,iferror(Vlookup(I263,'Listing SKU - Fill SKU Mapping'!A:D,4,false),"Map"),"")</f>
        <v>27.22</v>
      </c>
      <c r="BZ263" s="66">
        <f t="shared" si="1"/>
        <v>11.5</v>
      </c>
      <c r="CA263" s="66">
        <f t="shared" si="2"/>
        <v>38.72</v>
      </c>
      <c r="CB263" s="66">
        <f t="shared" si="3"/>
        <v>31.94</v>
      </c>
      <c r="CC263" s="64" t="str">
        <f>if(F263="REFUNDED",iferror(Vlookup(I263,'Listing SKU - Fill SKU Mapping'!A:B,2,false),"Map"),"")</f>
        <v/>
      </c>
      <c r="CD263" s="64" t="str">
        <f>if(F263="REFUNDED",iferror(Vlookup(I263,'Listing SKU - Fill SKU Mapping'!A:C,3,false),"Map"),"")</f>
        <v/>
      </c>
      <c r="CE263" s="64" t="str">
        <f t="shared" si="4"/>
        <v>2025</v>
      </c>
      <c r="CF263" s="64" t="str">
        <f t="shared" si="5"/>
        <v>September</v>
      </c>
      <c r="CG263" s="64" t="str">
        <f t="shared" si="6"/>
        <v/>
      </c>
    </row>
    <row r="264">
      <c r="A264" s="55">
        <v>2.0001E14</v>
      </c>
      <c r="B264" s="56">
        <v>1.0</v>
      </c>
      <c r="C264" s="57">
        <v>1.2903E14</v>
      </c>
      <c r="D264" s="58">
        <v>1.0</v>
      </c>
      <c r="F264" s="59" t="s">
        <v>100</v>
      </c>
      <c r="G264" s="60">
        <v>45915.0</v>
      </c>
      <c r="H264" s="58">
        <v>1.0</v>
      </c>
      <c r="I264" s="58" t="s">
        <v>414</v>
      </c>
      <c r="J264" s="61">
        <v>4.69971001148E11</v>
      </c>
      <c r="K264" s="63"/>
      <c r="L264" s="63"/>
      <c r="M264" s="63"/>
      <c r="N264" s="63"/>
      <c r="O264" s="63"/>
      <c r="P264" s="63"/>
      <c r="Q264" s="63"/>
      <c r="R264" s="63"/>
      <c r="S264" s="63"/>
      <c r="T264" s="58" t="s">
        <v>105</v>
      </c>
      <c r="U264" s="59">
        <v>79.16</v>
      </c>
      <c r="V264" s="59">
        <v>68.8</v>
      </c>
      <c r="W264" s="58">
        <v>5.18</v>
      </c>
      <c r="X264" s="58">
        <v>7.0</v>
      </c>
      <c r="Y264" s="68">
        <v>73.98</v>
      </c>
      <c r="Z264" s="69">
        <v>0.0</v>
      </c>
      <c r="AA264" s="68">
        <v>0.0</v>
      </c>
      <c r="AB264" s="68">
        <v>0.0</v>
      </c>
      <c r="AC264" s="68">
        <v>0.0</v>
      </c>
      <c r="AD264" s="68">
        <v>0.0</v>
      </c>
      <c r="AE264" s="68">
        <v>0.0</v>
      </c>
      <c r="AF264" s="68">
        <v>0.0</v>
      </c>
      <c r="AG264" s="68">
        <v>0.0</v>
      </c>
      <c r="AH264" s="68">
        <v>0.0</v>
      </c>
      <c r="AI264" s="68">
        <v>0.0</v>
      </c>
      <c r="AJ264" s="68">
        <v>0.0</v>
      </c>
      <c r="AK264" s="68">
        <v>0.0</v>
      </c>
      <c r="AL264" s="68">
        <v>0.0</v>
      </c>
      <c r="AM264" s="68">
        <v>0.0</v>
      </c>
      <c r="AN264" s="68">
        <v>0.0</v>
      </c>
      <c r="AO264" s="68">
        <v>5.18</v>
      </c>
      <c r="AP264" s="68">
        <v>0.0</v>
      </c>
      <c r="AQ264" s="68">
        <v>0.0</v>
      </c>
      <c r="AR264" s="68">
        <v>0.0</v>
      </c>
      <c r="AS264" s="68">
        <v>0.0</v>
      </c>
      <c r="AT264" s="68">
        <v>0.0</v>
      </c>
      <c r="AU264" s="68">
        <v>0.0</v>
      </c>
      <c r="AV264" s="68">
        <v>0.0</v>
      </c>
      <c r="AW264" s="68">
        <v>0.0</v>
      </c>
      <c r="AX264" s="68">
        <v>0.0</v>
      </c>
      <c r="AY264" s="68">
        <v>0.0</v>
      </c>
      <c r="AZ264" s="68">
        <v>0.0</v>
      </c>
      <c r="BA264" s="68">
        <v>0.0</v>
      </c>
      <c r="BB264" s="68">
        <v>5.18</v>
      </c>
      <c r="BC264" s="68" t="s">
        <v>106</v>
      </c>
      <c r="BD264" s="68"/>
      <c r="BG264" s="70">
        <v>-7.4</v>
      </c>
      <c r="BH264" s="68" t="s">
        <v>107</v>
      </c>
      <c r="BI264" s="68" t="s">
        <v>108</v>
      </c>
      <c r="BJ264" s="68" t="s">
        <v>109</v>
      </c>
      <c r="BK264" s="68" t="s">
        <v>407</v>
      </c>
      <c r="BM264" s="68"/>
      <c r="BN264" s="70" t="s">
        <v>111</v>
      </c>
      <c r="BO264" s="68" t="s">
        <v>112</v>
      </c>
      <c r="BP264" s="68" t="s">
        <v>113</v>
      </c>
      <c r="BQ264" s="68" t="s">
        <v>114</v>
      </c>
      <c r="BR264" s="68">
        <v>2.22</v>
      </c>
      <c r="BS264" s="68"/>
      <c r="BV264" s="72"/>
      <c r="BW264" s="64" t="str">
        <f>if(OR(F264="SALE",F264="REFUNDED"),IFERROR(Vlookup(I264,'Listing SKU - Fill SKU Mapping'!A:C,3,false),"Map"),"")</f>
        <v>Keystone</v>
      </c>
      <c r="BX264" s="64" t="str">
        <f>IF(OR(F264="SALE",F264="REFUNDED")=TRUE,iferror(Vlookup(I264,'Listing SKU - Fill SKU Mapping'!A:B,2,false),"Map"),"")</f>
        <v>43215S</v>
      </c>
      <c r="BY264" s="64">
        <f>IF(OR(F264="SALE",F264="REFUNDED")=TRUE,iferror(Vlookup(I264,'Listing SKU - Fill SKU Mapping'!A:D,4,false),"Map"),"")</f>
        <v>26.04</v>
      </c>
      <c r="BZ264" s="66">
        <f t="shared" si="1"/>
        <v>11.5</v>
      </c>
      <c r="CA264" s="66">
        <f t="shared" si="2"/>
        <v>37.54</v>
      </c>
      <c r="CB264" s="66">
        <f t="shared" si="3"/>
        <v>31.26</v>
      </c>
      <c r="CC264" s="64" t="str">
        <f>if(F264="REFUNDED",iferror(Vlookup(I264,'Listing SKU - Fill SKU Mapping'!A:B,2,false),"Map"),"")</f>
        <v/>
      </c>
      <c r="CD264" s="64" t="str">
        <f>if(F264="REFUNDED",iferror(Vlookup(I264,'Listing SKU - Fill SKU Mapping'!A:C,3,false),"Map"),"")</f>
        <v/>
      </c>
      <c r="CE264" s="64" t="str">
        <f t="shared" si="4"/>
        <v>2025</v>
      </c>
      <c r="CF264" s="64" t="str">
        <f t="shared" si="5"/>
        <v>September</v>
      </c>
      <c r="CG264" s="64" t="str">
        <f t="shared" si="6"/>
        <v/>
      </c>
    </row>
    <row r="265">
      <c r="A265" s="55">
        <v>2.0001E14</v>
      </c>
      <c r="B265" s="56">
        <v>1.0</v>
      </c>
      <c r="C265" s="57">
        <v>1.2903E14</v>
      </c>
      <c r="D265" s="58">
        <v>1.0</v>
      </c>
      <c r="F265" s="59" t="s">
        <v>100</v>
      </c>
      <c r="G265" s="60">
        <v>45915.0</v>
      </c>
      <c r="H265" s="58">
        <v>1.0</v>
      </c>
      <c r="I265" s="58" t="s">
        <v>411</v>
      </c>
      <c r="J265" s="61">
        <v>4.67129941902E11</v>
      </c>
      <c r="K265" s="63"/>
      <c r="L265" s="63"/>
      <c r="M265" s="63"/>
      <c r="N265" s="63"/>
      <c r="O265" s="63"/>
      <c r="P265" s="63"/>
      <c r="Q265" s="63"/>
      <c r="R265" s="63"/>
      <c r="S265" s="63"/>
      <c r="T265" s="58" t="s">
        <v>105</v>
      </c>
      <c r="U265" s="59">
        <v>112.21</v>
      </c>
      <c r="V265" s="59">
        <v>103.21</v>
      </c>
      <c r="W265" s="58">
        <v>7.77</v>
      </c>
      <c r="X265" s="58">
        <v>7.0</v>
      </c>
      <c r="Y265" s="68">
        <v>103.9</v>
      </c>
      <c r="Z265" s="69">
        <v>0.0</v>
      </c>
      <c r="AA265" s="68">
        <v>0.0</v>
      </c>
      <c r="AB265" s="68">
        <v>0.0</v>
      </c>
      <c r="AC265" s="68">
        <v>0.0</v>
      </c>
      <c r="AD265" s="68">
        <v>0.0</v>
      </c>
      <c r="AE265" s="68">
        <v>0.0</v>
      </c>
      <c r="AF265" s="68">
        <v>0.0</v>
      </c>
      <c r="AG265" s="68">
        <v>0.0</v>
      </c>
      <c r="AH265" s="68">
        <v>0.0</v>
      </c>
      <c r="AI265" s="68">
        <v>0.0</v>
      </c>
      <c r="AJ265" s="68">
        <v>0.0</v>
      </c>
      <c r="AK265" s="68">
        <v>0.0</v>
      </c>
      <c r="AL265" s="68">
        <v>0.0</v>
      </c>
      <c r="AM265" s="68">
        <v>0.0</v>
      </c>
      <c r="AN265" s="68">
        <v>0.0</v>
      </c>
      <c r="AO265" s="68">
        <v>8.31</v>
      </c>
      <c r="AP265" s="68">
        <v>0.0</v>
      </c>
      <c r="AQ265" s="68">
        <v>0.0</v>
      </c>
      <c r="AR265" s="68">
        <v>0.0</v>
      </c>
      <c r="AS265" s="68">
        <v>0.0</v>
      </c>
      <c r="AT265" s="68">
        <v>0.0</v>
      </c>
      <c r="AU265" s="68">
        <v>0.0</v>
      </c>
      <c r="AV265" s="68">
        <v>0.0</v>
      </c>
      <c r="AW265" s="68">
        <v>0.0</v>
      </c>
      <c r="AX265" s="68">
        <v>0.0</v>
      </c>
      <c r="AY265" s="68">
        <v>0.0</v>
      </c>
      <c r="AZ265" s="68">
        <v>0.0</v>
      </c>
      <c r="BA265" s="68">
        <v>0.0</v>
      </c>
      <c r="BB265" s="68">
        <v>8.31</v>
      </c>
      <c r="BC265" s="68" t="s">
        <v>106</v>
      </c>
      <c r="BD265" s="68"/>
      <c r="BF265" s="70">
        <v>110.98</v>
      </c>
      <c r="BG265" s="68">
        <v>-11.1</v>
      </c>
      <c r="BH265" s="68" t="s">
        <v>107</v>
      </c>
      <c r="BI265" s="68" t="s">
        <v>108</v>
      </c>
      <c r="BJ265" s="68" t="s">
        <v>109</v>
      </c>
      <c r="BK265" s="68" t="s">
        <v>407</v>
      </c>
      <c r="BM265" s="68"/>
      <c r="BN265" s="70" t="s">
        <v>111</v>
      </c>
      <c r="BO265" s="68" t="s">
        <v>112</v>
      </c>
      <c r="BP265" s="68" t="s">
        <v>113</v>
      </c>
      <c r="BQ265" s="68" t="s">
        <v>317</v>
      </c>
      <c r="BR265" s="68">
        <v>3.33</v>
      </c>
      <c r="BS265" s="68"/>
      <c r="BT265" s="70">
        <v>-7.08</v>
      </c>
      <c r="BU265" s="68" t="s">
        <v>318</v>
      </c>
      <c r="BV265" s="73"/>
      <c r="BW265" s="64" t="str">
        <f>if(OR(F265="SALE",F265="REFUNDED"),IFERROR(Vlookup(I265,'Listing SKU - Fill SKU Mapping'!A:C,3,false),"Map"),"")</f>
        <v>Keystone</v>
      </c>
      <c r="BX265" s="64" t="str">
        <f>IF(OR(F265="SALE",F265="REFUNDED")=TRUE,iferror(Vlookup(I265,'Listing SKU - Fill SKU Mapping'!A:B,2,false),"Map"),"")</f>
        <v>52116C</v>
      </c>
      <c r="BY265" s="64">
        <f>IF(OR(F265="SALE",F265="REFUNDED")=TRUE,iferror(Vlookup(I265,'Listing SKU - Fill SKU Mapping'!A:D,4,false),"Map"),"")</f>
        <v>48.52</v>
      </c>
      <c r="BZ265" s="66">
        <f t="shared" si="1"/>
        <v>11.5</v>
      </c>
      <c r="CA265" s="66">
        <f t="shared" si="2"/>
        <v>60.02</v>
      </c>
      <c r="CB265" s="66">
        <f t="shared" si="3"/>
        <v>43.19</v>
      </c>
      <c r="CC265" s="64" t="str">
        <f>if(F265="REFUNDED",iferror(Vlookup(I265,'Listing SKU - Fill SKU Mapping'!A:B,2,false),"Map"),"")</f>
        <v/>
      </c>
      <c r="CD265" s="64" t="str">
        <f>if(F265="REFUNDED",iferror(Vlookup(I265,'Listing SKU - Fill SKU Mapping'!A:C,3,false),"Map"),"")</f>
        <v/>
      </c>
      <c r="CE265" s="64" t="str">
        <f t="shared" si="4"/>
        <v>2025</v>
      </c>
      <c r="CF265" s="64" t="str">
        <f t="shared" si="5"/>
        <v>September</v>
      </c>
      <c r="CG265" s="64" t="str">
        <f t="shared" si="6"/>
        <v/>
      </c>
    </row>
    <row r="266">
      <c r="A266" s="55">
        <v>2.0001E14</v>
      </c>
      <c r="B266" s="56">
        <v>1.0</v>
      </c>
      <c r="C266" s="57">
        <v>1.2903E14</v>
      </c>
      <c r="D266" s="58">
        <v>1.0</v>
      </c>
      <c r="F266" s="59" t="s">
        <v>100</v>
      </c>
      <c r="G266" s="60">
        <v>45910.0</v>
      </c>
      <c r="H266" s="58">
        <v>1.0</v>
      </c>
      <c r="I266" s="58" t="s">
        <v>415</v>
      </c>
      <c r="J266" s="61">
        <v>4.67129958863E11</v>
      </c>
      <c r="K266" s="63"/>
      <c r="L266" s="63"/>
      <c r="M266" s="63"/>
      <c r="N266" s="63"/>
      <c r="O266" s="63"/>
      <c r="P266" s="63"/>
      <c r="Q266" s="63"/>
      <c r="R266" s="63"/>
      <c r="S266" s="63"/>
      <c r="T266" s="58" t="s">
        <v>105</v>
      </c>
      <c r="U266" s="59">
        <v>85.58</v>
      </c>
      <c r="V266" s="59">
        <v>74.38</v>
      </c>
      <c r="W266" s="58">
        <v>5.6</v>
      </c>
      <c r="X266" s="58">
        <v>7.0</v>
      </c>
      <c r="Y266" s="68">
        <v>79.98</v>
      </c>
      <c r="Z266" s="69">
        <v>0.0</v>
      </c>
      <c r="AA266" s="68">
        <v>0.0</v>
      </c>
      <c r="AB266" s="68">
        <v>0.0</v>
      </c>
      <c r="AC266" s="68">
        <v>0.0</v>
      </c>
      <c r="AD266" s="68">
        <v>0.0</v>
      </c>
      <c r="AE266" s="68">
        <v>0.0</v>
      </c>
      <c r="AF266" s="68">
        <v>0.0</v>
      </c>
      <c r="AG266" s="68">
        <v>0.0</v>
      </c>
      <c r="AH266" s="68">
        <v>0.0</v>
      </c>
      <c r="AI266" s="68">
        <v>0.0</v>
      </c>
      <c r="AJ266" s="68">
        <v>0.0</v>
      </c>
      <c r="AK266" s="68">
        <v>0.0</v>
      </c>
      <c r="AL266" s="68">
        <v>0.0</v>
      </c>
      <c r="AM266" s="68">
        <v>0.0</v>
      </c>
      <c r="AN266" s="68">
        <v>0.0</v>
      </c>
      <c r="AO266" s="68">
        <v>5.6</v>
      </c>
      <c r="AP266" s="68">
        <v>0.0</v>
      </c>
      <c r="AQ266" s="68">
        <v>0.0</v>
      </c>
      <c r="AR266" s="68">
        <v>0.0</v>
      </c>
      <c r="AS266" s="68">
        <v>0.0</v>
      </c>
      <c r="AT266" s="68">
        <v>0.0</v>
      </c>
      <c r="AU266" s="68">
        <v>0.0</v>
      </c>
      <c r="AV266" s="68">
        <v>0.0</v>
      </c>
      <c r="AW266" s="68">
        <v>0.0</v>
      </c>
      <c r="AX266" s="68">
        <v>0.0</v>
      </c>
      <c r="AY266" s="68">
        <v>0.0</v>
      </c>
      <c r="AZ266" s="68">
        <v>0.0</v>
      </c>
      <c r="BA266" s="68">
        <v>0.0</v>
      </c>
      <c r="BB266" s="68">
        <v>5.6</v>
      </c>
      <c r="BC266" s="68" t="s">
        <v>106</v>
      </c>
      <c r="BD266" s="68"/>
      <c r="BG266" s="70">
        <v>-8.0</v>
      </c>
      <c r="BH266" s="68" t="s">
        <v>107</v>
      </c>
      <c r="BI266" s="68" t="s">
        <v>108</v>
      </c>
      <c r="BJ266" s="68" t="s">
        <v>109</v>
      </c>
      <c r="BK266" s="68" t="s">
        <v>406</v>
      </c>
      <c r="BM266" s="68"/>
      <c r="BN266" s="70" t="s">
        <v>111</v>
      </c>
      <c r="BO266" s="68" t="s">
        <v>112</v>
      </c>
      <c r="BP266" s="68" t="s">
        <v>113</v>
      </c>
      <c r="BQ266" s="68" t="s">
        <v>114</v>
      </c>
      <c r="BR266" s="68">
        <v>2.4</v>
      </c>
      <c r="BS266" s="68"/>
      <c r="BV266" s="72"/>
      <c r="BW266" s="64" t="str">
        <f>if(OR(F266="SALE",F266="REFUNDED"),IFERROR(Vlookup(I266,'Listing SKU - Fill SKU Mapping'!A:C,3,false),"Map"),"")</f>
        <v>Keystone</v>
      </c>
      <c r="BX266" s="64" t="str">
        <f>IF(OR(F266="SALE",F266="REFUNDED")=TRUE,iferror(Vlookup(I266,'Listing SKU - Fill SKU Mapping'!A:B,2,false),"Map"),"")</f>
        <v>54216S</v>
      </c>
      <c r="BY266" s="64">
        <f>IF(OR(F266="SALE",F266="REFUNDED")=TRUE,iferror(Vlookup(I266,'Listing SKU - Fill SKU Mapping'!A:D,4,false),"Map"),"")</f>
        <v>29.67</v>
      </c>
      <c r="BZ266" s="66">
        <f t="shared" si="1"/>
        <v>11.5</v>
      </c>
      <c r="CA266" s="66">
        <f t="shared" si="2"/>
        <v>41.17</v>
      </c>
      <c r="CB266" s="66">
        <f t="shared" si="3"/>
        <v>33.21</v>
      </c>
      <c r="CC266" s="64" t="str">
        <f>if(F266="REFUNDED",iferror(Vlookup(I266,'Listing SKU - Fill SKU Mapping'!A:B,2,false),"Map"),"")</f>
        <v/>
      </c>
      <c r="CD266" s="64" t="str">
        <f>if(F266="REFUNDED",iferror(Vlookup(I266,'Listing SKU - Fill SKU Mapping'!A:C,3,false),"Map"),"")</f>
        <v/>
      </c>
      <c r="CE266" s="64" t="str">
        <f t="shared" si="4"/>
        <v>2025</v>
      </c>
      <c r="CF266" s="64" t="str">
        <f t="shared" si="5"/>
        <v>September</v>
      </c>
      <c r="CG266" s="64" t="str">
        <f t="shared" si="6"/>
        <v/>
      </c>
    </row>
    <row r="267">
      <c r="A267" s="55">
        <v>2.0001E14</v>
      </c>
      <c r="B267" s="56">
        <v>1.0</v>
      </c>
      <c r="C267" s="57">
        <v>1.2902E14</v>
      </c>
      <c r="D267" s="58">
        <v>1.0</v>
      </c>
      <c r="F267" s="59" t="s">
        <v>158</v>
      </c>
      <c r="G267" s="60">
        <v>45907.0</v>
      </c>
      <c r="H267" s="58">
        <v>1.0</v>
      </c>
      <c r="I267" s="58" t="s">
        <v>383</v>
      </c>
      <c r="J267" s="61">
        <v>4.6077623764E11</v>
      </c>
      <c r="K267" s="63"/>
      <c r="L267" s="63"/>
      <c r="M267" s="63"/>
      <c r="N267" s="63"/>
      <c r="O267" s="63"/>
      <c r="P267" s="63"/>
      <c r="Q267" s="63"/>
      <c r="R267" s="63"/>
      <c r="S267" s="63"/>
      <c r="T267" s="58" t="s">
        <v>105</v>
      </c>
      <c r="U267" s="59">
        <v>0.0</v>
      </c>
      <c r="V267" s="59">
        <v>-12.71</v>
      </c>
      <c r="W267" s="58">
        <v>0.0</v>
      </c>
      <c r="X267" s="58">
        <v>0.0</v>
      </c>
      <c r="Y267" s="70">
        <v>0.0</v>
      </c>
      <c r="Z267" s="69">
        <v>0.0</v>
      </c>
      <c r="AA267" s="68">
        <v>0.0</v>
      </c>
      <c r="AB267" s="68">
        <v>0.0</v>
      </c>
      <c r="AC267" s="68">
        <v>0.0</v>
      </c>
      <c r="AD267" s="68">
        <v>0.0</v>
      </c>
      <c r="AE267" s="68">
        <v>0.0</v>
      </c>
      <c r="AF267" s="68">
        <v>0.0</v>
      </c>
      <c r="AG267" s="68">
        <v>0.0</v>
      </c>
      <c r="AH267" s="68">
        <v>0.0</v>
      </c>
      <c r="AI267" s="68">
        <v>0.0</v>
      </c>
      <c r="AJ267" s="68">
        <v>0.0</v>
      </c>
      <c r="AK267" s="68">
        <v>0.0</v>
      </c>
      <c r="AL267" s="68">
        <v>0.0</v>
      </c>
      <c r="AM267" s="68">
        <v>0.0</v>
      </c>
      <c r="AN267" s="68">
        <v>0.0</v>
      </c>
      <c r="AO267" s="68">
        <v>0.0</v>
      </c>
      <c r="AP267" s="68">
        <v>0.0</v>
      </c>
      <c r="AQ267" s="68">
        <v>0.0</v>
      </c>
      <c r="AR267" s="68">
        <v>0.0</v>
      </c>
      <c r="AS267" s="68">
        <v>0.0</v>
      </c>
      <c r="AT267" s="68">
        <v>0.0</v>
      </c>
      <c r="AU267" s="68">
        <v>0.0</v>
      </c>
      <c r="AV267" s="68">
        <v>0.0</v>
      </c>
      <c r="AW267" s="68">
        <v>0.0</v>
      </c>
      <c r="AX267" s="68">
        <v>0.0</v>
      </c>
      <c r="AY267" s="68">
        <v>0.0</v>
      </c>
      <c r="AZ267" s="68">
        <v>0.0</v>
      </c>
      <c r="BA267" s="68">
        <v>0.0</v>
      </c>
      <c r="BB267" s="68">
        <v>0.0</v>
      </c>
      <c r="BC267" s="68" t="s">
        <v>106</v>
      </c>
      <c r="BD267" s="68" t="s">
        <v>163</v>
      </c>
      <c r="BE267" s="68">
        <v>5013.0</v>
      </c>
      <c r="BF267" s="68">
        <v>143.98</v>
      </c>
      <c r="BG267" s="68"/>
      <c r="BH267" s="70" t="s">
        <v>107</v>
      </c>
      <c r="BI267" s="68" t="s">
        <v>108</v>
      </c>
      <c r="BK267" s="68"/>
      <c r="BN267" s="70" t="s">
        <v>111</v>
      </c>
      <c r="BO267" s="68" t="s">
        <v>112</v>
      </c>
      <c r="BQ267" s="68"/>
      <c r="BV267" s="72"/>
      <c r="BW267" s="64" t="str">
        <f>if(OR(F267="SALE",F267="REFUNDED"),IFERROR(Vlookup(I267,'Listing SKU - Fill SKU Mapping'!A:C,3,false),"Map"),"")</f>
        <v/>
      </c>
      <c r="BX267" s="64" t="str">
        <f>IF(OR(F267="SALE",F267="REFUNDED")=TRUE,iferror(Vlookup(I267,'Listing SKU - Fill SKU Mapping'!A:B,2,false),"Map"),"")</f>
        <v/>
      </c>
      <c r="BY267" s="64" t="str">
        <f>IF(OR(F267="SALE",F267="REFUNDED")=TRUE,iferror(Vlookup(I267,'Listing SKU - Fill SKU Mapping'!A:D,4,false),"Map"),"")</f>
        <v/>
      </c>
      <c r="BZ267" s="66" t="str">
        <f t="shared" si="1"/>
        <v/>
      </c>
      <c r="CA267" s="64" t="str">
        <f t="shared" si="2"/>
        <v/>
      </c>
      <c r="CB267" s="64" t="str">
        <f t="shared" si="3"/>
        <v/>
      </c>
      <c r="CC267" s="64" t="str">
        <f>if(F267="REFUNDED",iferror(Vlookup(I267,'Listing SKU - Fill SKU Mapping'!A:B,2,false),"Map"),"")</f>
        <v/>
      </c>
      <c r="CD267" s="64" t="str">
        <f>if(F267="REFUNDED",iferror(Vlookup(I267,'Listing SKU - Fill SKU Mapping'!A:C,3,false),"Map"),"")</f>
        <v/>
      </c>
      <c r="CE267" s="64" t="str">
        <f t="shared" si="4"/>
        <v>2025</v>
      </c>
      <c r="CF267" s="64" t="str">
        <f t="shared" si="5"/>
        <v>September</v>
      </c>
      <c r="CG267" s="64" t="str">
        <f t="shared" si="6"/>
        <v/>
      </c>
    </row>
    <row r="268">
      <c r="A268" s="55">
        <v>2.0001E14</v>
      </c>
      <c r="B268" s="56">
        <v>1.0</v>
      </c>
      <c r="C268" s="57">
        <v>1.2903E14</v>
      </c>
      <c r="D268" s="58">
        <v>1.0</v>
      </c>
      <c r="F268" s="59" t="s">
        <v>100</v>
      </c>
      <c r="G268" s="60">
        <v>45912.0</v>
      </c>
      <c r="H268" s="58">
        <v>1.0</v>
      </c>
      <c r="I268" s="58" t="s">
        <v>416</v>
      </c>
      <c r="J268" s="61">
        <v>4.67129941926E11</v>
      </c>
      <c r="K268" s="63"/>
      <c r="L268" s="63"/>
      <c r="M268" s="63"/>
      <c r="N268" s="63"/>
      <c r="O268" s="63"/>
      <c r="P268" s="63"/>
      <c r="Q268" s="63"/>
      <c r="R268" s="63"/>
      <c r="S268" s="63"/>
      <c r="T268" s="58" t="s">
        <v>105</v>
      </c>
      <c r="U268" s="59">
        <v>120.25</v>
      </c>
      <c r="V268" s="59">
        <v>106.0</v>
      </c>
      <c r="W268" s="58">
        <v>7.98</v>
      </c>
      <c r="X268" s="58">
        <v>7.0</v>
      </c>
      <c r="Y268" s="68">
        <v>113.98</v>
      </c>
      <c r="Z268" s="69">
        <v>0.0</v>
      </c>
      <c r="AA268" s="68">
        <v>0.0</v>
      </c>
      <c r="AB268" s="68">
        <v>0.0</v>
      </c>
      <c r="AC268" s="68">
        <v>0.0</v>
      </c>
      <c r="AD268" s="68">
        <v>0.0</v>
      </c>
      <c r="AE268" s="68">
        <v>0.0</v>
      </c>
      <c r="AF268" s="68">
        <v>0.0</v>
      </c>
      <c r="AG268" s="68">
        <v>0.0</v>
      </c>
      <c r="AH268" s="68">
        <v>0.0</v>
      </c>
      <c r="AI268" s="68">
        <v>0.0</v>
      </c>
      <c r="AJ268" s="68">
        <v>0.0</v>
      </c>
      <c r="AK268" s="68">
        <v>0.0</v>
      </c>
      <c r="AL268" s="68">
        <v>0.0</v>
      </c>
      <c r="AM268" s="68">
        <v>0.0</v>
      </c>
      <c r="AN268" s="68">
        <v>0.0</v>
      </c>
      <c r="AO268" s="68">
        <v>6.27</v>
      </c>
      <c r="AP268" s="68">
        <v>0.0</v>
      </c>
      <c r="AQ268" s="68">
        <v>0.0</v>
      </c>
      <c r="AR268" s="68">
        <v>0.0</v>
      </c>
      <c r="AS268" s="68">
        <v>0.0</v>
      </c>
      <c r="AT268" s="68">
        <v>0.0</v>
      </c>
      <c r="AU268" s="68">
        <v>0.0</v>
      </c>
      <c r="AV268" s="68">
        <v>0.0</v>
      </c>
      <c r="AW268" s="68">
        <v>0.0</v>
      </c>
      <c r="AX268" s="68">
        <v>0.0</v>
      </c>
      <c r="AY268" s="68">
        <v>0.0</v>
      </c>
      <c r="AZ268" s="68">
        <v>0.0</v>
      </c>
      <c r="BA268" s="68">
        <v>0.0</v>
      </c>
      <c r="BB268" s="68">
        <v>6.27</v>
      </c>
      <c r="BC268" s="68" t="s">
        <v>106</v>
      </c>
      <c r="BD268" s="68"/>
      <c r="BG268" s="70">
        <v>-11.4</v>
      </c>
      <c r="BH268" s="68" t="s">
        <v>107</v>
      </c>
      <c r="BI268" s="68" t="s">
        <v>108</v>
      </c>
      <c r="BJ268" s="68" t="s">
        <v>109</v>
      </c>
      <c r="BK268" s="68" t="s">
        <v>407</v>
      </c>
      <c r="BM268" s="68"/>
      <c r="BN268" s="70" t="s">
        <v>111</v>
      </c>
      <c r="BO268" s="68" t="s">
        <v>112</v>
      </c>
      <c r="BP268" s="68" t="s">
        <v>113</v>
      </c>
      <c r="BQ268" s="68" t="s">
        <v>114</v>
      </c>
      <c r="BR268" s="68">
        <v>3.42</v>
      </c>
      <c r="BS268" s="68"/>
      <c r="BV268" s="72"/>
      <c r="BW268" s="64" t="str">
        <f>if(OR(F268="SALE",F268="REFUNDED"),IFERROR(Vlookup(I268,'Listing SKU - Fill SKU Mapping'!A:C,3,false),"Map"),"")</f>
        <v>Keystone</v>
      </c>
      <c r="BX268" s="64" t="str">
        <f>IF(OR(F268="SALE",F268="REFUNDED")=TRUE,iferror(Vlookup(I268,'Listing SKU - Fill SKU Mapping'!A:B,2,false),"Map"),"")</f>
        <v>47218C</v>
      </c>
      <c r="BY268" s="64">
        <f>IF(OR(F268="SALE",F268="REFUNDED")=TRUE,iferror(Vlookup(I268,'Listing SKU - Fill SKU Mapping'!A:D,4,false),"Map"),"")</f>
        <v>50.89</v>
      </c>
      <c r="BZ268" s="66">
        <f t="shared" si="1"/>
        <v>11.5</v>
      </c>
      <c r="CA268" s="66">
        <f t="shared" si="2"/>
        <v>62.39</v>
      </c>
      <c r="CB268" s="66">
        <f t="shared" si="3"/>
        <v>43.61</v>
      </c>
      <c r="CC268" s="64" t="str">
        <f>if(F268="REFUNDED",iferror(Vlookup(I268,'Listing SKU - Fill SKU Mapping'!A:B,2,false),"Map"),"")</f>
        <v/>
      </c>
      <c r="CD268" s="64" t="str">
        <f>if(F268="REFUNDED",iferror(Vlookup(I268,'Listing SKU - Fill SKU Mapping'!A:C,3,false),"Map"),"")</f>
        <v/>
      </c>
      <c r="CE268" s="64" t="str">
        <f t="shared" si="4"/>
        <v>2025</v>
      </c>
      <c r="CF268" s="64" t="str">
        <f t="shared" si="5"/>
        <v>September</v>
      </c>
      <c r="CG268" s="64" t="str">
        <f t="shared" si="6"/>
        <v/>
      </c>
    </row>
    <row r="269">
      <c r="A269" s="55">
        <v>2.0001E14</v>
      </c>
      <c r="B269" s="56">
        <v>1.0</v>
      </c>
      <c r="C269" s="57">
        <v>1.2903E14</v>
      </c>
      <c r="D269" s="58">
        <v>1.0</v>
      </c>
      <c r="F269" s="59" t="s">
        <v>100</v>
      </c>
      <c r="G269" s="60">
        <v>45915.0</v>
      </c>
      <c r="H269" s="58">
        <v>1.0</v>
      </c>
      <c r="I269" s="58" t="s">
        <v>417</v>
      </c>
      <c r="J269" s="61">
        <v>4.68102668915E11</v>
      </c>
      <c r="K269" s="63"/>
      <c r="L269" s="63"/>
      <c r="M269" s="63"/>
      <c r="N269" s="63"/>
      <c r="O269" s="63"/>
      <c r="P269" s="63"/>
      <c r="Q269" s="63"/>
      <c r="R269" s="63"/>
      <c r="S269" s="63"/>
      <c r="T269" s="58" t="s">
        <v>105</v>
      </c>
      <c r="U269" s="59">
        <v>83.13</v>
      </c>
      <c r="V269" s="59">
        <v>73.42</v>
      </c>
      <c r="W269" s="58">
        <v>5.53</v>
      </c>
      <c r="X269" s="58">
        <v>7.0</v>
      </c>
      <c r="Y269" s="68">
        <v>78.95</v>
      </c>
      <c r="Z269" s="69">
        <v>0.0</v>
      </c>
      <c r="AA269" s="68">
        <v>0.0</v>
      </c>
      <c r="AB269" s="68">
        <v>0.0</v>
      </c>
      <c r="AC269" s="68">
        <v>0.0</v>
      </c>
      <c r="AD269" s="68">
        <v>0.0</v>
      </c>
      <c r="AE269" s="68">
        <v>0.0</v>
      </c>
      <c r="AF269" s="68">
        <v>0.0</v>
      </c>
      <c r="AG269" s="68">
        <v>0.0</v>
      </c>
      <c r="AH269" s="68">
        <v>0.0</v>
      </c>
      <c r="AI269" s="68">
        <v>0.0</v>
      </c>
      <c r="AJ269" s="68">
        <v>0.0</v>
      </c>
      <c r="AK269" s="68">
        <v>0.0</v>
      </c>
      <c r="AL269" s="68">
        <v>0.0</v>
      </c>
      <c r="AM269" s="68">
        <v>0.0</v>
      </c>
      <c r="AN269" s="68">
        <v>0.0</v>
      </c>
      <c r="AO269" s="68">
        <v>4.18</v>
      </c>
      <c r="AP269" s="68">
        <v>0.0</v>
      </c>
      <c r="AQ269" s="68">
        <v>0.0</v>
      </c>
      <c r="AR269" s="68">
        <v>0.0</v>
      </c>
      <c r="AS269" s="68">
        <v>0.0</v>
      </c>
      <c r="AT269" s="68">
        <v>0.0</v>
      </c>
      <c r="AU269" s="68">
        <v>0.0</v>
      </c>
      <c r="AV269" s="68">
        <v>0.0</v>
      </c>
      <c r="AW269" s="68">
        <v>0.0</v>
      </c>
      <c r="AX269" s="68">
        <v>0.0</v>
      </c>
      <c r="AY269" s="68">
        <v>0.0</v>
      </c>
      <c r="AZ269" s="68">
        <v>0.0</v>
      </c>
      <c r="BA269" s="68">
        <v>0.0</v>
      </c>
      <c r="BB269" s="68">
        <v>4.18</v>
      </c>
      <c r="BC269" s="68" t="s">
        <v>106</v>
      </c>
      <c r="BD269" s="68"/>
      <c r="BG269" s="70">
        <v>-7.9</v>
      </c>
      <c r="BH269" s="68" t="s">
        <v>107</v>
      </c>
      <c r="BI269" s="68" t="s">
        <v>108</v>
      </c>
      <c r="BJ269" s="68" t="s">
        <v>109</v>
      </c>
      <c r="BK269" s="68" t="s">
        <v>407</v>
      </c>
      <c r="BM269" s="68"/>
      <c r="BN269" s="70" t="s">
        <v>111</v>
      </c>
      <c r="BO269" s="68" t="s">
        <v>112</v>
      </c>
      <c r="BP269" s="68" t="s">
        <v>113</v>
      </c>
      <c r="BQ269" s="68" t="s">
        <v>114</v>
      </c>
      <c r="BR269" s="68">
        <v>2.37</v>
      </c>
      <c r="BS269" s="68"/>
      <c r="BV269" s="72"/>
      <c r="BW269" s="64" t="str">
        <f>if(OR(F269="SALE",F269="REFUNDED"),IFERROR(Vlookup(I269,'Listing SKU - Fill SKU Mapping'!A:C,3,false),"Map"),"")</f>
        <v>Keystone</v>
      </c>
      <c r="BX269" s="64" t="str">
        <f>IF(OR(F269="SALE",F269="REFUNDED")=TRUE,iferror(Vlookup(I269,'Listing SKU - Fill SKU Mapping'!A:B,2,false),"Map"),"")</f>
        <v>C3203C</v>
      </c>
      <c r="BY269" s="64">
        <f>IF(OR(F269="SALE",F269="REFUNDED")=TRUE,iferror(Vlookup(I269,'Listing SKU - Fill SKU Mapping'!A:D,4,false),"Map"),"")</f>
        <v>37.08</v>
      </c>
      <c r="BZ269" s="66">
        <f t="shared" si="1"/>
        <v>11.5</v>
      </c>
      <c r="CA269" s="66">
        <f t="shared" si="2"/>
        <v>48.58</v>
      </c>
      <c r="CB269" s="66">
        <f t="shared" si="3"/>
        <v>24.84</v>
      </c>
      <c r="CC269" s="64" t="str">
        <f>if(F269="REFUNDED",iferror(Vlookup(I269,'Listing SKU - Fill SKU Mapping'!A:B,2,false),"Map"),"")</f>
        <v/>
      </c>
      <c r="CD269" s="64" t="str">
        <f>if(F269="REFUNDED",iferror(Vlookup(I269,'Listing SKU - Fill SKU Mapping'!A:C,3,false),"Map"),"")</f>
        <v/>
      </c>
      <c r="CE269" s="64" t="str">
        <f t="shared" si="4"/>
        <v>2025</v>
      </c>
      <c r="CF269" s="64" t="str">
        <f t="shared" si="5"/>
        <v>September</v>
      </c>
      <c r="CG269" s="64" t="str">
        <f t="shared" si="6"/>
        <v/>
      </c>
    </row>
    <row r="270">
      <c r="A270" s="55">
        <v>2.0001E14</v>
      </c>
      <c r="B270" s="56">
        <v>1.0</v>
      </c>
      <c r="C270" s="57">
        <v>1.2902E14</v>
      </c>
      <c r="D270" s="58">
        <v>1.0</v>
      </c>
      <c r="F270" s="59" t="s">
        <v>128</v>
      </c>
      <c r="G270" s="60">
        <v>45907.0</v>
      </c>
      <c r="H270" s="58">
        <v>2.0</v>
      </c>
      <c r="I270" s="58" t="s">
        <v>386</v>
      </c>
      <c r="J270" s="61">
        <v>4.67620062427E11</v>
      </c>
      <c r="K270" s="63"/>
      <c r="L270" s="63"/>
      <c r="M270" s="63"/>
      <c r="N270" s="63"/>
      <c r="O270" s="63"/>
      <c r="P270" s="63"/>
      <c r="Q270" s="63"/>
      <c r="R270" s="63"/>
      <c r="S270" s="63"/>
      <c r="U270" s="59">
        <v>-133.6</v>
      </c>
      <c r="V270" s="59">
        <v>-115.3</v>
      </c>
      <c r="W270" s="58">
        <v>-8.68</v>
      </c>
      <c r="X270" s="58">
        <v>0.0</v>
      </c>
      <c r="Y270" s="68">
        <v>0.0</v>
      </c>
      <c r="Z270" s="69">
        <v>-123.98</v>
      </c>
      <c r="AA270" s="68">
        <v>0.0</v>
      </c>
      <c r="AB270" s="68">
        <v>0.0</v>
      </c>
      <c r="AC270" s="68">
        <v>0.0</v>
      </c>
      <c r="AD270" s="68">
        <v>0.0</v>
      </c>
      <c r="AE270" s="68">
        <v>0.0</v>
      </c>
      <c r="AF270" s="68">
        <v>0.0</v>
      </c>
      <c r="AG270" s="68">
        <v>0.0</v>
      </c>
      <c r="AH270" s="68">
        <v>0.0</v>
      </c>
      <c r="AI270" s="68">
        <v>0.0</v>
      </c>
      <c r="AJ270" s="68">
        <v>0.0</v>
      </c>
      <c r="AK270" s="68">
        <v>0.0</v>
      </c>
      <c r="AL270" s="68">
        <v>0.0</v>
      </c>
      <c r="AM270" s="68">
        <v>0.0</v>
      </c>
      <c r="AN270" s="68">
        <v>0.0</v>
      </c>
      <c r="AO270" s="68">
        <v>0.0</v>
      </c>
      <c r="AP270" s="68">
        <v>0.0</v>
      </c>
      <c r="AQ270" s="68">
        <v>0.0</v>
      </c>
      <c r="AR270" s="68">
        <v>0.0</v>
      </c>
      <c r="AS270" s="68">
        <v>0.0</v>
      </c>
      <c r="AT270" s="68">
        <v>-9.62</v>
      </c>
      <c r="AU270" s="68">
        <v>0.0</v>
      </c>
      <c r="AV270" s="68">
        <v>0.0</v>
      </c>
      <c r="AW270" s="68">
        <v>0.0</v>
      </c>
      <c r="AX270" s="68">
        <v>0.0</v>
      </c>
      <c r="AY270" s="68">
        <v>0.0</v>
      </c>
      <c r="AZ270" s="68">
        <v>0.0</v>
      </c>
      <c r="BA270" s="68">
        <v>0.0</v>
      </c>
      <c r="BB270" s="68">
        <v>-9.62</v>
      </c>
      <c r="BC270" s="68" t="s">
        <v>106</v>
      </c>
      <c r="BD270" s="68" t="s">
        <v>156</v>
      </c>
      <c r="BE270" s="68">
        <v>5010.0</v>
      </c>
      <c r="BF270" s="68"/>
      <c r="BH270" s="70" t="s">
        <v>107</v>
      </c>
      <c r="BI270" s="68" t="s">
        <v>108</v>
      </c>
      <c r="BK270" s="68"/>
      <c r="BL270" s="70">
        <v>1000.0</v>
      </c>
      <c r="BM270" s="68" t="s">
        <v>130</v>
      </c>
      <c r="BN270" s="68" t="s">
        <v>111</v>
      </c>
      <c r="BO270" s="68" t="s">
        <v>112</v>
      </c>
      <c r="BQ270" s="68"/>
      <c r="BV270" s="72"/>
      <c r="BW270" s="64" t="str">
        <f>if(OR(F270="SALE",F270="REFUNDED"),IFERROR(Vlookup(I270,'Listing SKU - Fill SKU Mapping'!A:C,3,false),"Map"),"")</f>
        <v>Keystone</v>
      </c>
      <c r="BX270" s="64" t="str">
        <f>IF(OR(F270="SALE",F270="REFUNDED")=TRUE,iferror(Vlookup(I270,'Listing SKU - Fill SKU Mapping'!A:B,2,false),"Map"),"")</f>
        <v>1515P</v>
      </c>
      <c r="BY270" s="64">
        <f>IF(OR(F270="SALE",F270="REFUNDED")=TRUE,iferror(Vlookup(I270,'Listing SKU - Fill SKU Mapping'!A:D,4,false),"Map"),"")</f>
        <v>24.46</v>
      </c>
      <c r="BZ270" s="66">
        <f t="shared" si="1"/>
        <v>11.5</v>
      </c>
      <c r="CA270" s="66">
        <f t="shared" si="2"/>
        <v>35.96</v>
      </c>
      <c r="CB270" s="64" t="str">
        <f t="shared" si="3"/>
        <v/>
      </c>
      <c r="CC270" s="64" t="str">
        <f>if(F270="REFUNDED",iferror(Vlookup(I270,'Listing SKU - Fill SKU Mapping'!A:B,2,false),"Map"),"")</f>
        <v>1515P</v>
      </c>
      <c r="CD270" s="64" t="str">
        <f>if(F270="REFUNDED",iferror(Vlookup(I270,'Listing SKU - Fill SKU Mapping'!A:C,3,false),"Map"),"")</f>
        <v>Keystone</v>
      </c>
      <c r="CE270" s="64" t="str">
        <f t="shared" si="4"/>
        <v>2025</v>
      </c>
      <c r="CF270" s="64" t="str">
        <f t="shared" si="5"/>
        <v>September</v>
      </c>
      <c r="CG270" s="64" t="str">
        <f t="shared" si="6"/>
        <v/>
      </c>
    </row>
    <row r="271">
      <c r="A271" s="55">
        <v>2.0001E14</v>
      </c>
      <c r="B271" s="56">
        <v>1.0</v>
      </c>
      <c r="C271" s="57">
        <v>1.2902E14</v>
      </c>
      <c r="D271" s="58">
        <v>1.0</v>
      </c>
      <c r="F271" s="59" t="s">
        <v>128</v>
      </c>
      <c r="G271" s="60">
        <v>45910.0</v>
      </c>
      <c r="H271" s="58">
        <v>1.0</v>
      </c>
      <c r="I271" s="58" t="s">
        <v>364</v>
      </c>
      <c r="J271" s="61">
        <v>4.60776231099E11</v>
      </c>
      <c r="K271" s="63"/>
      <c r="L271" s="63"/>
      <c r="M271" s="63"/>
      <c r="N271" s="63"/>
      <c r="O271" s="63"/>
      <c r="P271" s="63"/>
      <c r="Q271" s="63"/>
      <c r="R271" s="63"/>
      <c r="S271" s="63"/>
      <c r="U271" s="59">
        <v>-135.87</v>
      </c>
      <c r="V271" s="59">
        <v>-118.09</v>
      </c>
      <c r="W271" s="58">
        <v>-8.89</v>
      </c>
      <c r="X271" s="58">
        <v>0.0</v>
      </c>
      <c r="Y271" s="68">
        <v>0.0</v>
      </c>
      <c r="Z271" s="69">
        <v>-126.98</v>
      </c>
      <c r="AA271" s="68">
        <v>0.0</v>
      </c>
      <c r="AB271" s="68">
        <v>0.0</v>
      </c>
      <c r="AC271" s="68">
        <v>0.0</v>
      </c>
      <c r="AD271" s="68">
        <v>0.0</v>
      </c>
      <c r="AE271" s="68">
        <v>0.0</v>
      </c>
      <c r="AF271" s="68">
        <v>0.0</v>
      </c>
      <c r="AG271" s="68">
        <v>0.0</v>
      </c>
      <c r="AH271" s="68">
        <v>0.0</v>
      </c>
      <c r="AI271" s="68">
        <v>0.0</v>
      </c>
      <c r="AJ271" s="68">
        <v>0.0</v>
      </c>
      <c r="AK271" s="68">
        <v>0.0</v>
      </c>
      <c r="AL271" s="68">
        <v>0.0</v>
      </c>
      <c r="AM271" s="68">
        <v>0.0</v>
      </c>
      <c r="AN271" s="68">
        <v>0.0</v>
      </c>
      <c r="AO271" s="68">
        <v>0.0</v>
      </c>
      <c r="AP271" s="68">
        <v>0.0</v>
      </c>
      <c r="AQ271" s="68">
        <v>0.0</v>
      </c>
      <c r="AR271" s="68">
        <v>0.0</v>
      </c>
      <c r="AS271" s="68">
        <v>0.0</v>
      </c>
      <c r="AT271" s="68">
        <v>-8.89</v>
      </c>
      <c r="AU271" s="68">
        <v>0.0</v>
      </c>
      <c r="AV271" s="68">
        <v>0.0</v>
      </c>
      <c r="AW271" s="68">
        <v>0.0</v>
      </c>
      <c r="AX271" s="68">
        <v>0.0</v>
      </c>
      <c r="AY271" s="68">
        <v>0.0</v>
      </c>
      <c r="AZ271" s="68">
        <v>0.0</v>
      </c>
      <c r="BA271" s="68">
        <v>0.0</v>
      </c>
      <c r="BB271" s="68">
        <v>-8.89</v>
      </c>
      <c r="BC271" s="68" t="s">
        <v>106</v>
      </c>
      <c r="BD271" s="68" t="s">
        <v>156</v>
      </c>
      <c r="BE271" s="68">
        <v>5010.0</v>
      </c>
      <c r="BF271" s="68"/>
      <c r="BH271" s="70" t="s">
        <v>107</v>
      </c>
      <c r="BI271" s="68" t="s">
        <v>108</v>
      </c>
      <c r="BK271" s="68"/>
      <c r="BL271" s="70">
        <v>1011.0</v>
      </c>
      <c r="BM271" s="68" t="s">
        <v>418</v>
      </c>
      <c r="BN271" s="68" t="s">
        <v>111</v>
      </c>
      <c r="BO271" s="68" t="s">
        <v>112</v>
      </c>
      <c r="BQ271" s="68"/>
      <c r="BV271" s="72"/>
      <c r="BW271" s="64" t="str">
        <f>if(OR(F271="SALE",F271="REFUNDED"),IFERROR(Vlookup(I271,'Listing SKU - Fill SKU Mapping'!A:C,3,false),"Map"),"")</f>
        <v>Keystone</v>
      </c>
      <c r="BX271" s="64" t="str">
        <f>IF(OR(F271="SALE",F271="REFUNDED")=TRUE,iferror(Vlookup(I271,'Listing SKU - Fill SKU Mapping'!A:B,2,false),"Map"),"")</f>
        <v>IMP406BLK</v>
      </c>
      <c r="BY271" s="64">
        <f>IF(OR(F271="SALE",F271="REFUNDED")=TRUE,iferror(Vlookup(I271,'Listing SKU - Fill SKU Mapping'!A:D,4,false),"Map"),"")</f>
        <v>61.94</v>
      </c>
      <c r="BZ271" s="66">
        <f t="shared" si="1"/>
        <v>11.5</v>
      </c>
      <c r="CA271" s="66">
        <f t="shared" si="2"/>
        <v>73.44</v>
      </c>
      <c r="CB271" s="64" t="str">
        <f t="shared" si="3"/>
        <v/>
      </c>
      <c r="CC271" s="64" t="str">
        <f>if(F271="REFUNDED",iferror(Vlookup(I271,'Listing SKU - Fill SKU Mapping'!A:B,2,false),"Map"),"")</f>
        <v>IMP406BLK</v>
      </c>
      <c r="CD271" s="64" t="str">
        <f>if(F271="REFUNDED",iferror(Vlookup(I271,'Listing SKU - Fill SKU Mapping'!A:C,3,false),"Map"),"")</f>
        <v>Keystone</v>
      </c>
      <c r="CE271" s="64" t="str">
        <f t="shared" si="4"/>
        <v>2025</v>
      </c>
      <c r="CF271" s="64" t="str">
        <f t="shared" si="5"/>
        <v>September</v>
      </c>
      <c r="CG271" s="64" t="str">
        <f t="shared" si="6"/>
        <v/>
      </c>
    </row>
    <row r="272">
      <c r="A272" s="55">
        <v>2.0001E14</v>
      </c>
      <c r="B272" s="56">
        <v>1.0</v>
      </c>
      <c r="C272" s="57">
        <v>1.2903E14</v>
      </c>
      <c r="D272" s="58">
        <v>1.0</v>
      </c>
      <c r="F272" s="59" t="s">
        <v>100</v>
      </c>
      <c r="G272" s="60">
        <v>45918.0</v>
      </c>
      <c r="H272" s="58">
        <v>1.0</v>
      </c>
      <c r="I272" s="58" t="s">
        <v>419</v>
      </c>
      <c r="J272" s="61">
        <v>4.64567121576E11</v>
      </c>
      <c r="K272" s="63"/>
      <c r="L272" s="63"/>
      <c r="M272" s="63"/>
      <c r="N272" s="63"/>
      <c r="O272" s="63"/>
      <c r="P272" s="63"/>
      <c r="Q272" s="63"/>
      <c r="R272" s="63"/>
      <c r="S272" s="63"/>
      <c r="T272" s="58" t="s">
        <v>105</v>
      </c>
      <c r="U272" s="59">
        <v>119.77</v>
      </c>
      <c r="V272" s="59">
        <v>107.86</v>
      </c>
      <c r="W272" s="58">
        <v>8.12</v>
      </c>
      <c r="X272" s="58">
        <v>7.0</v>
      </c>
      <c r="Y272" s="68">
        <v>111.93</v>
      </c>
      <c r="Z272" s="69">
        <v>0.0</v>
      </c>
      <c r="AA272" s="68">
        <v>0.0</v>
      </c>
      <c r="AB272" s="68">
        <v>0.0</v>
      </c>
      <c r="AC272" s="68">
        <v>0.0</v>
      </c>
      <c r="AD272" s="68">
        <v>0.0</v>
      </c>
      <c r="AE272" s="68">
        <v>0.0</v>
      </c>
      <c r="AF272" s="68">
        <v>0.0</v>
      </c>
      <c r="AG272" s="68">
        <v>0.0</v>
      </c>
      <c r="AH272" s="68">
        <v>0.0</v>
      </c>
      <c r="AI272" s="68">
        <v>0.0</v>
      </c>
      <c r="AJ272" s="68">
        <v>0.0</v>
      </c>
      <c r="AK272" s="68">
        <v>0.0</v>
      </c>
      <c r="AL272" s="68">
        <v>0.0</v>
      </c>
      <c r="AM272" s="68">
        <v>0.0</v>
      </c>
      <c r="AN272" s="68">
        <v>0.0</v>
      </c>
      <c r="AO272" s="68">
        <v>7.84</v>
      </c>
      <c r="AP272" s="68">
        <v>0.0</v>
      </c>
      <c r="AQ272" s="68">
        <v>0.0</v>
      </c>
      <c r="AR272" s="68">
        <v>0.0</v>
      </c>
      <c r="AS272" s="68">
        <v>0.0</v>
      </c>
      <c r="AT272" s="68">
        <v>0.0</v>
      </c>
      <c r="AU272" s="68">
        <v>0.0</v>
      </c>
      <c r="AV272" s="68">
        <v>0.0</v>
      </c>
      <c r="AW272" s="68">
        <v>0.0</v>
      </c>
      <c r="AX272" s="68">
        <v>0.0</v>
      </c>
      <c r="AY272" s="68">
        <v>0.0</v>
      </c>
      <c r="AZ272" s="68">
        <v>0.0</v>
      </c>
      <c r="BA272" s="68">
        <v>0.0</v>
      </c>
      <c r="BB272" s="68">
        <v>7.84</v>
      </c>
      <c r="BC272" s="68" t="s">
        <v>106</v>
      </c>
      <c r="BD272" s="68"/>
      <c r="BF272" s="70">
        <v>115.98</v>
      </c>
      <c r="BG272" s="68">
        <v>-11.6</v>
      </c>
      <c r="BH272" s="68" t="s">
        <v>107</v>
      </c>
      <c r="BI272" s="68" t="s">
        <v>108</v>
      </c>
      <c r="BJ272" s="68" t="s">
        <v>109</v>
      </c>
      <c r="BK272" s="68" t="s">
        <v>407</v>
      </c>
      <c r="BM272" s="68"/>
      <c r="BN272" s="70" t="s">
        <v>111</v>
      </c>
      <c r="BO272" s="68" t="s">
        <v>112</v>
      </c>
      <c r="BP272" s="68" t="s">
        <v>113</v>
      </c>
      <c r="BQ272" s="68" t="s">
        <v>317</v>
      </c>
      <c r="BR272" s="68">
        <v>3.48</v>
      </c>
      <c r="BS272" s="68"/>
      <c r="BT272" s="70">
        <v>-4.05</v>
      </c>
      <c r="BU272" s="68" t="s">
        <v>318</v>
      </c>
      <c r="BV272" s="73"/>
      <c r="BW272" s="64" t="str">
        <f>if(OR(F272="SALE",F272="REFUNDED"),IFERROR(Vlookup(I272,'Listing SKU - Fill SKU Mapping'!A:C,3,false),"Map"),"")</f>
        <v>Keystone</v>
      </c>
      <c r="BX272" s="64" t="str">
        <f>IF(OR(F272="SALE",F272="REFUNDED")=TRUE,iferror(Vlookup(I272,'Listing SKU - Fill SKU Mapping'!A:B,2,false),"Map"),"")</f>
        <v>IMP84X</v>
      </c>
      <c r="BY272" s="64">
        <f>IF(OR(F272="SALE",F272="REFUNDED")=TRUE,iferror(Vlookup(I272,'Listing SKU - Fill SKU Mapping'!A:D,4,false),"Map"),"")</f>
        <v>59.17</v>
      </c>
      <c r="BZ272" s="66">
        <f t="shared" si="1"/>
        <v>11.5</v>
      </c>
      <c r="CA272" s="66">
        <f t="shared" si="2"/>
        <v>70.67</v>
      </c>
      <c r="CB272" s="66">
        <f t="shared" si="3"/>
        <v>37.19</v>
      </c>
      <c r="CC272" s="64" t="str">
        <f>if(F272="REFUNDED",iferror(Vlookup(I272,'Listing SKU - Fill SKU Mapping'!A:B,2,false),"Map"),"")</f>
        <v/>
      </c>
      <c r="CD272" s="64" t="str">
        <f>if(F272="REFUNDED",iferror(Vlookup(I272,'Listing SKU - Fill SKU Mapping'!A:C,3,false),"Map"),"")</f>
        <v/>
      </c>
      <c r="CE272" s="64" t="str">
        <f t="shared" si="4"/>
        <v>2025</v>
      </c>
      <c r="CF272" s="64" t="str">
        <f t="shared" si="5"/>
        <v>September</v>
      </c>
      <c r="CG272" s="64" t="str">
        <f t="shared" si="6"/>
        <v/>
      </c>
    </row>
    <row r="273">
      <c r="A273" s="55">
        <v>2.0001E14</v>
      </c>
      <c r="B273" s="56">
        <v>6.0</v>
      </c>
      <c r="C273" s="57">
        <v>1.2903E14</v>
      </c>
      <c r="D273" s="58">
        <v>6.0</v>
      </c>
      <c r="F273" s="59" t="s">
        <v>100</v>
      </c>
      <c r="G273" s="60">
        <v>45918.0</v>
      </c>
      <c r="H273" s="58">
        <v>1.0</v>
      </c>
      <c r="I273" s="58" t="s">
        <v>420</v>
      </c>
      <c r="J273" s="61">
        <v>4.50400888287E11</v>
      </c>
      <c r="K273" s="63"/>
      <c r="L273" s="63"/>
      <c r="M273" s="63"/>
      <c r="N273" s="63"/>
      <c r="O273" s="63"/>
      <c r="P273" s="63"/>
      <c r="Q273" s="63"/>
      <c r="R273" s="63"/>
      <c r="S273" s="63"/>
      <c r="T273" s="58" t="s">
        <v>105</v>
      </c>
      <c r="U273" s="59">
        <v>24.36</v>
      </c>
      <c r="V273" s="59">
        <v>21.05</v>
      </c>
      <c r="W273" s="58">
        <v>1.93</v>
      </c>
      <c r="X273" s="58">
        <v>8.4</v>
      </c>
      <c r="Y273" s="68">
        <v>22.98</v>
      </c>
      <c r="Z273" s="69">
        <v>0.0</v>
      </c>
      <c r="AA273" s="68">
        <v>0.0</v>
      </c>
      <c r="AB273" s="68">
        <v>0.0</v>
      </c>
      <c r="AC273" s="68">
        <v>0.0</v>
      </c>
      <c r="AD273" s="68">
        <v>0.0</v>
      </c>
      <c r="AE273" s="68">
        <v>0.0</v>
      </c>
      <c r="AF273" s="68">
        <v>0.0</v>
      </c>
      <c r="AG273" s="68">
        <v>0.0</v>
      </c>
      <c r="AH273" s="68">
        <v>0.0</v>
      </c>
      <c r="AI273" s="68">
        <v>0.0</v>
      </c>
      <c r="AJ273" s="68">
        <v>0.0</v>
      </c>
      <c r="AK273" s="68">
        <v>0.0</v>
      </c>
      <c r="AL273" s="68">
        <v>0.0</v>
      </c>
      <c r="AM273" s="68">
        <v>0.0</v>
      </c>
      <c r="AN273" s="68">
        <v>0.0</v>
      </c>
      <c r="AO273" s="68">
        <v>1.38</v>
      </c>
      <c r="AP273" s="68">
        <v>0.0</v>
      </c>
      <c r="AQ273" s="68">
        <v>0.0</v>
      </c>
      <c r="AR273" s="68">
        <v>0.0</v>
      </c>
      <c r="AS273" s="68">
        <v>0.0</v>
      </c>
      <c r="AT273" s="68">
        <v>0.0</v>
      </c>
      <c r="AU273" s="68">
        <v>0.0</v>
      </c>
      <c r="AV273" s="68">
        <v>0.0</v>
      </c>
      <c r="AW273" s="68">
        <v>0.0</v>
      </c>
      <c r="AX273" s="68">
        <v>0.0</v>
      </c>
      <c r="AY273" s="68">
        <v>0.0</v>
      </c>
      <c r="AZ273" s="68">
        <v>0.0</v>
      </c>
      <c r="BA273" s="68">
        <v>0.0</v>
      </c>
      <c r="BB273" s="68">
        <v>1.38</v>
      </c>
      <c r="BC273" s="68" t="s">
        <v>106</v>
      </c>
      <c r="BD273" s="68"/>
      <c r="BG273" s="70">
        <v>-2.76</v>
      </c>
      <c r="BH273" s="68" t="s">
        <v>421</v>
      </c>
      <c r="BI273" s="68" t="s">
        <v>422</v>
      </c>
      <c r="BJ273" s="68" t="s">
        <v>423</v>
      </c>
      <c r="BK273" s="68" t="s">
        <v>333</v>
      </c>
      <c r="BM273" s="68"/>
      <c r="BN273" s="70" t="s">
        <v>111</v>
      </c>
      <c r="BO273" s="68" t="s">
        <v>424</v>
      </c>
      <c r="BP273" s="68" t="s">
        <v>113</v>
      </c>
      <c r="BQ273" s="68" t="s">
        <v>348</v>
      </c>
      <c r="BR273" s="68">
        <v>0.83</v>
      </c>
      <c r="BS273" s="68"/>
      <c r="BV273" s="72"/>
      <c r="BW273" s="64" t="str">
        <f>if(OR(F273="SALE",F273="REFUNDED"),IFERROR(Vlookup(I273,'Listing SKU - Fill SKU Mapping'!A:C,3,false),"Map"),"")</f>
        <v>Map</v>
      </c>
      <c r="BX273" s="64" t="str">
        <f>IF(OR(F273="SALE",F273="REFUNDED")=TRUE,iferror(Vlookup(I273,'Listing SKU - Fill SKU Mapping'!A:B,2,false),"Map"),"")</f>
        <v>Map</v>
      </c>
      <c r="BY273" s="64" t="str">
        <f>IF(OR(F273="SALE",F273="REFUNDED")=TRUE,iferror(Vlookup(I273,'Listing SKU - Fill SKU Mapping'!A:D,4,false),"Map"),"")</f>
        <v>Map</v>
      </c>
      <c r="BZ273" s="66" t="str">
        <f t="shared" si="1"/>
        <v/>
      </c>
      <c r="CA273" s="64" t="str">
        <f t="shared" si="2"/>
        <v/>
      </c>
      <c r="CB273" s="64">
        <f t="shared" si="3"/>
        <v>21.05</v>
      </c>
      <c r="CC273" s="64" t="str">
        <f>if(F273="REFUNDED",iferror(Vlookup(I273,'Listing SKU - Fill SKU Mapping'!A:B,2,false),"Map"),"")</f>
        <v/>
      </c>
      <c r="CD273" s="64" t="str">
        <f>if(F273="REFUNDED",iferror(Vlookup(I273,'Listing SKU - Fill SKU Mapping'!A:C,3,false),"Map"),"")</f>
        <v/>
      </c>
      <c r="CE273" s="64" t="str">
        <f t="shared" si="4"/>
        <v>2025</v>
      </c>
      <c r="CF273" s="64" t="str">
        <f t="shared" si="5"/>
        <v>September</v>
      </c>
      <c r="CG273" s="64" t="str">
        <f t="shared" si="6"/>
        <v/>
      </c>
    </row>
    <row r="274">
      <c r="A274" s="55">
        <v>2.0001E14</v>
      </c>
      <c r="B274" s="56">
        <v>6.0</v>
      </c>
      <c r="C274" s="57">
        <v>1.2903E14</v>
      </c>
      <c r="D274" s="58">
        <v>6.0</v>
      </c>
      <c r="F274" s="59" t="s">
        <v>158</v>
      </c>
      <c r="G274" s="60">
        <v>45919.0</v>
      </c>
      <c r="H274" s="58">
        <v>1.0</v>
      </c>
      <c r="I274" s="58" t="s">
        <v>420</v>
      </c>
      <c r="J274" s="61">
        <v>4.50400888287E11</v>
      </c>
      <c r="K274" s="63"/>
      <c r="L274" s="63"/>
      <c r="M274" s="63"/>
      <c r="N274" s="63"/>
      <c r="O274" s="63"/>
      <c r="P274" s="63"/>
      <c r="Q274" s="63"/>
      <c r="R274" s="63"/>
      <c r="S274" s="63"/>
      <c r="T274" s="58" t="s">
        <v>105</v>
      </c>
      <c r="U274" s="59">
        <v>0.0</v>
      </c>
      <c r="V274" s="59">
        <v>-6.15</v>
      </c>
      <c r="W274" s="58">
        <v>6.15</v>
      </c>
      <c r="X274" s="58">
        <v>0.0</v>
      </c>
      <c r="Y274" s="70">
        <v>0.0</v>
      </c>
      <c r="Z274" s="69">
        <v>0.0</v>
      </c>
      <c r="AA274" s="68">
        <v>0.0</v>
      </c>
      <c r="AB274" s="68">
        <v>0.0</v>
      </c>
      <c r="AC274" s="68">
        <v>0.0</v>
      </c>
      <c r="AD274" s="68">
        <v>0.0</v>
      </c>
      <c r="AE274" s="68">
        <v>0.0</v>
      </c>
      <c r="AF274" s="68">
        <v>0.0</v>
      </c>
      <c r="AG274" s="68">
        <v>0.0</v>
      </c>
      <c r="AH274" s="68">
        <v>0.0</v>
      </c>
      <c r="AI274" s="68">
        <v>0.0</v>
      </c>
      <c r="AJ274" s="68">
        <v>0.0</v>
      </c>
      <c r="AK274" s="68">
        <v>0.0</v>
      </c>
      <c r="AL274" s="68">
        <v>0.0</v>
      </c>
      <c r="AM274" s="68">
        <v>0.0</v>
      </c>
      <c r="AN274" s="68">
        <v>0.0</v>
      </c>
      <c r="AO274" s="68">
        <v>0.0</v>
      </c>
      <c r="AP274" s="68">
        <v>0.0</v>
      </c>
      <c r="AQ274" s="68">
        <v>0.0</v>
      </c>
      <c r="AR274" s="68">
        <v>0.0</v>
      </c>
      <c r="AS274" s="68">
        <v>0.0</v>
      </c>
      <c r="AT274" s="68">
        <v>0.0</v>
      </c>
      <c r="AU274" s="68">
        <v>0.0</v>
      </c>
      <c r="AV274" s="68">
        <v>0.0</v>
      </c>
      <c r="AW274" s="68">
        <v>0.0</v>
      </c>
      <c r="AX274" s="68">
        <v>0.0</v>
      </c>
      <c r="AY274" s="68">
        <v>0.0</v>
      </c>
      <c r="AZ274" s="68">
        <v>0.0</v>
      </c>
      <c r="BA274" s="68">
        <v>0.0</v>
      </c>
      <c r="BB274" s="68">
        <v>0.0</v>
      </c>
      <c r="BC274" s="68" t="s">
        <v>106</v>
      </c>
      <c r="BD274" s="68" t="s">
        <v>425</v>
      </c>
      <c r="BE274" s="68">
        <v>5041.0</v>
      </c>
      <c r="BF274" s="68"/>
      <c r="BH274" s="70" t="s">
        <v>421</v>
      </c>
      <c r="BI274" s="68" t="s">
        <v>422</v>
      </c>
      <c r="BL274" s="68"/>
      <c r="BN274" s="70" t="s">
        <v>111</v>
      </c>
      <c r="BO274" s="68" t="s">
        <v>424</v>
      </c>
      <c r="BQ274" s="68"/>
      <c r="BV274" s="72"/>
      <c r="BW274" s="64" t="str">
        <f>if(OR(F274="SALE",F274="REFUNDED"),IFERROR(Vlookup(I274,'Listing SKU - Fill SKU Mapping'!A:C,3,false),"Map"),"")</f>
        <v/>
      </c>
      <c r="BX274" s="64" t="str">
        <f>IF(OR(F274="SALE",F274="REFUNDED")=TRUE,iferror(Vlookup(I274,'Listing SKU - Fill SKU Mapping'!A:B,2,false),"Map"),"")</f>
        <v/>
      </c>
      <c r="BY274" s="64" t="str">
        <f>IF(OR(F274="SALE",F274="REFUNDED")=TRUE,iferror(Vlookup(I274,'Listing SKU - Fill SKU Mapping'!A:D,4,false),"Map"),"")</f>
        <v/>
      </c>
      <c r="BZ274" s="66" t="str">
        <f t="shared" si="1"/>
        <v/>
      </c>
      <c r="CA274" s="64" t="str">
        <f t="shared" si="2"/>
        <v/>
      </c>
      <c r="CB274" s="64" t="str">
        <f t="shared" si="3"/>
        <v/>
      </c>
      <c r="CC274" s="64" t="str">
        <f>if(F274="REFUNDED",iferror(Vlookup(I274,'Listing SKU - Fill SKU Mapping'!A:B,2,false),"Map"),"")</f>
        <v/>
      </c>
      <c r="CD274" s="64" t="str">
        <f>if(F274="REFUNDED",iferror(Vlookup(I274,'Listing SKU - Fill SKU Mapping'!A:C,3,false),"Map"),"")</f>
        <v/>
      </c>
      <c r="CE274" s="64" t="str">
        <f t="shared" si="4"/>
        <v>2025</v>
      </c>
      <c r="CF274" s="64" t="str">
        <f t="shared" si="5"/>
        <v>September</v>
      </c>
      <c r="CG274" s="64" t="str">
        <f t="shared" si="6"/>
        <v/>
      </c>
    </row>
    <row r="275">
      <c r="A275" s="55">
        <v>2.0001E14</v>
      </c>
      <c r="B275" s="56">
        <v>1.0</v>
      </c>
      <c r="C275" s="57">
        <v>1.2903E14</v>
      </c>
      <c r="D275" s="58">
        <v>1.0</v>
      </c>
      <c r="F275" s="59" t="s">
        <v>100</v>
      </c>
      <c r="G275" s="60">
        <v>45912.0</v>
      </c>
      <c r="H275" s="58">
        <v>1.0</v>
      </c>
      <c r="I275" s="58" t="s">
        <v>426</v>
      </c>
      <c r="J275" s="61">
        <v>4.6077623496E11</v>
      </c>
      <c r="K275" s="63"/>
      <c r="L275" s="63"/>
      <c r="M275" s="63"/>
      <c r="N275" s="63"/>
      <c r="O275" s="63"/>
      <c r="P275" s="63"/>
      <c r="Q275" s="63"/>
      <c r="R275" s="63"/>
      <c r="S275" s="63"/>
      <c r="T275" s="58" t="s">
        <v>105</v>
      </c>
      <c r="U275" s="59">
        <v>136.19</v>
      </c>
      <c r="V275" s="59">
        <v>118.09</v>
      </c>
      <c r="W275" s="58">
        <v>8.89</v>
      </c>
      <c r="X275" s="58">
        <v>7.0</v>
      </c>
      <c r="Y275" s="68">
        <v>126.98</v>
      </c>
      <c r="Z275" s="69">
        <v>0.0</v>
      </c>
      <c r="AA275" s="68">
        <v>0.0</v>
      </c>
      <c r="AB275" s="68">
        <v>0.0</v>
      </c>
      <c r="AC275" s="68">
        <v>0.0</v>
      </c>
      <c r="AD275" s="68">
        <v>0.0</v>
      </c>
      <c r="AE275" s="68">
        <v>0.0</v>
      </c>
      <c r="AF275" s="68">
        <v>0.0</v>
      </c>
      <c r="AG275" s="68">
        <v>0.0</v>
      </c>
      <c r="AH275" s="68">
        <v>0.0</v>
      </c>
      <c r="AI275" s="68">
        <v>0.0</v>
      </c>
      <c r="AJ275" s="68">
        <v>0.0</v>
      </c>
      <c r="AK275" s="68">
        <v>0.0</v>
      </c>
      <c r="AL275" s="68">
        <v>0.0</v>
      </c>
      <c r="AM275" s="68">
        <v>0.0</v>
      </c>
      <c r="AN275" s="68">
        <v>0.0</v>
      </c>
      <c r="AO275" s="68">
        <v>9.21</v>
      </c>
      <c r="AP275" s="68">
        <v>0.0</v>
      </c>
      <c r="AQ275" s="68">
        <v>0.0</v>
      </c>
      <c r="AR275" s="68">
        <v>0.0</v>
      </c>
      <c r="AS275" s="68">
        <v>0.0</v>
      </c>
      <c r="AT275" s="68">
        <v>0.0</v>
      </c>
      <c r="AU275" s="68">
        <v>0.0</v>
      </c>
      <c r="AV275" s="68">
        <v>0.0</v>
      </c>
      <c r="AW275" s="68">
        <v>0.0</v>
      </c>
      <c r="AX275" s="68">
        <v>0.0</v>
      </c>
      <c r="AY275" s="68">
        <v>0.0</v>
      </c>
      <c r="AZ275" s="68">
        <v>0.0</v>
      </c>
      <c r="BA275" s="68">
        <v>0.0</v>
      </c>
      <c r="BB275" s="68">
        <v>9.21</v>
      </c>
      <c r="BC275" s="68" t="s">
        <v>106</v>
      </c>
      <c r="BD275" s="68"/>
      <c r="BG275" s="70">
        <v>-12.7</v>
      </c>
      <c r="BH275" s="68" t="s">
        <v>107</v>
      </c>
      <c r="BI275" s="68" t="s">
        <v>108</v>
      </c>
      <c r="BJ275" s="68" t="s">
        <v>109</v>
      </c>
      <c r="BK275" s="68" t="s">
        <v>407</v>
      </c>
      <c r="BM275" s="68"/>
      <c r="BN275" s="70" t="s">
        <v>111</v>
      </c>
      <c r="BO275" s="68" t="s">
        <v>112</v>
      </c>
      <c r="BP275" s="68" t="s">
        <v>113</v>
      </c>
      <c r="BQ275" s="68" t="s">
        <v>114</v>
      </c>
      <c r="BR275" s="68">
        <v>3.81</v>
      </c>
      <c r="BS275" s="68"/>
      <c r="BV275" s="72"/>
      <c r="BW275" s="64" t="str">
        <f>if(OR(F275="SALE",F275="REFUNDED"),IFERROR(Vlookup(I275,'Listing SKU - Fill SKU Mapping'!A:C,3,false),"Map"),"")</f>
        <v>Keystone</v>
      </c>
      <c r="BX275" s="64" t="str">
        <f>IF(OR(F275="SALE",F275="REFUNDED")=TRUE,iferror(Vlookup(I275,'Listing SKU - Fill SKU Mapping'!A:B,2,false),"Map"),"")</f>
        <v>IMP404X</v>
      </c>
      <c r="BY275" s="64">
        <f>IF(OR(F275="SALE",F275="REFUNDED")=TRUE,iferror(Vlookup(I275,'Listing SKU - Fill SKU Mapping'!A:D,4,false),"Map"),"")</f>
        <v>61.54</v>
      </c>
      <c r="BZ275" s="66">
        <f t="shared" si="1"/>
        <v>11.5</v>
      </c>
      <c r="CA275" s="66">
        <f t="shared" si="2"/>
        <v>73.04</v>
      </c>
      <c r="CB275" s="66">
        <f t="shared" si="3"/>
        <v>45.05</v>
      </c>
      <c r="CC275" s="64" t="str">
        <f>if(F275="REFUNDED",iferror(Vlookup(I275,'Listing SKU - Fill SKU Mapping'!A:B,2,false),"Map"),"")</f>
        <v/>
      </c>
      <c r="CD275" s="64" t="str">
        <f>if(F275="REFUNDED",iferror(Vlookup(I275,'Listing SKU - Fill SKU Mapping'!A:C,3,false),"Map"),"")</f>
        <v/>
      </c>
      <c r="CE275" s="64" t="str">
        <f t="shared" si="4"/>
        <v>2025</v>
      </c>
      <c r="CF275" s="64" t="str">
        <f t="shared" si="5"/>
        <v>September</v>
      </c>
      <c r="CG275" s="64" t="str">
        <f t="shared" si="6"/>
        <v/>
      </c>
    </row>
    <row r="276">
      <c r="A276" s="55">
        <v>2.0001E14</v>
      </c>
      <c r="B276" s="56">
        <v>1.0</v>
      </c>
      <c r="C276" s="57">
        <v>1.2903E14</v>
      </c>
      <c r="D276" s="58">
        <v>1.0</v>
      </c>
      <c r="F276" s="59" t="s">
        <v>100</v>
      </c>
      <c r="G276" s="60">
        <v>45919.0</v>
      </c>
      <c r="H276" s="58">
        <v>1.0</v>
      </c>
      <c r="I276" s="58" t="s">
        <v>291</v>
      </c>
      <c r="J276" s="61">
        <v>4.67129915064E11</v>
      </c>
      <c r="K276" s="63"/>
      <c r="L276" s="63"/>
      <c r="M276" s="63"/>
      <c r="N276" s="63"/>
      <c r="O276" s="63"/>
      <c r="P276" s="63"/>
      <c r="Q276" s="63"/>
      <c r="R276" s="63"/>
      <c r="S276" s="63"/>
      <c r="T276" s="58" t="s">
        <v>105</v>
      </c>
      <c r="U276" s="59">
        <v>82.36</v>
      </c>
      <c r="V276" s="59">
        <v>81.82</v>
      </c>
      <c r="W276" s="58">
        <v>6.16</v>
      </c>
      <c r="X276" s="58">
        <v>7.0</v>
      </c>
      <c r="Y276" s="68">
        <v>77.9</v>
      </c>
      <c r="Z276" s="69">
        <v>0.0</v>
      </c>
      <c r="AA276" s="68">
        <v>0.0</v>
      </c>
      <c r="AB276" s="68">
        <v>0.0</v>
      </c>
      <c r="AC276" s="68">
        <v>0.0</v>
      </c>
      <c r="AD276" s="68">
        <v>0.0</v>
      </c>
      <c r="AE276" s="68">
        <v>0.0</v>
      </c>
      <c r="AF276" s="68">
        <v>0.0</v>
      </c>
      <c r="AG276" s="68">
        <v>0.0</v>
      </c>
      <c r="AH276" s="68">
        <v>0.0</v>
      </c>
      <c r="AI276" s="68">
        <v>0.0</v>
      </c>
      <c r="AJ276" s="68">
        <v>0.0</v>
      </c>
      <c r="AK276" s="68">
        <v>0.0</v>
      </c>
      <c r="AL276" s="68">
        <v>0.0</v>
      </c>
      <c r="AM276" s="68">
        <v>0.0</v>
      </c>
      <c r="AN276" s="68">
        <v>0.0</v>
      </c>
      <c r="AO276" s="68">
        <v>4.46</v>
      </c>
      <c r="AP276" s="68">
        <v>0.0</v>
      </c>
      <c r="AQ276" s="68">
        <v>0.0</v>
      </c>
      <c r="AR276" s="68">
        <v>0.0</v>
      </c>
      <c r="AS276" s="68">
        <v>0.0</v>
      </c>
      <c r="AT276" s="68">
        <v>0.0</v>
      </c>
      <c r="AU276" s="68">
        <v>0.0</v>
      </c>
      <c r="AV276" s="68">
        <v>0.0</v>
      </c>
      <c r="AW276" s="68">
        <v>0.0</v>
      </c>
      <c r="AX276" s="68">
        <v>0.0</v>
      </c>
      <c r="AY276" s="68">
        <v>0.0</v>
      </c>
      <c r="AZ276" s="68">
        <v>0.0</v>
      </c>
      <c r="BA276" s="68">
        <v>0.0</v>
      </c>
      <c r="BB276" s="68">
        <v>4.46</v>
      </c>
      <c r="BC276" s="68" t="s">
        <v>106</v>
      </c>
      <c r="BD276" s="68"/>
      <c r="BF276" s="70">
        <v>87.98</v>
      </c>
      <c r="BG276" s="68">
        <v>-8.8</v>
      </c>
      <c r="BH276" s="68" t="s">
        <v>107</v>
      </c>
      <c r="BI276" s="68" t="s">
        <v>108</v>
      </c>
      <c r="BJ276" s="68" t="s">
        <v>109</v>
      </c>
      <c r="BK276" s="68" t="s">
        <v>333</v>
      </c>
      <c r="BM276" s="68"/>
      <c r="BN276" s="70" t="s">
        <v>111</v>
      </c>
      <c r="BO276" s="68" t="s">
        <v>112</v>
      </c>
      <c r="BP276" s="68" t="s">
        <v>113</v>
      </c>
      <c r="BQ276" s="68" t="s">
        <v>317</v>
      </c>
      <c r="BR276" s="68">
        <v>2.64</v>
      </c>
      <c r="BS276" s="68"/>
      <c r="BT276" s="70">
        <v>-10.08</v>
      </c>
      <c r="BU276" s="68" t="s">
        <v>318</v>
      </c>
      <c r="BV276" s="73"/>
      <c r="BW276" s="64" t="str">
        <f>if(OR(F276="SALE",F276="REFUNDED"),IFERROR(Vlookup(I276,'Listing SKU - Fill SKU Mapping'!A:C,3,false),"Map"),"")</f>
        <v>Keystone</v>
      </c>
      <c r="BX276" s="64" t="str">
        <f>IF(OR(F276="SALE",F276="REFUNDED")=TRUE,iferror(Vlookup(I276,'Listing SKU - Fill SKU Mapping'!A:B,2,false),"Map"),"")</f>
        <v>47218S</v>
      </c>
      <c r="BY276" s="64">
        <f>IF(OR(F276="SALE",F276="REFUNDED")=TRUE,iferror(Vlookup(I276,'Listing SKU - Fill SKU Mapping'!A:D,4,false),"Map"),"")</f>
        <v>34.71</v>
      </c>
      <c r="BZ276" s="66">
        <f t="shared" si="1"/>
        <v>11.5</v>
      </c>
      <c r="CA276" s="66">
        <f t="shared" si="2"/>
        <v>46.21</v>
      </c>
      <c r="CB276" s="66">
        <f t="shared" si="3"/>
        <v>35.61</v>
      </c>
      <c r="CC276" s="64" t="str">
        <f>if(F276="REFUNDED",iferror(Vlookup(I276,'Listing SKU - Fill SKU Mapping'!A:B,2,false),"Map"),"")</f>
        <v/>
      </c>
      <c r="CD276" s="64" t="str">
        <f>if(F276="REFUNDED",iferror(Vlookup(I276,'Listing SKU - Fill SKU Mapping'!A:C,3,false),"Map"),"")</f>
        <v/>
      </c>
      <c r="CE276" s="64" t="str">
        <f t="shared" si="4"/>
        <v>2025</v>
      </c>
      <c r="CF276" s="64" t="str">
        <f t="shared" si="5"/>
        <v>September</v>
      </c>
      <c r="CG276" s="64" t="str">
        <f t="shared" si="6"/>
        <v/>
      </c>
    </row>
    <row r="277">
      <c r="A277" s="55">
        <v>2.0001E14</v>
      </c>
      <c r="B277" s="56">
        <v>1.0</v>
      </c>
      <c r="C277" s="57">
        <v>1.2903E14</v>
      </c>
      <c r="D277" s="58">
        <v>1.0</v>
      </c>
      <c r="F277" s="59" t="s">
        <v>100</v>
      </c>
      <c r="G277" s="60">
        <v>45911.0</v>
      </c>
      <c r="H277" s="58">
        <v>1.0</v>
      </c>
      <c r="I277" s="58" t="s">
        <v>390</v>
      </c>
      <c r="J277" s="61">
        <v>4.60776230733E11</v>
      </c>
      <c r="K277" s="63"/>
      <c r="L277" s="63"/>
      <c r="M277" s="63"/>
      <c r="N277" s="63"/>
      <c r="O277" s="63"/>
      <c r="P277" s="63"/>
      <c r="Q277" s="63"/>
      <c r="R277" s="63"/>
      <c r="S277" s="63"/>
      <c r="T277" s="58" t="s">
        <v>105</v>
      </c>
      <c r="U277" s="59">
        <v>101.68</v>
      </c>
      <c r="V277" s="59">
        <v>100.42</v>
      </c>
      <c r="W277" s="58">
        <v>7.56</v>
      </c>
      <c r="X277" s="58">
        <v>7.0</v>
      </c>
      <c r="Y277" s="68">
        <v>93.93</v>
      </c>
      <c r="Z277" s="69">
        <v>0.0</v>
      </c>
      <c r="AA277" s="68">
        <v>0.0</v>
      </c>
      <c r="AB277" s="68">
        <v>0.0</v>
      </c>
      <c r="AC277" s="68">
        <v>0.0</v>
      </c>
      <c r="AD277" s="68">
        <v>0.0</v>
      </c>
      <c r="AE277" s="68">
        <v>0.0</v>
      </c>
      <c r="AF277" s="68">
        <v>0.0</v>
      </c>
      <c r="AG277" s="68">
        <v>0.0</v>
      </c>
      <c r="AH277" s="68">
        <v>0.0</v>
      </c>
      <c r="AI277" s="68">
        <v>0.0</v>
      </c>
      <c r="AJ277" s="68">
        <v>0.0</v>
      </c>
      <c r="AK277" s="68">
        <v>0.0</v>
      </c>
      <c r="AL277" s="68">
        <v>0.0</v>
      </c>
      <c r="AM277" s="68">
        <v>0.0</v>
      </c>
      <c r="AN277" s="68">
        <v>0.0</v>
      </c>
      <c r="AO277" s="68">
        <v>7.75</v>
      </c>
      <c r="AP277" s="68">
        <v>0.0</v>
      </c>
      <c r="AQ277" s="68">
        <v>0.0</v>
      </c>
      <c r="AR277" s="68">
        <v>0.0</v>
      </c>
      <c r="AS277" s="68">
        <v>0.0</v>
      </c>
      <c r="AT277" s="68">
        <v>0.0</v>
      </c>
      <c r="AU277" s="68">
        <v>0.0</v>
      </c>
      <c r="AV277" s="68">
        <v>0.0</v>
      </c>
      <c r="AW277" s="68">
        <v>0.0</v>
      </c>
      <c r="AX277" s="68">
        <v>0.0</v>
      </c>
      <c r="AY277" s="68">
        <v>0.0</v>
      </c>
      <c r="AZ277" s="68">
        <v>0.0</v>
      </c>
      <c r="BA277" s="68">
        <v>0.0</v>
      </c>
      <c r="BB277" s="68">
        <v>7.75</v>
      </c>
      <c r="BC277" s="68" t="s">
        <v>106</v>
      </c>
      <c r="BD277" s="68"/>
      <c r="BF277" s="70">
        <v>107.98</v>
      </c>
      <c r="BG277" s="68">
        <v>-10.8</v>
      </c>
      <c r="BH277" s="68" t="s">
        <v>107</v>
      </c>
      <c r="BI277" s="68" t="s">
        <v>108</v>
      </c>
      <c r="BJ277" s="68" t="s">
        <v>109</v>
      </c>
      <c r="BK277" s="68" t="s">
        <v>406</v>
      </c>
      <c r="BM277" s="68"/>
      <c r="BN277" s="70" t="s">
        <v>111</v>
      </c>
      <c r="BO277" s="68" t="s">
        <v>112</v>
      </c>
      <c r="BP277" s="68" t="s">
        <v>113</v>
      </c>
      <c r="BQ277" s="68" t="s">
        <v>317</v>
      </c>
      <c r="BR277" s="68">
        <v>3.24</v>
      </c>
      <c r="BS277" s="68"/>
      <c r="BT277" s="70">
        <v>-14.05</v>
      </c>
      <c r="BU277" s="68" t="s">
        <v>318</v>
      </c>
      <c r="BV277" s="73"/>
      <c r="BW277" s="64" t="str">
        <f>if(OR(F277="SALE",F277="REFUNDED"),IFERROR(Vlookup(I277,'Listing SKU - Fill SKU Mapping'!A:C,3,false),"Map"),"")</f>
        <v>Keystone</v>
      </c>
      <c r="BX277" s="64" t="str">
        <f>IF(OR(F277="SALE",F277="REFUNDED")=TRUE,iferror(Vlookup(I277,'Listing SKU - Fill SKU Mapping'!A:B,2,false),"Map"),"")</f>
        <v>IMP19X</v>
      </c>
      <c r="BY277" s="64">
        <f>IF(OR(F277="SALE",F277="REFUNDED")=TRUE,iferror(Vlookup(I277,'Listing SKU - Fill SKU Mapping'!A:D,4,false),"Map"),"")</f>
        <v>49.71</v>
      </c>
      <c r="BZ277" s="66">
        <f t="shared" si="1"/>
        <v>11.5</v>
      </c>
      <c r="CA277" s="66">
        <f t="shared" si="2"/>
        <v>61.21</v>
      </c>
      <c r="CB277" s="66">
        <f t="shared" si="3"/>
        <v>39.21</v>
      </c>
      <c r="CC277" s="64" t="str">
        <f>if(F277="REFUNDED",iferror(Vlookup(I277,'Listing SKU - Fill SKU Mapping'!A:B,2,false),"Map"),"")</f>
        <v/>
      </c>
      <c r="CD277" s="64" t="str">
        <f>if(F277="REFUNDED",iferror(Vlookup(I277,'Listing SKU - Fill SKU Mapping'!A:C,3,false),"Map"),"")</f>
        <v/>
      </c>
      <c r="CE277" s="64" t="str">
        <f t="shared" si="4"/>
        <v>2025</v>
      </c>
      <c r="CF277" s="64" t="str">
        <f t="shared" si="5"/>
        <v>September</v>
      </c>
      <c r="CG277" s="64" t="str">
        <f t="shared" si="6"/>
        <v/>
      </c>
    </row>
    <row r="278">
      <c r="A278" s="55">
        <v>2.0001E14</v>
      </c>
      <c r="B278" s="56">
        <v>1.0</v>
      </c>
      <c r="C278" s="57">
        <v>1.2902E14</v>
      </c>
      <c r="D278" s="58">
        <v>1.0</v>
      </c>
      <c r="F278" s="59" t="s">
        <v>128</v>
      </c>
      <c r="G278" s="60">
        <v>45907.0</v>
      </c>
      <c r="H278" s="58">
        <v>1.0</v>
      </c>
      <c r="I278" s="58" t="s">
        <v>397</v>
      </c>
      <c r="J278" s="61">
        <v>4.6456712584E11</v>
      </c>
      <c r="K278" s="63"/>
      <c r="L278" s="63"/>
      <c r="M278" s="63"/>
      <c r="N278" s="63"/>
      <c r="O278" s="63"/>
      <c r="P278" s="63"/>
      <c r="Q278" s="63"/>
      <c r="R278" s="63"/>
      <c r="S278" s="63"/>
      <c r="U278" s="59">
        <v>-99.57</v>
      </c>
      <c r="V278" s="59">
        <v>-85.54</v>
      </c>
      <c r="W278" s="58">
        <v>-6.44</v>
      </c>
      <c r="X278" s="58">
        <v>0.0</v>
      </c>
      <c r="Y278" s="68">
        <v>0.0</v>
      </c>
      <c r="Z278" s="69">
        <v>-91.98</v>
      </c>
      <c r="AA278" s="68">
        <v>0.0</v>
      </c>
      <c r="AB278" s="68">
        <v>0.0</v>
      </c>
      <c r="AC278" s="68">
        <v>0.0</v>
      </c>
      <c r="AD278" s="68">
        <v>0.0</v>
      </c>
      <c r="AE278" s="68">
        <v>0.0</v>
      </c>
      <c r="AF278" s="68">
        <v>0.0</v>
      </c>
      <c r="AG278" s="68">
        <v>0.0</v>
      </c>
      <c r="AH278" s="68">
        <v>0.0</v>
      </c>
      <c r="AI278" s="68">
        <v>0.0</v>
      </c>
      <c r="AJ278" s="68">
        <v>0.0</v>
      </c>
      <c r="AK278" s="68">
        <v>0.0</v>
      </c>
      <c r="AL278" s="68">
        <v>0.0</v>
      </c>
      <c r="AM278" s="68">
        <v>0.0</v>
      </c>
      <c r="AN278" s="68">
        <v>0.0</v>
      </c>
      <c r="AO278" s="68">
        <v>0.0</v>
      </c>
      <c r="AP278" s="68">
        <v>0.0</v>
      </c>
      <c r="AQ278" s="68">
        <v>0.0</v>
      </c>
      <c r="AR278" s="68">
        <v>0.0</v>
      </c>
      <c r="AS278" s="68">
        <v>0.0</v>
      </c>
      <c r="AT278" s="68">
        <v>-7.59</v>
      </c>
      <c r="AU278" s="68">
        <v>0.0</v>
      </c>
      <c r="AV278" s="68">
        <v>0.0</v>
      </c>
      <c r="AW278" s="68">
        <v>0.0</v>
      </c>
      <c r="AX278" s="68">
        <v>0.0</v>
      </c>
      <c r="AY278" s="68">
        <v>0.0</v>
      </c>
      <c r="AZ278" s="68">
        <v>0.0</v>
      </c>
      <c r="BA278" s="68">
        <v>0.0</v>
      </c>
      <c r="BB278" s="68">
        <v>-7.59</v>
      </c>
      <c r="BC278" s="68" t="s">
        <v>106</v>
      </c>
      <c r="BD278" s="68" t="s">
        <v>156</v>
      </c>
      <c r="BE278" s="68">
        <v>5010.0</v>
      </c>
      <c r="BF278" s="68"/>
      <c r="BH278" s="70" t="s">
        <v>107</v>
      </c>
      <c r="BI278" s="68" t="s">
        <v>108</v>
      </c>
      <c r="BK278" s="68"/>
      <c r="BL278" s="70">
        <v>1016.0</v>
      </c>
      <c r="BM278" s="68" t="s">
        <v>258</v>
      </c>
      <c r="BN278" s="68" t="s">
        <v>111</v>
      </c>
      <c r="BO278" s="68" t="s">
        <v>112</v>
      </c>
      <c r="BQ278" s="68"/>
      <c r="BV278" s="72"/>
      <c r="BW278" s="64" t="str">
        <f>if(OR(F278="SALE",F278="REFUNDED"),IFERROR(Vlookup(I278,'Listing SKU - Fill SKU Mapping'!A:C,3,false),"Map"),"")</f>
        <v>Keystone</v>
      </c>
      <c r="BX278" s="64" t="str">
        <f>IF(OR(F278="SALE",F278="REFUNDED")=TRUE,iferror(Vlookup(I278,'Listing SKU - Fill SKU Mapping'!A:B,2,false),"Map"),"")</f>
        <v>IMP360X</v>
      </c>
      <c r="BY278" s="64">
        <f>IF(OR(F278="SALE",F278="REFUNDED")=TRUE,iferror(Vlookup(I278,'Listing SKU - Fill SKU Mapping'!A:D,4,false),"Map"),"")</f>
        <v>43.79</v>
      </c>
      <c r="BZ278" s="66">
        <f t="shared" si="1"/>
        <v>11.5</v>
      </c>
      <c r="CA278" s="66">
        <f t="shared" si="2"/>
        <v>55.29</v>
      </c>
      <c r="CB278" s="64" t="str">
        <f t="shared" si="3"/>
        <v/>
      </c>
      <c r="CC278" s="64" t="str">
        <f>if(F278="REFUNDED",iferror(Vlookup(I278,'Listing SKU - Fill SKU Mapping'!A:B,2,false),"Map"),"")</f>
        <v>IMP360X</v>
      </c>
      <c r="CD278" s="64" t="str">
        <f>if(F278="REFUNDED",iferror(Vlookup(I278,'Listing SKU - Fill SKU Mapping'!A:C,3,false),"Map"),"")</f>
        <v>Keystone</v>
      </c>
      <c r="CE278" s="64" t="str">
        <f t="shared" si="4"/>
        <v>2025</v>
      </c>
      <c r="CF278" s="64" t="str">
        <f t="shared" si="5"/>
        <v>September</v>
      </c>
      <c r="CG278" s="64" t="str">
        <f t="shared" si="6"/>
        <v/>
      </c>
    </row>
    <row r="279">
      <c r="A279" s="55">
        <v>2.0001E14</v>
      </c>
      <c r="B279" s="56">
        <v>1.0</v>
      </c>
      <c r="C279" s="57">
        <v>1.2903E14</v>
      </c>
      <c r="D279" s="58">
        <v>1.0</v>
      </c>
      <c r="F279" s="59" t="s">
        <v>100</v>
      </c>
      <c r="G279" s="60">
        <v>45916.0</v>
      </c>
      <c r="H279" s="58">
        <v>1.0</v>
      </c>
      <c r="I279" s="58" t="s">
        <v>427</v>
      </c>
      <c r="J279" s="61">
        <v>4.6456712625E11</v>
      </c>
      <c r="K279" s="63"/>
      <c r="L279" s="63"/>
      <c r="M279" s="63"/>
      <c r="N279" s="63"/>
      <c r="O279" s="63"/>
      <c r="P279" s="63"/>
      <c r="Q279" s="63"/>
      <c r="R279" s="63"/>
      <c r="S279" s="63"/>
      <c r="T279" s="58" t="s">
        <v>105</v>
      </c>
      <c r="U279" s="59">
        <v>109.06</v>
      </c>
      <c r="V279" s="59">
        <v>93.91</v>
      </c>
      <c r="W279" s="58">
        <v>7.07</v>
      </c>
      <c r="X279" s="58">
        <v>7.0</v>
      </c>
      <c r="Y279" s="68">
        <v>100.98</v>
      </c>
      <c r="Z279" s="69">
        <v>0.0</v>
      </c>
      <c r="AA279" s="68">
        <v>0.0</v>
      </c>
      <c r="AB279" s="68">
        <v>0.0</v>
      </c>
      <c r="AC279" s="68">
        <v>0.0</v>
      </c>
      <c r="AD279" s="68">
        <v>0.0</v>
      </c>
      <c r="AE279" s="68">
        <v>0.0</v>
      </c>
      <c r="AF279" s="68">
        <v>0.0</v>
      </c>
      <c r="AG279" s="68">
        <v>0.0</v>
      </c>
      <c r="AH279" s="68">
        <v>0.0</v>
      </c>
      <c r="AI279" s="68">
        <v>0.0</v>
      </c>
      <c r="AJ279" s="68">
        <v>0.0</v>
      </c>
      <c r="AK279" s="68">
        <v>0.0</v>
      </c>
      <c r="AL279" s="68">
        <v>0.0</v>
      </c>
      <c r="AM279" s="68">
        <v>0.0</v>
      </c>
      <c r="AN279" s="68">
        <v>0.0</v>
      </c>
      <c r="AO279" s="68">
        <v>8.08</v>
      </c>
      <c r="AP279" s="68">
        <v>0.0</v>
      </c>
      <c r="AQ279" s="68">
        <v>0.0</v>
      </c>
      <c r="AR279" s="68">
        <v>0.0</v>
      </c>
      <c r="AS279" s="68">
        <v>0.0</v>
      </c>
      <c r="AT279" s="68">
        <v>0.0</v>
      </c>
      <c r="AU279" s="68">
        <v>0.0</v>
      </c>
      <c r="AV279" s="68">
        <v>0.0</v>
      </c>
      <c r="AW279" s="68">
        <v>0.0</v>
      </c>
      <c r="AX279" s="68">
        <v>0.0</v>
      </c>
      <c r="AY279" s="68">
        <v>0.0</v>
      </c>
      <c r="AZ279" s="68">
        <v>0.0</v>
      </c>
      <c r="BA279" s="68">
        <v>0.0</v>
      </c>
      <c r="BB279" s="68">
        <v>8.08</v>
      </c>
      <c r="BC279" s="68" t="s">
        <v>106</v>
      </c>
      <c r="BD279" s="68"/>
      <c r="BG279" s="70">
        <v>-10.1</v>
      </c>
      <c r="BH279" s="68" t="s">
        <v>107</v>
      </c>
      <c r="BI279" s="68" t="s">
        <v>108</v>
      </c>
      <c r="BJ279" s="68" t="s">
        <v>109</v>
      </c>
      <c r="BK279" s="68" t="s">
        <v>407</v>
      </c>
      <c r="BM279" s="68"/>
      <c r="BN279" s="70" t="s">
        <v>111</v>
      </c>
      <c r="BO279" s="68" t="s">
        <v>112</v>
      </c>
      <c r="BP279" s="68" t="s">
        <v>113</v>
      </c>
      <c r="BQ279" s="68" t="s">
        <v>114</v>
      </c>
      <c r="BR279" s="68">
        <v>3.03</v>
      </c>
      <c r="BS279" s="68"/>
      <c r="BV279" s="72"/>
      <c r="BW279" s="64" t="str">
        <f>if(OR(F279="SALE",F279="REFUNDED"),IFERROR(Vlookup(I279,'Listing SKU - Fill SKU Mapping'!A:C,3,false),"Map"),"")</f>
        <v>Keystone</v>
      </c>
      <c r="BX279" s="64" t="str">
        <f>IF(OR(F279="SALE",F279="REFUNDED")=TRUE,iferror(Vlookup(I279,'Listing SKU - Fill SKU Mapping'!A:B,2,false),"Map"),"")</f>
        <v>IMP447BLK</v>
      </c>
      <c r="BY279" s="64">
        <f>IF(OR(F279="SALE",F279="REFUNDED")=TRUE,iferror(Vlookup(I279,'Listing SKU - Fill SKU Mapping'!A:D,4,false),"Map"),"")</f>
        <v>49.71</v>
      </c>
      <c r="BZ279" s="66">
        <f t="shared" si="1"/>
        <v>11.5</v>
      </c>
      <c r="CA279" s="66">
        <f t="shared" si="2"/>
        <v>61.21</v>
      </c>
      <c r="CB279" s="66">
        <f t="shared" si="3"/>
        <v>32.7</v>
      </c>
      <c r="CC279" s="64" t="str">
        <f>if(F279="REFUNDED",iferror(Vlookup(I279,'Listing SKU - Fill SKU Mapping'!A:B,2,false),"Map"),"")</f>
        <v/>
      </c>
      <c r="CD279" s="64" t="str">
        <f>if(F279="REFUNDED",iferror(Vlookup(I279,'Listing SKU - Fill SKU Mapping'!A:C,3,false),"Map"),"")</f>
        <v/>
      </c>
      <c r="CE279" s="64" t="str">
        <f t="shared" si="4"/>
        <v>2025</v>
      </c>
      <c r="CF279" s="64" t="str">
        <f t="shared" si="5"/>
        <v>September</v>
      </c>
      <c r="CG279" s="64" t="str">
        <f t="shared" si="6"/>
        <v/>
      </c>
    </row>
    <row r="280">
      <c r="A280" s="55">
        <v>2.0001E14</v>
      </c>
      <c r="B280" s="56">
        <v>1.0</v>
      </c>
      <c r="C280" s="57">
        <v>1.2903E14</v>
      </c>
      <c r="D280" s="58">
        <v>1.0</v>
      </c>
      <c r="F280" s="59" t="s">
        <v>100</v>
      </c>
      <c r="G280" s="60">
        <v>45908.0</v>
      </c>
      <c r="H280" s="58">
        <v>1.0</v>
      </c>
      <c r="I280" s="58" t="s">
        <v>404</v>
      </c>
      <c r="J280" s="61">
        <v>4.69956342129E11</v>
      </c>
      <c r="K280" s="63"/>
      <c r="L280" s="63"/>
      <c r="M280" s="63"/>
      <c r="N280" s="63"/>
      <c r="O280" s="63"/>
      <c r="P280" s="63"/>
      <c r="Q280" s="63"/>
      <c r="R280" s="63"/>
      <c r="S280" s="63"/>
      <c r="T280" s="58" t="s">
        <v>105</v>
      </c>
      <c r="U280" s="59">
        <v>73.98</v>
      </c>
      <c r="V280" s="59">
        <v>68.8</v>
      </c>
      <c r="W280" s="58">
        <v>5.18</v>
      </c>
      <c r="X280" s="58">
        <v>7.0</v>
      </c>
      <c r="Y280" s="68">
        <v>73.98</v>
      </c>
      <c r="Z280" s="69">
        <v>0.0</v>
      </c>
      <c r="AA280" s="68">
        <v>0.0</v>
      </c>
      <c r="AB280" s="68">
        <v>0.0</v>
      </c>
      <c r="AC280" s="68">
        <v>0.0</v>
      </c>
      <c r="AD280" s="68">
        <v>0.0</v>
      </c>
      <c r="AE280" s="68">
        <v>0.0</v>
      </c>
      <c r="AF280" s="68">
        <v>0.0</v>
      </c>
      <c r="AG280" s="68">
        <v>0.0</v>
      </c>
      <c r="AH280" s="68">
        <v>0.0</v>
      </c>
      <c r="AI280" s="68">
        <v>0.0</v>
      </c>
      <c r="AJ280" s="68">
        <v>0.0</v>
      </c>
      <c r="AK280" s="68">
        <v>0.0</v>
      </c>
      <c r="AL280" s="68">
        <v>0.0</v>
      </c>
      <c r="AM280" s="68">
        <v>0.0</v>
      </c>
      <c r="AN280" s="68">
        <v>0.0</v>
      </c>
      <c r="AO280" s="68">
        <v>0.0</v>
      </c>
      <c r="AP280" s="68">
        <v>0.0</v>
      </c>
      <c r="AQ280" s="68">
        <v>0.0</v>
      </c>
      <c r="AR280" s="68">
        <v>0.0</v>
      </c>
      <c r="AS280" s="68">
        <v>0.0</v>
      </c>
      <c r="AT280" s="68">
        <v>0.0</v>
      </c>
      <c r="AU280" s="68">
        <v>0.0</v>
      </c>
      <c r="AV280" s="68">
        <v>0.0</v>
      </c>
      <c r="AW280" s="68">
        <v>0.0</v>
      </c>
      <c r="AX280" s="68">
        <v>0.0</v>
      </c>
      <c r="AY280" s="68">
        <v>0.0</v>
      </c>
      <c r="AZ280" s="68">
        <v>0.0</v>
      </c>
      <c r="BA280" s="68">
        <v>0.0</v>
      </c>
      <c r="BB280" s="68">
        <v>0.0</v>
      </c>
      <c r="BC280" s="68" t="s">
        <v>111</v>
      </c>
      <c r="BD280" s="68"/>
      <c r="BG280" s="70">
        <v>-7.4</v>
      </c>
      <c r="BH280" s="68" t="s">
        <v>107</v>
      </c>
      <c r="BI280" s="68" t="s">
        <v>108</v>
      </c>
      <c r="BJ280" s="68" t="s">
        <v>109</v>
      </c>
      <c r="BK280" s="68" t="s">
        <v>406</v>
      </c>
      <c r="BM280" s="68"/>
      <c r="BN280" s="70" t="s">
        <v>111</v>
      </c>
      <c r="BO280" s="68" t="s">
        <v>112</v>
      </c>
      <c r="BP280" s="68" t="s">
        <v>113</v>
      </c>
      <c r="BQ280" s="68" t="s">
        <v>114</v>
      </c>
      <c r="BR280" s="68">
        <v>2.22</v>
      </c>
      <c r="BS280" s="68"/>
      <c r="BV280" s="72"/>
      <c r="BW280" s="64" t="str">
        <f>if(OR(F280="SALE",F280="REFUNDED"),IFERROR(Vlookup(I280,'Listing SKU - Fill SKU Mapping'!A:C,3,false),"Map"),"")</f>
        <v>Keystone</v>
      </c>
      <c r="BX280" s="64" t="str">
        <f>IF(OR(F280="SALE",F280="REFUNDED")=TRUE,iferror(Vlookup(I280,'Listing SKU - Fill SKU Mapping'!A:B,2,false),"Map"),"")</f>
        <v>41015S</v>
      </c>
      <c r="BY280" s="64">
        <f>IF(OR(F280="SALE",F280="REFUNDED")=TRUE,iferror(Vlookup(I280,'Listing SKU - Fill SKU Mapping'!A:D,4,false),"Map"),"")</f>
        <v>26.04</v>
      </c>
      <c r="BZ280" s="66">
        <f t="shared" si="1"/>
        <v>11.5</v>
      </c>
      <c r="CA280" s="66">
        <f t="shared" si="2"/>
        <v>37.54</v>
      </c>
      <c r="CB280" s="66">
        <f t="shared" si="3"/>
        <v>31.26</v>
      </c>
      <c r="CC280" s="64" t="str">
        <f>if(F280="REFUNDED",iferror(Vlookup(I280,'Listing SKU - Fill SKU Mapping'!A:B,2,false),"Map"),"")</f>
        <v/>
      </c>
      <c r="CD280" s="64" t="str">
        <f>if(F280="REFUNDED",iferror(Vlookup(I280,'Listing SKU - Fill SKU Mapping'!A:C,3,false),"Map"),"")</f>
        <v/>
      </c>
      <c r="CE280" s="64" t="str">
        <f t="shared" si="4"/>
        <v>2025</v>
      </c>
      <c r="CF280" s="64" t="str">
        <f t="shared" si="5"/>
        <v>September</v>
      </c>
      <c r="CG280" s="64" t="str">
        <f t="shared" si="6"/>
        <v/>
      </c>
    </row>
    <row r="281">
      <c r="A281" s="55">
        <v>2.0001E14</v>
      </c>
      <c r="B281" s="56">
        <v>3.0</v>
      </c>
      <c r="C281" s="57">
        <v>1.2903E14</v>
      </c>
      <c r="D281" s="58">
        <v>3.0</v>
      </c>
      <c r="F281" s="59" t="s">
        <v>100</v>
      </c>
      <c r="G281" s="60">
        <v>45919.0</v>
      </c>
      <c r="H281" s="58">
        <v>1.0</v>
      </c>
      <c r="I281" s="58" t="s">
        <v>291</v>
      </c>
      <c r="J281" s="61">
        <v>4.67129915064E11</v>
      </c>
      <c r="K281" s="63"/>
      <c r="L281" s="63"/>
      <c r="M281" s="63"/>
      <c r="N281" s="63"/>
      <c r="O281" s="63"/>
      <c r="P281" s="63"/>
      <c r="Q281" s="63"/>
      <c r="R281" s="63"/>
      <c r="S281" s="63"/>
      <c r="T281" s="58" t="s">
        <v>105</v>
      </c>
      <c r="U281" s="59">
        <v>84.6</v>
      </c>
      <c r="V281" s="59">
        <v>81.82</v>
      </c>
      <c r="W281" s="58">
        <v>6.16</v>
      </c>
      <c r="X281" s="58">
        <v>7.0</v>
      </c>
      <c r="Y281" s="68">
        <v>77.9</v>
      </c>
      <c r="Z281" s="69">
        <v>0.0</v>
      </c>
      <c r="AA281" s="68">
        <v>0.0</v>
      </c>
      <c r="AB281" s="68">
        <v>0.0</v>
      </c>
      <c r="AC281" s="68">
        <v>0.0</v>
      </c>
      <c r="AD281" s="68">
        <v>0.0</v>
      </c>
      <c r="AE281" s="68">
        <v>0.0</v>
      </c>
      <c r="AF281" s="68">
        <v>0.0</v>
      </c>
      <c r="AG281" s="68">
        <v>0.0</v>
      </c>
      <c r="AH281" s="68">
        <v>0.0</v>
      </c>
      <c r="AI281" s="68">
        <v>0.0</v>
      </c>
      <c r="AJ281" s="68">
        <v>0.0</v>
      </c>
      <c r="AK281" s="68">
        <v>0.0</v>
      </c>
      <c r="AL281" s="68">
        <v>0.0</v>
      </c>
      <c r="AM281" s="68">
        <v>0.0</v>
      </c>
      <c r="AN281" s="68">
        <v>0.0</v>
      </c>
      <c r="AO281" s="68">
        <v>6.7</v>
      </c>
      <c r="AP281" s="68">
        <v>0.0</v>
      </c>
      <c r="AQ281" s="68">
        <v>0.0</v>
      </c>
      <c r="AR281" s="68">
        <v>0.0</v>
      </c>
      <c r="AS281" s="68">
        <v>0.0</v>
      </c>
      <c r="AT281" s="68">
        <v>0.0</v>
      </c>
      <c r="AU281" s="68">
        <v>0.0</v>
      </c>
      <c r="AV281" s="68">
        <v>0.0</v>
      </c>
      <c r="AW281" s="68">
        <v>0.0</v>
      </c>
      <c r="AX281" s="68">
        <v>0.0</v>
      </c>
      <c r="AY281" s="68">
        <v>0.0</v>
      </c>
      <c r="AZ281" s="68">
        <v>0.0</v>
      </c>
      <c r="BA281" s="68">
        <v>0.0</v>
      </c>
      <c r="BB281" s="68">
        <v>6.7</v>
      </c>
      <c r="BC281" s="68" t="s">
        <v>106</v>
      </c>
      <c r="BD281" s="68"/>
      <c r="BF281" s="70">
        <v>87.98</v>
      </c>
      <c r="BG281" s="68">
        <v>-8.8</v>
      </c>
      <c r="BH281" s="68" t="s">
        <v>107</v>
      </c>
      <c r="BI281" s="68" t="s">
        <v>108</v>
      </c>
      <c r="BJ281" s="68" t="s">
        <v>109</v>
      </c>
      <c r="BK281" s="68" t="s">
        <v>333</v>
      </c>
      <c r="BM281" s="68"/>
      <c r="BN281" s="70" t="s">
        <v>111</v>
      </c>
      <c r="BO281" s="68" t="s">
        <v>112</v>
      </c>
      <c r="BP281" s="68" t="s">
        <v>113</v>
      </c>
      <c r="BQ281" s="68" t="s">
        <v>317</v>
      </c>
      <c r="BR281" s="68">
        <v>2.64</v>
      </c>
      <c r="BS281" s="68"/>
      <c r="BT281" s="70">
        <v>-10.08</v>
      </c>
      <c r="BU281" s="68" t="s">
        <v>318</v>
      </c>
      <c r="BV281" s="73"/>
      <c r="BW281" s="64" t="str">
        <f>if(OR(F281="SALE",F281="REFUNDED"),IFERROR(Vlookup(I281,'Listing SKU - Fill SKU Mapping'!A:C,3,false),"Map"),"")</f>
        <v>Keystone</v>
      </c>
      <c r="BX281" s="64" t="str">
        <f>IF(OR(F281="SALE",F281="REFUNDED")=TRUE,iferror(Vlookup(I281,'Listing SKU - Fill SKU Mapping'!A:B,2,false),"Map"),"")</f>
        <v>47218S</v>
      </c>
      <c r="BY281" s="64">
        <f>IF(OR(F281="SALE",F281="REFUNDED")=TRUE,iferror(Vlookup(I281,'Listing SKU - Fill SKU Mapping'!A:D,4,false),"Map"),"")</f>
        <v>34.71</v>
      </c>
      <c r="BZ281" s="66">
        <f t="shared" si="1"/>
        <v>11.5</v>
      </c>
      <c r="CA281" s="66">
        <f t="shared" si="2"/>
        <v>46.21</v>
      </c>
      <c r="CB281" s="66">
        <f t="shared" si="3"/>
        <v>35.61</v>
      </c>
      <c r="CC281" s="64" t="str">
        <f>if(F281="REFUNDED",iferror(Vlookup(I281,'Listing SKU - Fill SKU Mapping'!A:B,2,false),"Map"),"")</f>
        <v/>
      </c>
      <c r="CD281" s="64" t="str">
        <f>if(F281="REFUNDED",iferror(Vlookup(I281,'Listing SKU - Fill SKU Mapping'!A:C,3,false),"Map"),"")</f>
        <v/>
      </c>
      <c r="CE281" s="64" t="str">
        <f t="shared" si="4"/>
        <v>2025</v>
      </c>
      <c r="CF281" s="64" t="str">
        <f t="shared" si="5"/>
        <v>September</v>
      </c>
      <c r="CG281" s="64" t="str">
        <f t="shared" si="6"/>
        <v/>
      </c>
    </row>
    <row r="282">
      <c r="A282" s="55">
        <v>2.0001E14</v>
      </c>
      <c r="B282" s="56">
        <v>1.0</v>
      </c>
      <c r="C282" s="57">
        <v>1.2902E14</v>
      </c>
      <c r="D282" s="58">
        <v>1.0</v>
      </c>
      <c r="F282" s="59" t="s">
        <v>128</v>
      </c>
      <c r="G282" s="60">
        <v>45915.0</v>
      </c>
      <c r="H282" s="58">
        <v>1.0</v>
      </c>
      <c r="I282" s="58" t="s">
        <v>402</v>
      </c>
      <c r="J282" s="61">
        <v>4.6077624019E11</v>
      </c>
      <c r="K282" s="63"/>
      <c r="L282" s="63"/>
      <c r="M282" s="63"/>
      <c r="N282" s="63"/>
      <c r="O282" s="63"/>
      <c r="P282" s="63"/>
      <c r="Q282" s="63"/>
      <c r="R282" s="63"/>
      <c r="S282" s="63"/>
      <c r="U282" s="59">
        <v>-134.6</v>
      </c>
      <c r="V282" s="59">
        <v>-118.09</v>
      </c>
      <c r="W282" s="58">
        <v>-8.89</v>
      </c>
      <c r="X282" s="58">
        <v>0.0</v>
      </c>
      <c r="Y282" s="68">
        <v>0.0</v>
      </c>
      <c r="Z282" s="69">
        <v>-126.98</v>
      </c>
      <c r="AA282" s="68">
        <v>0.0</v>
      </c>
      <c r="AB282" s="68">
        <v>0.0</v>
      </c>
      <c r="AC282" s="68">
        <v>0.0</v>
      </c>
      <c r="AD282" s="68">
        <v>0.0</v>
      </c>
      <c r="AE282" s="68">
        <v>0.0</v>
      </c>
      <c r="AF282" s="68">
        <v>0.0</v>
      </c>
      <c r="AG282" s="68">
        <v>0.0</v>
      </c>
      <c r="AH282" s="68">
        <v>0.0</v>
      </c>
      <c r="AI282" s="68">
        <v>0.0</v>
      </c>
      <c r="AJ282" s="68">
        <v>0.0</v>
      </c>
      <c r="AK282" s="68">
        <v>0.0</v>
      </c>
      <c r="AL282" s="68">
        <v>0.0</v>
      </c>
      <c r="AM282" s="68">
        <v>0.0</v>
      </c>
      <c r="AN282" s="68">
        <v>0.0</v>
      </c>
      <c r="AO282" s="68">
        <v>0.0</v>
      </c>
      <c r="AP282" s="68">
        <v>0.0</v>
      </c>
      <c r="AQ282" s="68">
        <v>0.0</v>
      </c>
      <c r="AR282" s="68">
        <v>0.0</v>
      </c>
      <c r="AS282" s="68">
        <v>0.0</v>
      </c>
      <c r="AT282" s="68">
        <v>-7.62</v>
      </c>
      <c r="AU282" s="68">
        <v>0.0</v>
      </c>
      <c r="AV282" s="68">
        <v>0.0</v>
      </c>
      <c r="AW282" s="68">
        <v>0.0</v>
      </c>
      <c r="AX282" s="68">
        <v>0.0</v>
      </c>
      <c r="AY282" s="68">
        <v>0.0</v>
      </c>
      <c r="AZ282" s="68">
        <v>0.0</v>
      </c>
      <c r="BA282" s="68">
        <v>0.0</v>
      </c>
      <c r="BB282" s="68">
        <v>-7.62</v>
      </c>
      <c r="BC282" s="68" t="s">
        <v>106</v>
      </c>
      <c r="BD282" s="68" t="s">
        <v>156</v>
      </c>
      <c r="BE282" s="68">
        <v>5010.0</v>
      </c>
      <c r="BF282" s="68"/>
      <c r="BH282" s="70" t="s">
        <v>107</v>
      </c>
      <c r="BI282" s="68" t="s">
        <v>108</v>
      </c>
      <c r="BK282" s="68"/>
      <c r="BL282" s="70">
        <v>1016.0</v>
      </c>
      <c r="BM282" s="68" t="s">
        <v>258</v>
      </c>
      <c r="BN282" s="68" t="s">
        <v>111</v>
      </c>
      <c r="BO282" s="68" t="s">
        <v>112</v>
      </c>
      <c r="BQ282" s="68"/>
      <c r="BV282" s="72"/>
      <c r="BW282" s="64" t="str">
        <f>if(OR(F282="SALE",F282="REFUNDED"),IFERROR(Vlookup(I282,'Listing SKU - Fill SKU Mapping'!A:C,3,false),"Map"),"")</f>
        <v>Keystone</v>
      </c>
      <c r="BX282" s="64" t="str">
        <f>IF(OR(F282="SALE",F282="REFUNDED")=TRUE,iferror(Vlookup(I282,'Listing SKU - Fill SKU Mapping'!A:B,2,false),"Map"),"")</f>
        <v>IMP406X</v>
      </c>
      <c r="BY282" s="64">
        <f>IF(OR(F282="SALE",F282="REFUNDED")=TRUE,iferror(Vlookup(I282,'Listing SKU - Fill SKU Mapping'!A:D,4,false),"Map"),"")</f>
        <v>61.94</v>
      </c>
      <c r="BZ282" s="66">
        <f t="shared" si="1"/>
        <v>11.5</v>
      </c>
      <c r="CA282" s="66">
        <f t="shared" si="2"/>
        <v>73.44</v>
      </c>
      <c r="CB282" s="64" t="str">
        <f t="shared" si="3"/>
        <v/>
      </c>
      <c r="CC282" s="64" t="str">
        <f>if(F282="REFUNDED",iferror(Vlookup(I282,'Listing SKU - Fill SKU Mapping'!A:B,2,false),"Map"),"")</f>
        <v>IMP406X</v>
      </c>
      <c r="CD282" s="64" t="str">
        <f>if(F282="REFUNDED",iferror(Vlookup(I282,'Listing SKU - Fill SKU Mapping'!A:C,3,false),"Map"),"")</f>
        <v>Keystone</v>
      </c>
      <c r="CE282" s="64" t="str">
        <f t="shared" si="4"/>
        <v>2025</v>
      </c>
      <c r="CF282" s="64" t="str">
        <f t="shared" si="5"/>
        <v>September</v>
      </c>
      <c r="CG282" s="64" t="str">
        <f t="shared" si="6"/>
        <v/>
      </c>
    </row>
    <row r="283">
      <c r="A283" s="55">
        <v>2.0001E14</v>
      </c>
      <c r="B283" s="56">
        <v>1.0</v>
      </c>
      <c r="C283" s="57">
        <v>1.2902E14</v>
      </c>
      <c r="D283" s="58">
        <v>1.0</v>
      </c>
      <c r="F283" s="59" t="s">
        <v>158</v>
      </c>
      <c r="G283" s="60">
        <v>45907.0</v>
      </c>
      <c r="H283" s="58">
        <v>1.0</v>
      </c>
      <c r="I283" s="58" t="s">
        <v>360</v>
      </c>
      <c r="J283" s="61">
        <v>4.60776272498E11</v>
      </c>
      <c r="K283" s="63"/>
      <c r="L283" s="63"/>
      <c r="M283" s="63"/>
      <c r="N283" s="63"/>
      <c r="O283" s="63"/>
      <c r="P283" s="63"/>
      <c r="Q283" s="63"/>
      <c r="R283" s="63"/>
      <c r="S283" s="63"/>
      <c r="T283" s="58" t="s">
        <v>105</v>
      </c>
      <c r="U283" s="59">
        <v>0.0</v>
      </c>
      <c r="V283" s="59">
        <v>-10.81</v>
      </c>
      <c r="W283" s="58">
        <v>0.0</v>
      </c>
      <c r="X283" s="58">
        <v>0.0</v>
      </c>
      <c r="Y283" s="70">
        <v>0.0</v>
      </c>
      <c r="Z283" s="69">
        <v>0.0</v>
      </c>
      <c r="AA283" s="68">
        <v>0.0</v>
      </c>
      <c r="AB283" s="68">
        <v>0.0</v>
      </c>
      <c r="AC283" s="68">
        <v>0.0</v>
      </c>
      <c r="AD283" s="68">
        <v>0.0</v>
      </c>
      <c r="AE283" s="68">
        <v>0.0</v>
      </c>
      <c r="AF283" s="68">
        <v>0.0</v>
      </c>
      <c r="AG283" s="68">
        <v>0.0</v>
      </c>
      <c r="AH283" s="68">
        <v>0.0</v>
      </c>
      <c r="AI283" s="68">
        <v>0.0</v>
      </c>
      <c r="AJ283" s="68">
        <v>0.0</v>
      </c>
      <c r="AK283" s="68">
        <v>0.0</v>
      </c>
      <c r="AL283" s="68">
        <v>0.0</v>
      </c>
      <c r="AM283" s="68">
        <v>0.0</v>
      </c>
      <c r="AN283" s="68">
        <v>0.0</v>
      </c>
      <c r="AO283" s="68">
        <v>0.0</v>
      </c>
      <c r="AP283" s="68">
        <v>0.0</v>
      </c>
      <c r="AQ283" s="68">
        <v>0.0</v>
      </c>
      <c r="AR283" s="68">
        <v>0.0</v>
      </c>
      <c r="AS283" s="68">
        <v>0.0</v>
      </c>
      <c r="AT283" s="68">
        <v>0.0</v>
      </c>
      <c r="AU283" s="68">
        <v>0.0</v>
      </c>
      <c r="AV283" s="68">
        <v>0.0</v>
      </c>
      <c r="AW283" s="68">
        <v>0.0</v>
      </c>
      <c r="AX283" s="68">
        <v>0.0</v>
      </c>
      <c r="AY283" s="68">
        <v>0.0</v>
      </c>
      <c r="AZ283" s="68">
        <v>0.0</v>
      </c>
      <c r="BA283" s="68">
        <v>0.0</v>
      </c>
      <c r="BB283" s="68">
        <v>0.0</v>
      </c>
      <c r="BC283" s="68" t="s">
        <v>106</v>
      </c>
      <c r="BD283" s="68" t="s">
        <v>163</v>
      </c>
      <c r="BE283" s="68">
        <v>5013.0</v>
      </c>
      <c r="BF283" s="68">
        <v>119.98</v>
      </c>
      <c r="BG283" s="68"/>
      <c r="BH283" s="70" t="s">
        <v>107</v>
      </c>
      <c r="BI283" s="68" t="s">
        <v>108</v>
      </c>
      <c r="BK283" s="68"/>
      <c r="BN283" s="70" t="s">
        <v>111</v>
      </c>
      <c r="BO283" s="68" t="s">
        <v>112</v>
      </c>
      <c r="BQ283" s="68"/>
      <c r="BV283" s="72"/>
      <c r="BW283" s="64" t="str">
        <f>if(OR(F283="SALE",F283="REFUNDED"),IFERROR(Vlookup(I283,'Listing SKU - Fill SKU Mapping'!A:C,3,false),"Map"),"")</f>
        <v/>
      </c>
      <c r="BX283" s="64" t="str">
        <f>IF(OR(F283="SALE",F283="REFUNDED")=TRUE,iferror(Vlookup(I283,'Listing SKU - Fill SKU Mapping'!A:B,2,false),"Map"),"")</f>
        <v/>
      </c>
      <c r="BY283" s="64" t="str">
        <f>IF(OR(F283="SALE",F283="REFUNDED")=TRUE,iferror(Vlookup(I283,'Listing SKU - Fill SKU Mapping'!A:D,4,false),"Map"),"")</f>
        <v/>
      </c>
      <c r="BZ283" s="66" t="str">
        <f t="shared" si="1"/>
        <v/>
      </c>
      <c r="CA283" s="64" t="str">
        <f t="shared" si="2"/>
        <v/>
      </c>
      <c r="CB283" s="64" t="str">
        <f t="shared" si="3"/>
        <v/>
      </c>
      <c r="CC283" s="64" t="str">
        <f>if(F283="REFUNDED",iferror(Vlookup(I283,'Listing SKU - Fill SKU Mapping'!A:B,2,false),"Map"),"")</f>
        <v/>
      </c>
      <c r="CD283" s="64" t="str">
        <f>if(F283="REFUNDED",iferror(Vlookup(I283,'Listing SKU - Fill SKU Mapping'!A:C,3,false),"Map"),"")</f>
        <v/>
      </c>
      <c r="CE283" s="64" t="str">
        <f t="shared" si="4"/>
        <v>2025</v>
      </c>
      <c r="CF283" s="64" t="str">
        <f t="shared" si="5"/>
        <v>September</v>
      </c>
      <c r="CG283" s="64" t="str">
        <f t="shared" si="6"/>
        <v/>
      </c>
    </row>
    <row r="284">
      <c r="A284" s="55">
        <v>2.0001E14</v>
      </c>
      <c r="B284" s="56">
        <v>1.0</v>
      </c>
      <c r="C284" s="57">
        <v>1.2903E14</v>
      </c>
      <c r="D284" s="58">
        <v>1.0</v>
      </c>
      <c r="F284" s="59" t="s">
        <v>100</v>
      </c>
      <c r="G284" s="60">
        <v>45914.0</v>
      </c>
      <c r="H284" s="58">
        <v>1.0</v>
      </c>
      <c r="I284" s="58" t="s">
        <v>428</v>
      </c>
      <c r="J284" s="61">
        <v>4.67129952656E11</v>
      </c>
      <c r="K284" s="63"/>
      <c r="L284" s="63"/>
      <c r="M284" s="63"/>
      <c r="N284" s="63"/>
      <c r="O284" s="63"/>
      <c r="P284" s="63"/>
      <c r="Q284" s="63"/>
      <c r="R284" s="63"/>
      <c r="S284" s="63"/>
      <c r="T284" s="58" t="s">
        <v>105</v>
      </c>
      <c r="U284" s="59">
        <v>126.57</v>
      </c>
      <c r="V284" s="59">
        <v>108.79</v>
      </c>
      <c r="W284" s="58">
        <v>8.19</v>
      </c>
      <c r="X284" s="58">
        <v>7.0</v>
      </c>
      <c r="Y284" s="68">
        <v>116.98</v>
      </c>
      <c r="Z284" s="69">
        <v>0.0</v>
      </c>
      <c r="AA284" s="68">
        <v>0.0</v>
      </c>
      <c r="AB284" s="68">
        <v>0.0</v>
      </c>
      <c r="AC284" s="68">
        <v>0.0</v>
      </c>
      <c r="AD284" s="68">
        <v>0.0</v>
      </c>
      <c r="AE284" s="68">
        <v>0.0</v>
      </c>
      <c r="AF284" s="68">
        <v>0.0</v>
      </c>
      <c r="AG284" s="68">
        <v>0.0</v>
      </c>
      <c r="AH284" s="68">
        <v>0.0</v>
      </c>
      <c r="AI284" s="68">
        <v>0.0</v>
      </c>
      <c r="AJ284" s="68">
        <v>0.0</v>
      </c>
      <c r="AK284" s="68">
        <v>0.0</v>
      </c>
      <c r="AL284" s="68">
        <v>0.0</v>
      </c>
      <c r="AM284" s="68">
        <v>0.0</v>
      </c>
      <c r="AN284" s="68">
        <v>0.0</v>
      </c>
      <c r="AO284" s="68">
        <v>9.59</v>
      </c>
      <c r="AP284" s="68">
        <v>0.0</v>
      </c>
      <c r="AQ284" s="68">
        <v>0.0</v>
      </c>
      <c r="AR284" s="68">
        <v>0.0</v>
      </c>
      <c r="AS284" s="68">
        <v>0.0</v>
      </c>
      <c r="AT284" s="68">
        <v>0.0</v>
      </c>
      <c r="AU284" s="68">
        <v>0.0</v>
      </c>
      <c r="AV284" s="68">
        <v>0.0</v>
      </c>
      <c r="AW284" s="68">
        <v>0.0</v>
      </c>
      <c r="AX284" s="68">
        <v>0.0</v>
      </c>
      <c r="AY284" s="68">
        <v>0.0</v>
      </c>
      <c r="AZ284" s="68">
        <v>0.0</v>
      </c>
      <c r="BA284" s="68">
        <v>0.0</v>
      </c>
      <c r="BB284" s="68">
        <v>9.59</v>
      </c>
      <c r="BC284" s="68" t="s">
        <v>106</v>
      </c>
      <c r="BD284" s="68"/>
      <c r="BG284" s="70">
        <v>-11.7</v>
      </c>
      <c r="BH284" s="68" t="s">
        <v>107</v>
      </c>
      <c r="BI284" s="68" t="s">
        <v>108</v>
      </c>
      <c r="BJ284" s="68" t="s">
        <v>109</v>
      </c>
      <c r="BK284" s="68" t="s">
        <v>407</v>
      </c>
      <c r="BM284" s="68"/>
      <c r="BN284" s="70" t="s">
        <v>111</v>
      </c>
      <c r="BO284" s="68" t="s">
        <v>112</v>
      </c>
      <c r="BP284" s="68" t="s">
        <v>113</v>
      </c>
      <c r="BQ284" s="68" t="s">
        <v>114</v>
      </c>
      <c r="BR284" s="68">
        <v>3.51</v>
      </c>
      <c r="BS284" s="68"/>
      <c r="BV284" s="72"/>
      <c r="BW284" s="64" t="str">
        <f>if(OR(F284="SALE",F284="REFUNDED"),IFERROR(Vlookup(I284,'Listing SKU - Fill SKU Mapping'!A:C,3,false),"Map"),"")</f>
        <v>Keystone</v>
      </c>
      <c r="BX284" s="64" t="str">
        <f>IF(OR(F284="SALE",F284="REFUNDED")=TRUE,iferror(Vlookup(I284,'Listing SKU - Fill SKU Mapping'!A:B,2,false),"Map"),"")</f>
        <v>54816BLK</v>
      </c>
      <c r="BY284" s="64">
        <f>IF(OR(F284="SALE",F284="REFUNDED")=TRUE,iferror(Vlookup(I284,'Listing SKU - Fill SKU Mapping'!A:D,4,false),"Map"),"")</f>
        <v>52.86</v>
      </c>
      <c r="BZ284" s="66">
        <f t="shared" si="1"/>
        <v>11.5</v>
      </c>
      <c r="CA284" s="66">
        <f t="shared" si="2"/>
        <v>64.36</v>
      </c>
      <c r="CB284" s="66">
        <f t="shared" si="3"/>
        <v>44.43</v>
      </c>
      <c r="CC284" s="64" t="str">
        <f>if(F284="REFUNDED",iferror(Vlookup(I284,'Listing SKU - Fill SKU Mapping'!A:B,2,false),"Map"),"")</f>
        <v/>
      </c>
      <c r="CD284" s="64" t="str">
        <f>if(F284="REFUNDED",iferror(Vlookup(I284,'Listing SKU - Fill SKU Mapping'!A:C,3,false),"Map"),"")</f>
        <v/>
      </c>
      <c r="CE284" s="64" t="str">
        <f t="shared" si="4"/>
        <v>2025</v>
      </c>
      <c r="CF284" s="64" t="str">
        <f t="shared" si="5"/>
        <v>September</v>
      </c>
      <c r="CG284" s="64" t="str">
        <f t="shared" si="6"/>
        <v/>
      </c>
    </row>
    <row r="285">
      <c r="A285" s="55">
        <v>2.0001E14</v>
      </c>
      <c r="B285" s="56">
        <v>1.0</v>
      </c>
      <c r="C285" s="57">
        <v>1.2903E14</v>
      </c>
      <c r="D285" s="58">
        <v>1.0</v>
      </c>
      <c r="F285" s="59" t="s">
        <v>100</v>
      </c>
      <c r="G285" s="60">
        <v>45908.0</v>
      </c>
      <c r="H285" s="58">
        <v>1.0</v>
      </c>
      <c r="I285" s="58" t="s">
        <v>429</v>
      </c>
      <c r="J285" s="61">
        <v>4.66885050545E11</v>
      </c>
      <c r="K285" s="63"/>
      <c r="L285" s="63"/>
      <c r="M285" s="63"/>
      <c r="N285" s="63"/>
      <c r="O285" s="63"/>
      <c r="P285" s="63"/>
      <c r="Q285" s="63"/>
      <c r="R285" s="63"/>
      <c r="S285" s="63"/>
      <c r="T285" s="58" t="s">
        <v>105</v>
      </c>
      <c r="U285" s="59">
        <v>71.7</v>
      </c>
      <c r="V285" s="59">
        <v>70.66</v>
      </c>
      <c r="W285" s="58">
        <v>5.32</v>
      </c>
      <c r="X285" s="58">
        <v>7.0</v>
      </c>
      <c r="Y285" s="68">
        <v>67.9</v>
      </c>
      <c r="Z285" s="69">
        <v>0.0</v>
      </c>
      <c r="AA285" s="68">
        <v>0.0</v>
      </c>
      <c r="AB285" s="68">
        <v>0.0</v>
      </c>
      <c r="AC285" s="68">
        <v>0.0</v>
      </c>
      <c r="AD285" s="68">
        <v>0.0</v>
      </c>
      <c r="AE285" s="68">
        <v>0.0</v>
      </c>
      <c r="AF285" s="68">
        <v>0.0</v>
      </c>
      <c r="AG285" s="68">
        <v>0.0</v>
      </c>
      <c r="AH285" s="68">
        <v>0.0</v>
      </c>
      <c r="AI285" s="68">
        <v>0.0</v>
      </c>
      <c r="AJ285" s="68">
        <v>0.0</v>
      </c>
      <c r="AK285" s="68">
        <v>0.0</v>
      </c>
      <c r="AL285" s="68">
        <v>0.0</v>
      </c>
      <c r="AM285" s="68">
        <v>0.0</v>
      </c>
      <c r="AN285" s="68">
        <v>0.0</v>
      </c>
      <c r="AO285" s="68">
        <v>3.8</v>
      </c>
      <c r="AP285" s="68">
        <v>0.0</v>
      </c>
      <c r="AQ285" s="68">
        <v>0.0</v>
      </c>
      <c r="AR285" s="68">
        <v>0.0</v>
      </c>
      <c r="AS285" s="68">
        <v>0.0</v>
      </c>
      <c r="AT285" s="68">
        <v>0.0</v>
      </c>
      <c r="AU285" s="68">
        <v>0.0</v>
      </c>
      <c r="AV285" s="68">
        <v>0.0</v>
      </c>
      <c r="AW285" s="68">
        <v>0.0</v>
      </c>
      <c r="AX285" s="68">
        <v>0.0</v>
      </c>
      <c r="AY285" s="68">
        <v>0.0</v>
      </c>
      <c r="AZ285" s="68">
        <v>0.0</v>
      </c>
      <c r="BA285" s="68">
        <v>0.0</v>
      </c>
      <c r="BB285" s="68">
        <v>3.8</v>
      </c>
      <c r="BC285" s="68" t="s">
        <v>106</v>
      </c>
      <c r="BD285" s="68"/>
      <c r="BF285" s="70">
        <v>75.98</v>
      </c>
      <c r="BG285" s="68">
        <v>-7.6</v>
      </c>
      <c r="BH285" s="68" t="s">
        <v>107</v>
      </c>
      <c r="BI285" s="68" t="s">
        <v>108</v>
      </c>
      <c r="BJ285" s="68" t="s">
        <v>109</v>
      </c>
      <c r="BK285" s="68" t="s">
        <v>406</v>
      </c>
      <c r="BM285" s="68"/>
      <c r="BN285" s="70" t="s">
        <v>111</v>
      </c>
      <c r="BO285" s="68" t="s">
        <v>112</v>
      </c>
      <c r="BP285" s="68" t="s">
        <v>113</v>
      </c>
      <c r="BQ285" s="68" t="s">
        <v>317</v>
      </c>
      <c r="BR285" s="68">
        <v>2.28</v>
      </c>
      <c r="BS285" s="68"/>
      <c r="BT285" s="70">
        <v>-8.08</v>
      </c>
      <c r="BU285" s="68" t="s">
        <v>318</v>
      </c>
      <c r="BV285" s="73"/>
      <c r="BW285" s="64" t="str">
        <f>if(OR(F285="SALE",F285="REFUNDED"),IFERROR(Vlookup(I285,'Listing SKU - Fill SKU Mapping'!A:C,3,false),"Map"),"")</f>
        <v>Keystone</v>
      </c>
      <c r="BX285" s="64" t="str">
        <f>IF(OR(F285="SALE",F285="REFUNDED")=TRUE,iferror(Vlookup(I285,'Listing SKU - Fill SKU Mapping'!A:B,2,false),"Map"),"")</f>
        <v>103816BLK</v>
      </c>
      <c r="BY285" s="64">
        <f>IF(OR(F285="SALE",F285="REFUNDED")=TRUE,iferror(Vlookup(I285,'Listing SKU - Fill SKU Mapping'!A:D,4,false),"Map"),"")</f>
        <v>27.22</v>
      </c>
      <c r="BZ285" s="66">
        <f t="shared" si="1"/>
        <v>11.5</v>
      </c>
      <c r="CA285" s="66">
        <f t="shared" si="2"/>
        <v>38.72</v>
      </c>
      <c r="CB285" s="66">
        <f t="shared" si="3"/>
        <v>31.94</v>
      </c>
      <c r="CC285" s="64" t="str">
        <f>if(F285="REFUNDED",iferror(Vlookup(I285,'Listing SKU - Fill SKU Mapping'!A:B,2,false),"Map"),"")</f>
        <v/>
      </c>
      <c r="CD285" s="64" t="str">
        <f>if(F285="REFUNDED",iferror(Vlookup(I285,'Listing SKU - Fill SKU Mapping'!A:C,3,false),"Map"),"")</f>
        <v/>
      </c>
      <c r="CE285" s="64" t="str">
        <f t="shared" si="4"/>
        <v>2025</v>
      </c>
      <c r="CF285" s="64" t="str">
        <f t="shared" si="5"/>
        <v>September</v>
      </c>
      <c r="CG285" s="64" t="str">
        <f t="shared" si="6"/>
        <v/>
      </c>
    </row>
    <row r="286">
      <c r="A286" s="55">
        <v>2.0001E14</v>
      </c>
      <c r="B286" s="56">
        <v>1.0</v>
      </c>
      <c r="C286" s="57">
        <v>1.2902E14</v>
      </c>
      <c r="D286" s="58">
        <v>1.0</v>
      </c>
      <c r="F286" s="59" t="s">
        <v>158</v>
      </c>
      <c r="G286" s="60">
        <v>45914.0</v>
      </c>
      <c r="H286" s="58">
        <v>1.0</v>
      </c>
      <c r="I286" s="58" t="s">
        <v>337</v>
      </c>
      <c r="J286" s="61">
        <v>4.60776238326E11</v>
      </c>
      <c r="K286" s="63"/>
      <c r="L286" s="63"/>
      <c r="M286" s="63"/>
      <c r="N286" s="63"/>
      <c r="O286" s="63"/>
      <c r="P286" s="63"/>
      <c r="Q286" s="63"/>
      <c r="R286" s="63"/>
      <c r="S286" s="63"/>
      <c r="T286" s="58" t="s">
        <v>105</v>
      </c>
      <c r="U286" s="59">
        <v>0.0</v>
      </c>
      <c r="V286" s="59">
        <v>-10.81</v>
      </c>
      <c r="W286" s="58">
        <v>0.0</v>
      </c>
      <c r="X286" s="58">
        <v>0.0</v>
      </c>
      <c r="Y286" s="70">
        <v>0.0</v>
      </c>
      <c r="Z286" s="69">
        <v>0.0</v>
      </c>
      <c r="AA286" s="68">
        <v>0.0</v>
      </c>
      <c r="AB286" s="68">
        <v>0.0</v>
      </c>
      <c r="AC286" s="68">
        <v>0.0</v>
      </c>
      <c r="AD286" s="68">
        <v>0.0</v>
      </c>
      <c r="AE286" s="68">
        <v>0.0</v>
      </c>
      <c r="AF286" s="68">
        <v>0.0</v>
      </c>
      <c r="AG286" s="68">
        <v>0.0</v>
      </c>
      <c r="AH286" s="68">
        <v>0.0</v>
      </c>
      <c r="AI286" s="68">
        <v>0.0</v>
      </c>
      <c r="AJ286" s="68">
        <v>0.0</v>
      </c>
      <c r="AK286" s="68">
        <v>0.0</v>
      </c>
      <c r="AL286" s="68">
        <v>0.0</v>
      </c>
      <c r="AM286" s="68">
        <v>0.0</v>
      </c>
      <c r="AN286" s="68">
        <v>0.0</v>
      </c>
      <c r="AO286" s="68">
        <v>0.0</v>
      </c>
      <c r="AP286" s="68">
        <v>0.0</v>
      </c>
      <c r="AQ286" s="68">
        <v>0.0</v>
      </c>
      <c r="AR286" s="68">
        <v>0.0</v>
      </c>
      <c r="AS286" s="68">
        <v>0.0</v>
      </c>
      <c r="AT286" s="68">
        <v>0.0</v>
      </c>
      <c r="AU286" s="68">
        <v>0.0</v>
      </c>
      <c r="AV286" s="68">
        <v>0.0</v>
      </c>
      <c r="AW286" s="68">
        <v>0.0</v>
      </c>
      <c r="AX286" s="68">
        <v>0.0</v>
      </c>
      <c r="AY286" s="68">
        <v>0.0</v>
      </c>
      <c r="AZ286" s="68">
        <v>0.0</v>
      </c>
      <c r="BA286" s="68">
        <v>0.0</v>
      </c>
      <c r="BB286" s="68">
        <v>0.0</v>
      </c>
      <c r="BC286" s="68" t="s">
        <v>106</v>
      </c>
      <c r="BD286" s="68" t="s">
        <v>163</v>
      </c>
      <c r="BE286" s="68">
        <v>5013.0</v>
      </c>
      <c r="BF286" s="68"/>
      <c r="BH286" s="70" t="s">
        <v>107</v>
      </c>
      <c r="BI286" s="68" t="s">
        <v>108</v>
      </c>
      <c r="BK286" s="68"/>
      <c r="BN286" s="70" t="s">
        <v>111</v>
      </c>
      <c r="BO286" s="68" t="s">
        <v>112</v>
      </c>
      <c r="BQ286" s="68"/>
      <c r="BV286" s="72"/>
      <c r="BW286" s="64" t="str">
        <f>if(OR(F286="SALE",F286="REFUNDED"),IFERROR(Vlookup(I286,'Listing SKU - Fill SKU Mapping'!A:C,3,false),"Map"),"")</f>
        <v/>
      </c>
      <c r="BX286" s="64" t="str">
        <f>IF(OR(F286="SALE",F286="REFUNDED")=TRUE,iferror(Vlookup(I286,'Listing SKU - Fill SKU Mapping'!A:B,2,false),"Map"),"")</f>
        <v/>
      </c>
      <c r="BY286" s="64" t="str">
        <f>IF(OR(F286="SALE",F286="REFUNDED")=TRUE,iferror(Vlookup(I286,'Listing SKU - Fill SKU Mapping'!A:D,4,false),"Map"),"")</f>
        <v/>
      </c>
      <c r="BZ286" s="66" t="str">
        <f t="shared" si="1"/>
        <v/>
      </c>
      <c r="CA286" s="64" t="str">
        <f t="shared" si="2"/>
        <v/>
      </c>
      <c r="CB286" s="64" t="str">
        <f t="shared" si="3"/>
        <v/>
      </c>
      <c r="CC286" s="64" t="str">
        <f>if(F286="REFUNDED",iferror(Vlookup(I286,'Listing SKU - Fill SKU Mapping'!A:B,2,false),"Map"),"")</f>
        <v/>
      </c>
      <c r="CD286" s="64" t="str">
        <f>if(F286="REFUNDED",iferror(Vlookup(I286,'Listing SKU - Fill SKU Mapping'!A:C,3,false),"Map"),"")</f>
        <v/>
      </c>
      <c r="CE286" s="64" t="str">
        <f t="shared" si="4"/>
        <v>2025</v>
      </c>
      <c r="CF286" s="64" t="str">
        <f t="shared" si="5"/>
        <v>September</v>
      </c>
      <c r="CG286" s="64" t="str">
        <f t="shared" si="6"/>
        <v/>
      </c>
    </row>
    <row r="287">
      <c r="A287" s="55">
        <v>2.0001E14</v>
      </c>
      <c r="B287" s="56">
        <v>1.0</v>
      </c>
      <c r="C287" s="57">
        <v>1.2903E14</v>
      </c>
      <c r="D287" s="58">
        <v>1.0</v>
      </c>
      <c r="F287" s="59" t="s">
        <v>100</v>
      </c>
      <c r="G287" s="60">
        <v>45915.0</v>
      </c>
      <c r="H287" s="58">
        <v>1.0</v>
      </c>
      <c r="I287" s="58" t="s">
        <v>220</v>
      </c>
      <c r="J287" s="61">
        <v>4.60776238135E11</v>
      </c>
      <c r="K287" s="63"/>
      <c r="L287" s="63"/>
      <c r="M287" s="63"/>
      <c r="N287" s="63"/>
      <c r="O287" s="63"/>
      <c r="P287" s="63"/>
      <c r="Q287" s="63"/>
      <c r="R287" s="63"/>
      <c r="S287" s="63"/>
      <c r="T287" s="58" t="s">
        <v>105</v>
      </c>
      <c r="U287" s="59">
        <v>106.89</v>
      </c>
      <c r="V287" s="59">
        <v>102.28</v>
      </c>
      <c r="W287" s="58">
        <v>7.7</v>
      </c>
      <c r="X287" s="58">
        <v>7.0</v>
      </c>
      <c r="Y287" s="68">
        <v>99.9</v>
      </c>
      <c r="Z287" s="69">
        <v>0.0</v>
      </c>
      <c r="AA287" s="68">
        <v>0.0</v>
      </c>
      <c r="AB287" s="68">
        <v>0.0</v>
      </c>
      <c r="AC287" s="68">
        <v>0.0</v>
      </c>
      <c r="AD287" s="68">
        <v>0.0</v>
      </c>
      <c r="AE287" s="68">
        <v>0.0</v>
      </c>
      <c r="AF287" s="68">
        <v>0.0</v>
      </c>
      <c r="AG287" s="68">
        <v>0.0</v>
      </c>
      <c r="AH287" s="68">
        <v>0.0</v>
      </c>
      <c r="AI287" s="68">
        <v>0.0</v>
      </c>
      <c r="AJ287" s="68">
        <v>0.0</v>
      </c>
      <c r="AK287" s="68">
        <v>0.0</v>
      </c>
      <c r="AL287" s="68">
        <v>0.0</v>
      </c>
      <c r="AM287" s="68">
        <v>0.0</v>
      </c>
      <c r="AN287" s="68">
        <v>0.0</v>
      </c>
      <c r="AO287" s="68">
        <v>6.99</v>
      </c>
      <c r="AP287" s="68">
        <v>0.0</v>
      </c>
      <c r="AQ287" s="68">
        <v>0.0</v>
      </c>
      <c r="AR287" s="68">
        <v>0.0</v>
      </c>
      <c r="AS287" s="68">
        <v>0.0</v>
      </c>
      <c r="AT287" s="68">
        <v>0.0</v>
      </c>
      <c r="AU287" s="68">
        <v>0.0</v>
      </c>
      <c r="AV287" s="68">
        <v>0.0</v>
      </c>
      <c r="AW287" s="68">
        <v>0.0</v>
      </c>
      <c r="AX287" s="68">
        <v>0.0</v>
      </c>
      <c r="AY287" s="68">
        <v>0.0</v>
      </c>
      <c r="AZ287" s="68">
        <v>0.0</v>
      </c>
      <c r="BA287" s="68">
        <v>0.0</v>
      </c>
      <c r="BB287" s="68">
        <v>6.99</v>
      </c>
      <c r="BC287" s="68" t="s">
        <v>106</v>
      </c>
      <c r="BD287" s="68"/>
      <c r="BF287" s="70">
        <v>109.98</v>
      </c>
      <c r="BG287" s="68">
        <v>-11.0</v>
      </c>
      <c r="BH287" s="68" t="s">
        <v>107</v>
      </c>
      <c r="BI287" s="68" t="s">
        <v>108</v>
      </c>
      <c r="BJ287" s="68" t="s">
        <v>109</v>
      </c>
      <c r="BK287" s="68" t="s">
        <v>407</v>
      </c>
      <c r="BM287" s="68"/>
      <c r="BN287" s="70" t="s">
        <v>111</v>
      </c>
      <c r="BO287" s="68" t="s">
        <v>112</v>
      </c>
      <c r="BP287" s="68" t="s">
        <v>113</v>
      </c>
      <c r="BQ287" s="68" t="s">
        <v>317</v>
      </c>
      <c r="BR287" s="68">
        <v>3.3</v>
      </c>
      <c r="BS287" s="68"/>
      <c r="BT287" s="70">
        <v>-10.08</v>
      </c>
      <c r="BU287" s="68" t="s">
        <v>318</v>
      </c>
      <c r="BV287" s="73"/>
      <c r="BW287" s="64" t="str">
        <f>if(OR(F287="SALE",F287="REFUNDED"),IFERROR(Vlookup(I287,'Listing SKU - Fill SKU Mapping'!A:C,3,false),"Map"),"")</f>
        <v>Keystone</v>
      </c>
      <c r="BX287" s="64" t="str">
        <f>IF(OR(F287="SALE",F287="REFUNDED")=TRUE,iferror(Vlookup(I287,'Listing SKU - Fill SKU Mapping'!A:B,2,false),"Map"),"")</f>
        <v>IMP409BLK</v>
      </c>
      <c r="BY287" s="64">
        <f>IF(OR(F287="SALE",F287="REFUNDED")=TRUE,iferror(Vlookup(I287,'Listing SKU - Fill SKU Mapping'!A:D,4,false),"Map"),"")</f>
        <v>50.49</v>
      </c>
      <c r="BZ287" s="66">
        <f t="shared" si="1"/>
        <v>11.5</v>
      </c>
      <c r="CA287" s="66">
        <f t="shared" si="2"/>
        <v>61.99</v>
      </c>
      <c r="CB287" s="66">
        <f t="shared" si="3"/>
        <v>40.29</v>
      </c>
      <c r="CC287" s="64" t="str">
        <f>if(F287="REFUNDED",iferror(Vlookup(I287,'Listing SKU - Fill SKU Mapping'!A:B,2,false),"Map"),"")</f>
        <v/>
      </c>
      <c r="CD287" s="64" t="str">
        <f>if(F287="REFUNDED",iferror(Vlookup(I287,'Listing SKU - Fill SKU Mapping'!A:C,3,false),"Map"),"")</f>
        <v/>
      </c>
      <c r="CE287" s="64" t="str">
        <f t="shared" si="4"/>
        <v>2025</v>
      </c>
      <c r="CF287" s="64" t="str">
        <f t="shared" si="5"/>
        <v>September</v>
      </c>
      <c r="CG287" s="64" t="str">
        <f t="shared" si="6"/>
        <v/>
      </c>
    </row>
    <row r="288">
      <c r="A288" s="55">
        <v>2.0001E14</v>
      </c>
      <c r="B288" s="56">
        <v>1.0</v>
      </c>
      <c r="C288" s="57">
        <v>1.2903E14</v>
      </c>
      <c r="D288" s="58">
        <v>1.0</v>
      </c>
      <c r="F288" s="59" t="s">
        <v>100</v>
      </c>
      <c r="G288" s="60">
        <v>45929.0</v>
      </c>
      <c r="H288" s="58">
        <v>1.0</v>
      </c>
      <c r="I288" s="58" t="s">
        <v>371</v>
      </c>
      <c r="J288" s="61">
        <v>4.67129923199E11</v>
      </c>
      <c r="K288" s="63"/>
      <c r="L288" s="63"/>
      <c r="M288" s="63"/>
      <c r="N288" s="63"/>
      <c r="O288" s="63"/>
      <c r="P288" s="63"/>
      <c r="Q288" s="63"/>
      <c r="R288" s="63"/>
      <c r="S288" s="63"/>
      <c r="T288" s="58" t="s">
        <v>105</v>
      </c>
      <c r="U288" s="59">
        <v>70.09</v>
      </c>
      <c r="V288" s="59">
        <v>68.8</v>
      </c>
      <c r="W288" s="58">
        <v>5.18</v>
      </c>
      <c r="X288" s="58">
        <v>7.0</v>
      </c>
      <c r="Y288" s="58">
        <v>64.9</v>
      </c>
      <c r="Z288" s="59">
        <v>0.0</v>
      </c>
      <c r="AA288" s="58">
        <v>0.0</v>
      </c>
      <c r="AB288" s="58">
        <v>0.0</v>
      </c>
      <c r="AC288" s="58">
        <v>0.0</v>
      </c>
      <c r="AD288" s="58">
        <v>0.0</v>
      </c>
      <c r="AE288" s="58">
        <v>0.0</v>
      </c>
      <c r="AF288" s="58">
        <v>0.0</v>
      </c>
      <c r="AG288" s="58">
        <v>0.0</v>
      </c>
      <c r="AH288" s="58">
        <v>0.0</v>
      </c>
      <c r="AI288" s="58">
        <v>0.0</v>
      </c>
      <c r="AJ288" s="58">
        <v>0.0</v>
      </c>
      <c r="AK288" s="58">
        <v>0.0</v>
      </c>
      <c r="AL288" s="58">
        <v>0.0</v>
      </c>
      <c r="AM288" s="58">
        <v>0.0</v>
      </c>
      <c r="AN288" s="58">
        <v>0.0</v>
      </c>
      <c r="AO288" s="58">
        <v>5.19</v>
      </c>
      <c r="AP288" s="58">
        <v>0.0</v>
      </c>
      <c r="AQ288" s="58">
        <v>0.0</v>
      </c>
      <c r="AR288" s="58">
        <v>0.0</v>
      </c>
      <c r="AS288" s="58">
        <v>0.0</v>
      </c>
      <c r="AT288" s="58">
        <v>0.0</v>
      </c>
      <c r="AU288" s="58">
        <v>0.0</v>
      </c>
      <c r="AV288" s="58">
        <v>0.0</v>
      </c>
      <c r="AW288" s="58">
        <v>0.0</v>
      </c>
      <c r="AX288" s="58">
        <v>0.0</v>
      </c>
      <c r="AY288" s="58">
        <v>0.0</v>
      </c>
      <c r="AZ288" s="58">
        <v>0.0</v>
      </c>
      <c r="BA288" s="58">
        <v>0.0</v>
      </c>
      <c r="BB288" s="58">
        <v>5.19</v>
      </c>
      <c r="BC288" s="70" t="s">
        <v>106</v>
      </c>
      <c r="BD288" s="68"/>
      <c r="BF288" s="70">
        <v>73.98</v>
      </c>
      <c r="BG288" s="68">
        <v>-7.4</v>
      </c>
      <c r="BH288" s="68" t="s">
        <v>107</v>
      </c>
      <c r="BI288" s="68" t="s">
        <v>108</v>
      </c>
      <c r="BJ288" s="68" t="s">
        <v>109</v>
      </c>
      <c r="BK288" s="68" t="s">
        <v>430</v>
      </c>
      <c r="BM288" s="68"/>
      <c r="BN288" s="70" t="s">
        <v>111</v>
      </c>
      <c r="BO288" s="68" t="s">
        <v>112</v>
      </c>
      <c r="BP288" s="68" t="s">
        <v>113</v>
      </c>
      <c r="BQ288" s="68" t="s">
        <v>317</v>
      </c>
      <c r="BR288" s="68">
        <v>2.22</v>
      </c>
      <c r="BS288" s="68"/>
      <c r="BT288" s="70">
        <v>-9.08</v>
      </c>
      <c r="BU288" s="68" t="s">
        <v>318</v>
      </c>
      <c r="BV288" s="73"/>
      <c r="BW288" s="64" t="str">
        <f>if(OR(F288="SALE",F288="REFUNDED"),IFERROR(Vlookup(I288,'Listing SKU - Fill SKU Mapping'!A:C,3,false),"Map"),"")</f>
        <v>Keystone</v>
      </c>
      <c r="BX288" s="64" t="str">
        <f>IF(OR(F288="SALE",F288="REFUNDED")=TRUE,iferror(Vlookup(I288,'Listing SKU - Fill SKU Mapping'!A:B,2,false),"Map"),"")</f>
        <v>52816BLK</v>
      </c>
      <c r="BY288" s="64">
        <f>IF(OR(F288="SALE",F288="REFUNDED")=TRUE,iferror(Vlookup(I288,'Listing SKU - Fill SKU Mapping'!A:D,4,false),"Map"),"")</f>
        <v>25.64</v>
      </c>
      <c r="BZ288" s="66">
        <f t="shared" si="1"/>
        <v>11.5</v>
      </c>
      <c r="CA288" s="66">
        <f t="shared" si="2"/>
        <v>37.14</v>
      </c>
      <c r="CB288" s="66">
        <f t="shared" si="3"/>
        <v>31.66</v>
      </c>
      <c r="CC288" s="64" t="str">
        <f>if(F288="REFUNDED",iferror(Vlookup(I288,'Listing SKU - Fill SKU Mapping'!A:B,2,false),"Map"),"")</f>
        <v/>
      </c>
      <c r="CD288" s="64" t="str">
        <f>if(F288="REFUNDED",iferror(Vlookup(I288,'Listing SKU - Fill SKU Mapping'!A:C,3,false),"Map"),"")</f>
        <v/>
      </c>
      <c r="CE288" s="64" t="str">
        <f t="shared" si="4"/>
        <v>2025</v>
      </c>
      <c r="CF288" s="64" t="str">
        <f t="shared" si="5"/>
        <v>September</v>
      </c>
      <c r="CG288" s="64" t="str">
        <f t="shared" si="6"/>
        <v/>
      </c>
    </row>
    <row r="289">
      <c r="A289" s="55">
        <v>2.0001E14</v>
      </c>
      <c r="B289" s="56">
        <v>2.0</v>
      </c>
      <c r="C289" s="57">
        <v>1.2903E14</v>
      </c>
      <c r="D289" s="58">
        <v>2.0</v>
      </c>
      <c r="F289" s="59" t="s">
        <v>100</v>
      </c>
      <c r="G289" s="60">
        <v>45929.0</v>
      </c>
      <c r="H289" s="58">
        <v>1.0</v>
      </c>
      <c r="I289" s="58" t="s">
        <v>328</v>
      </c>
      <c r="J289" s="61">
        <v>4.67129950621E11</v>
      </c>
      <c r="K289" s="63"/>
      <c r="L289" s="63"/>
      <c r="M289" s="63"/>
      <c r="N289" s="63"/>
      <c r="O289" s="63"/>
      <c r="P289" s="63"/>
      <c r="Q289" s="63"/>
      <c r="R289" s="63"/>
      <c r="S289" s="63"/>
      <c r="T289" s="58" t="s">
        <v>105</v>
      </c>
      <c r="U289" s="59">
        <v>78.0</v>
      </c>
      <c r="V289" s="59">
        <v>76.24</v>
      </c>
      <c r="W289" s="58">
        <v>5.74</v>
      </c>
      <c r="X289" s="58">
        <v>7.0</v>
      </c>
      <c r="Y289" s="58">
        <v>72.9</v>
      </c>
      <c r="Z289" s="59">
        <v>0.0</v>
      </c>
      <c r="AA289" s="58">
        <v>0.0</v>
      </c>
      <c r="AB289" s="58">
        <v>0.0</v>
      </c>
      <c r="AC289" s="58">
        <v>0.0</v>
      </c>
      <c r="AD289" s="58">
        <v>0.0</v>
      </c>
      <c r="AE289" s="58">
        <v>0.0</v>
      </c>
      <c r="AF289" s="58">
        <v>0.0</v>
      </c>
      <c r="AG289" s="58">
        <v>0.0</v>
      </c>
      <c r="AH289" s="58">
        <v>0.0</v>
      </c>
      <c r="AI289" s="58">
        <v>0.0</v>
      </c>
      <c r="AJ289" s="58">
        <v>0.0</v>
      </c>
      <c r="AK289" s="58">
        <v>0.0</v>
      </c>
      <c r="AL289" s="58">
        <v>0.0</v>
      </c>
      <c r="AM289" s="58">
        <v>0.0</v>
      </c>
      <c r="AN289" s="58">
        <v>0.0</v>
      </c>
      <c r="AO289" s="58">
        <v>5.1</v>
      </c>
      <c r="AP289" s="58">
        <v>0.0</v>
      </c>
      <c r="AQ289" s="58">
        <v>0.0</v>
      </c>
      <c r="AR289" s="58">
        <v>0.0</v>
      </c>
      <c r="AS289" s="58">
        <v>0.0</v>
      </c>
      <c r="AT289" s="58">
        <v>0.0</v>
      </c>
      <c r="AU289" s="58">
        <v>0.0</v>
      </c>
      <c r="AV289" s="58">
        <v>0.0</v>
      </c>
      <c r="AW289" s="58">
        <v>0.0</v>
      </c>
      <c r="AX289" s="58">
        <v>0.0</v>
      </c>
      <c r="AY289" s="58">
        <v>0.0</v>
      </c>
      <c r="AZ289" s="58">
        <v>0.0</v>
      </c>
      <c r="BA289" s="58">
        <v>0.0</v>
      </c>
      <c r="BB289" s="58">
        <v>5.1</v>
      </c>
      <c r="BC289" s="70" t="s">
        <v>106</v>
      </c>
      <c r="BD289" s="68"/>
      <c r="BF289" s="70">
        <v>81.98</v>
      </c>
      <c r="BG289" s="68">
        <v>-8.2</v>
      </c>
      <c r="BH289" s="68" t="s">
        <v>107</v>
      </c>
      <c r="BI289" s="68" t="s">
        <v>108</v>
      </c>
      <c r="BJ289" s="68" t="s">
        <v>109</v>
      </c>
      <c r="BK289" s="68" t="s">
        <v>333</v>
      </c>
      <c r="BM289" s="68"/>
      <c r="BN289" s="70" t="s">
        <v>111</v>
      </c>
      <c r="BO289" s="68" t="s">
        <v>112</v>
      </c>
      <c r="BP289" s="68" t="s">
        <v>113</v>
      </c>
      <c r="BQ289" s="68" t="s">
        <v>317</v>
      </c>
      <c r="BR289" s="68">
        <v>2.46</v>
      </c>
      <c r="BS289" s="68"/>
      <c r="BT289" s="70">
        <v>-9.08</v>
      </c>
      <c r="BU289" s="68" t="s">
        <v>318</v>
      </c>
      <c r="BV289" s="73"/>
      <c r="BW289" s="64" t="str">
        <f>if(OR(F289="SALE",F289="REFUNDED"),IFERROR(Vlookup(I289,'Listing SKU - Fill SKU Mapping'!A:C,3,false),"Map"),"")</f>
        <v>Keystone</v>
      </c>
      <c r="BX289" s="64" t="str">
        <f>IF(OR(F289="SALE",F289="REFUNDED")=TRUE,iferror(Vlookup(I289,'Listing SKU - Fill SKU Mapping'!A:B,2,false),"Map"),"")</f>
        <v>52316S</v>
      </c>
      <c r="BY289" s="64">
        <f>IF(OR(F289="SALE",F289="REFUNDED")=TRUE,iferror(Vlookup(I289,'Listing SKU - Fill SKU Mapping'!A:D,4,false),"Map"),"")</f>
        <v>30.77</v>
      </c>
      <c r="BZ289" s="66">
        <f t="shared" si="1"/>
        <v>11.5</v>
      </c>
      <c r="CA289" s="66">
        <f t="shared" si="2"/>
        <v>42.27</v>
      </c>
      <c r="CB289" s="66">
        <f t="shared" si="3"/>
        <v>33.97</v>
      </c>
      <c r="CC289" s="64" t="str">
        <f>if(F289="REFUNDED",iferror(Vlookup(I289,'Listing SKU - Fill SKU Mapping'!A:B,2,false),"Map"),"")</f>
        <v/>
      </c>
      <c r="CD289" s="64" t="str">
        <f>if(F289="REFUNDED",iferror(Vlookup(I289,'Listing SKU - Fill SKU Mapping'!A:C,3,false),"Map"),"")</f>
        <v/>
      </c>
      <c r="CE289" s="64" t="str">
        <f t="shared" si="4"/>
        <v>2025</v>
      </c>
      <c r="CF289" s="64" t="str">
        <f t="shared" si="5"/>
        <v>September</v>
      </c>
      <c r="CG289" s="64" t="str">
        <f t="shared" si="6"/>
        <v/>
      </c>
    </row>
    <row r="290">
      <c r="A290" s="55">
        <v>2.0001E14</v>
      </c>
      <c r="B290" s="56">
        <v>1.0</v>
      </c>
      <c r="C290" s="57">
        <v>1.2903E14</v>
      </c>
      <c r="D290" s="58">
        <v>1.0</v>
      </c>
      <c r="F290" s="59" t="s">
        <v>100</v>
      </c>
      <c r="G290" s="60">
        <v>45930.0</v>
      </c>
      <c r="H290" s="58">
        <v>1.0</v>
      </c>
      <c r="I290" s="58" t="s">
        <v>403</v>
      </c>
      <c r="J290" s="61">
        <v>4.60776274119E11</v>
      </c>
      <c r="K290" s="63"/>
      <c r="L290" s="63"/>
      <c r="M290" s="63"/>
      <c r="N290" s="63"/>
      <c r="O290" s="63"/>
      <c r="P290" s="63"/>
      <c r="Q290" s="63"/>
      <c r="R290" s="63"/>
      <c r="S290" s="63"/>
      <c r="T290" s="58" t="s">
        <v>105</v>
      </c>
      <c r="U290" s="59">
        <v>125.26</v>
      </c>
      <c r="V290" s="59">
        <v>107.86</v>
      </c>
      <c r="W290" s="58">
        <v>8.12</v>
      </c>
      <c r="X290" s="58">
        <v>7.0</v>
      </c>
      <c r="Y290" s="58">
        <v>115.98</v>
      </c>
      <c r="Z290" s="59">
        <v>0.0</v>
      </c>
      <c r="AA290" s="58">
        <v>0.0</v>
      </c>
      <c r="AB290" s="58">
        <v>0.0</v>
      </c>
      <c r="AC290" s="58">
        <v>0.0</v>
      </c>
      <c r="AD290" s="58">
        <v>0.0</v>
      </c>
      <c r="AE290" s="58">
        <v>0.0</v>
      </c>
      <c r="AF290" s="58">
        <v>0.0</v>
      </c>
      <c r="AG290" s="58">
        <v>0.0</v>
      </c>
      <c r="AH290" s="58">
        <v>0.0</v>
      </c>
      <c r="AI290" s="58">
        <v>0.0</v>
      </c>
      <c r="AJ290" s="58">
        <v>0.0</v>
      </c>
      <c r="AK290" s="58">
        <v>0.0</v>
      </c>
      <c r="AL290" s="58">
        <v>0.0</v>
      </c>
      <c r="AM290" s="58">
        <v>0.0</v>
      </c>
      <c r="AN290" s="58">
        <v>0.0</v>
      </c>
      <c r="AO290" s="58">
        <v>9.28</v>
      </c>
      <c r="AP290" s="58">
        <v>0.0</v>
      </c>
      <c r="AQ290" s="58">
        <v>0.0</v>
      </c>
      <c r="AR290" s="58">
        <v>0.0</v>
      </c>
      <c r="AS290" s="58">
        <v>0.0</v>
      </c>
      <c r="AT290" s="58">
        <v>0.0</v>
      </c>
      <c r="AU290" s="58">
        <v>0.0</v>
      </c>
      <c r="AV290" s="58">
        <v>0.0</v>
      </c>
      <c r="AW290" s="58">
        <v>0.0</v>
      </c>
      <c r="AX290" s="58">
        <v>0.0</v>
      </c>
      <c r="AY290" s="58">
        <v>0.0</v>
      </c>
      <c r="AZ290" s="58">
        <v>0.0</v>
      </c>
      <c r="BA290" s="58">
        <v>0.0</v>
      </c>
      <c r="BB290" s="58">
        <v>9.28</v>
      </c>
      <c r="BC290" s="70" t="s">
        <v>106</v>
      </c>
      <c r="BD290" s="68"/>
      <c r="BG290" s="70">
        <v>-11.6</v>
      </c>
      <c r="BH290" s="68" t="s">
        <v>107</v>
      </c>
      <c r="BI290" s="68" t="s">
        <v>108</v>
      </c>
      <c r="BJ290" s="68" t="s">
        <v>109</v>
      </c>
      <c r="BK290" s="68" t="s">
        <v>430</v>
      </c>
      <c r="BM290" s="68"/>
      <c r="BN290" s="70" t="s">
        <v>111</v>
      </c>
      <c r="BO290" s="68" t="s">
        <v>112</v>
      </c>
      <c r="BP290" s="68" t="s">
        <v>113</v>
      </c>
      <c r="BQ290" s="68" t="s">
        <v>114</v>
      </c>
      <c r="BR290" s="68">
        <v>3.48</v>
      </c>
      <c r="BS290" s="68"/>
      <c r="BV290" s="72"/>
      <c r="BW290" s="64" t="str">
        <f>if(OR(F290="SALE",F290="REFUNDED"),IFERROR(Vlookup(I290,'Listing SKU - Fill SKU Mapping'!A:C,3,false),"Map"),"")</f>
        <v>Keystone</v>
      </c>
      <c r="BX290" s="64" t="str">
        <f>IF(OR(F290="SALE",F290="REFUNDED")=TRUE,iferror(Vlookup(I290,'Listing SKU - Fill SKU Mapping'!A:B,2,false),"Map"),"")</f>
        <v>IMP64X</v>
      </c>
      <c r="BY290" s="64">
        <f>IF(OR(F290="SALE",F290="REFUNDED")=TRUE,iferror(Vlookup(I290,'Listing SKU - Fill SKU Mapping'!A:D,4,false),"Map"),"")</f>
        <v>54.44</v>
      </c>
      <c r="BZ290" s="66">
        <f t="shared" si="1"/>
        <v>11.5</v>
      </c>
      <c r="CA290" s="66">
        <f t="shared" si="2"/>
        <v>65.94</v>
      </c>
      <c r="CB290" s="66">
        <f t="shared" si="3"/>
        <v>41.92</v>
      </c>
      <c r="CC290" s="64" t="str">
        <f>if(F290="REFUNDED",iferror(Vlookup(I290,'Listing SKU - Fill SKU Mapping'!A:B,2,false),"Map"),"")</f>
        <v/>
      </c>
      <c r="CD290" s="64" t="str">
        <f>if(F290="REFUNDED",iferror(Vlookup(I290,'Listing SKU - Fill SKU Mapping'!A:C,3,false),"Map"),"")</f>
        <v/>
      </c>
      <c r="CE290" s="64" t="str">
        <f t="shared" si="4"/>
        <v>2025</v>
      </c>
      <c r="CF290" s="64" t="str">
        <f t="shared" si="5"/>
        <v>September</v>
      </c>
      <c r="CG290" s="64" t="str">
        <f t="shared" si="6"/>
        <v/>
      </c>
    </row>
    <row r="291">
      <c r="A291" s="55">
        <v>2.0001E14</v>
      </c>
      <c r="B291" s="56">
        <v>4.0</v>
      </c>
      <c r="C291" s="57">
        <v>1.2903E14</v>
      </c>
      <c r="D291" s="58">
        <v>4.0</v>
      </c>
      <c r="F291" s="59" t="s">
        <v>100</v>
      </c>
      <c r="G291" s="60">
        <v>45929.0</v>
      </c>
      <c r="H291" s="58">
        <v>1.0</v>
      </c>
      <c r="I291" s="58" t="s">
        <v>413</v>
      </c>
      <c r="J291" s="61">
        <v>4.67129958542E11</v>
      </c>
      <c r="K291" s="63"/>
      <c r="L291" s="63"/>
      <c r="M291" s="63"/>
      <c r="N291" s="63"/>
      <c r="O291" s="63"/>
      <c r="P291" s="63"/>
      <c r="Q291" s="63"/>
      <c r="R291" s="63"/>
      <c r="S291" s="63"/>
      <c r="T291" s="58" t="s">
        <v>105</v>
      </c>
      <c r="U291" s="59">
        <v>72.65</v>
      </c>
      <c r="V291" s="59">
        <v>70.66</v>
      </c>
      <c r="W291" s="58">
        <v>5.32</v>
      </c>
      <c r="X291" s="58">
        <v>7.0</v>
      </c>
      <c r="Y291" s="58">
        <v>67.9</v>
      </c>
      <c r="Z291" s="59">
        <v>0.0</v>
      </c>
      <c r="AA291" s="58">
        <v>0.0</v>
      </c>
      <c r="AB291" s="58">
        <v>0.0</v>
      </c>
      <c r="AC291" s="58">
        <v>0.0</v>
      </c>
      <c r="AD291" s="58">
        <v>0.0</v>
      </c>
      <c r="AE291" s="58">
        <v>0.0</v>
      </c>
      <c r="AF291" s="58">
        <v>0.0</v>
      </c>
      <c r="AG291" s="58">
        <v>0.0</v>
      </c>
      <c r="AH291" s="58">
        <v>0.0</v>
      </c>
      <c r="AI291" s="58">
        <v>0.0</v>
      </c>
      <c r="AJ291" s="58">
        <v>0.0</v>
      </c>
      <c r="AK291" s="58">
        <v>0.0</v>
      </c>
      <c r="AL291" s="58">
        <v>0.0</v>
      </c>
      <c r="AM291" s="58">
        <v>0.0</v>
      </c>
      <c r="AN291" s="58">
        <v>0.0</v>
      </c>
      <c r="AO291" s="58">
        <v>4.75</v>
      </c>
      <c r="AP291" s="58">
        <v>0.0</v>
      </c>
      <c r="AQ291" s="58">
        <v>0.0</v>
      </c>
      <c r="AR291" s="58">
        <v>0.0</v>
      </c>
      <c r="AS291" s="58">
        <v>0.0</v>
      </c>
      <c r="AT291" s="58">
        <v>0.0</v>
      </c>
      <c r="AU291" s="58">
        <v>0.0</v>
      </c>
      <c r="AV291" s="58">
        <v>0.0</v>
      </c>
      <c r="AW291" s="58">
        <v>0.0</v>
      </c>
      <c r="AX291" s="58">
        <v>0.0</v>
      </c>
      <c r="AY291" s="58">
        <v>0.0</v>
      </c>
      <c r="AZ291" s="58">
        <v>0.0</v>
      </c>
      <c r="BA291" s="58">
        <v>0.0</v>
      </c>
      <c r="BB291" s="58">
        <v>4.75</v>
      </c>
      <c r="BC291" s="70" t="s">
        <v>106</v>
      </c>
      <c r="BD291" s="68"/>
      <c r="BF291" s="70">
        <v>75.98</v>
      </c>
      <c r="BG291" s="68">
        <v>-7.6</v>
      </c>
      <c r="BH291" s="68" t="s">
        <v>107</v>
      </c>
      <c r="BI291" s="68" t="s">
        <v>108</v>
      </c>
      <c r="BJ291" s="68" t="s">
        <v>109</v>
      </c>
      <c r="BK291" s="68" t="s">
        <v>430</v>
      </c>
      <c r="BM291" s="68"/>
      <c r="BN291" s="70" t="s">
        <v>111</v>
      </c>
      <c r="BO291" s="68" t="s">
        <v>112</v>
      </c>
      <c r="BP291" s="68" t="s">
        <v>113</v>
      </c>
      <c r="BQ291" s="68" t="s">
        <v>317</v>
      </c>
      <c r="BR291" s="68">
        <v>2.28</v>
      </c>
      <c r="BS291" s="68"/>
      <c r="BT291" s="70">
        <v>-8.08</v>
      </c>
      <c r="BU291" s="68" t="s">
        <v>318</v>
      </c>
      <c r="BV291" s="73"/>
      <c r="BW291" s="64" t="str">
        <f>if(OR(F291="SALE",F291="REFUNDED"),IFERROR(Vlookup(I291,'Listing SKU - Fill SKU Mapping'!A:C,3,false),"Map"),"")</f>
        <v>Keystone</v>
      </c>
      <c r="BX291" s="64" t="str">
        <f>IF(OR(F291="SALE",F291="REFUNDED")=TRUE,iferror(Vlookup(I291,'Listing SKU - Fill SKU Mapping'!A:B,2,false),"Map"),"")</f>
        <v>45216S</v>
      </c>
      <c r="BY291" s="64">
        <f>IF(OR(F291="SALE",F291="REFUNDED")=TRUE,iferror(Vlookup(I291,'Listing SKU - Fill SKU Mapping'!A:D,4,false),"Map"),"")</f>
        <v>27.22</v>
      </c>
      <c r="BZ291" s="66">
        <f t="shared" si="1"/>
        <v>11.5</v>
      </c>
      <c r="CA291" s="66">
        <f t="shared" si="2"/>
        <v>38.72</v>
      </c>
      <c r="CB291" s="66">
        <f t="shared" si="3"/>
        <v>31.94</v>
      </c>
      <c r="CC291" s="64" t="str">
        <f>if(F291="REFUNDED",iferror(Vlookup(I291,'Listing SKU - Fill SKU Mapping'!A:B,2,false),"Map"),"")</f>
        <v/>
      </c>
      <c r="CD291" s="64" t="str">
        <f>if(F291="REFUNDED",iferror(Vlookup(I291,'Listing SKU - Fill SKU Mapping'!A:C,3,false),"Map"),"")</f>
        <v/>
      </c>
      <c r="CE291" s="64" t="str">
        <f t="shared" si="4"/>
        <v>2025</v>
      </c>
      <c r="CF291" s="64" t="str">
        <f t="shared" si="5"/>
        <v>September</v>
      </c>
      <c r="CG291" s="64" t="str">
        <f t="shared" si="6"/>
        <v/>
      </c>
    </row>
    <row r="292">
      <c r="A292" s="55">
        <v>2.0001E14</v>
      </c>
      <c r="B292" s="56">
        <v>1.0</v>
      </c>
      <c r="C292" s="57">
        <v>1.2903E14</v>
      </c>
      <c r="D292" s="58">
        <v>1.0</v>
      </c>
      <c r="F292" s="59" t="s">
        <v>100</v>
      </c>
      <c r="G292" s="60">
        <v>45925.0</v>
      </c>
      <c r="H292" s="58">
        <v>1.0</v>
      </c>
      <c r="I292" s="58" t="s">
        <v>431</v>
      </c>
      <c r="J292" s="61">
        <v>4.67129938865E11</v>
      </c>
      <c r="K292" s="63"/>
      <c r="L292" s="63"/>
      <c r="M292" s="63"/>
      <c r="N292" s="63"/>
      <c r="O292" s="63"/>
      <c r="P292" s="63"/>
      <c r="Q292" s="63"/>
      <c r="R292" s="63"/>
      <c r="S292" s="63"/>
      <c r="T292" s="58" t="s">
        <v>105</v>
      </c>
      <c r="U292" s="59">
        <v>129.82</v>
      </c>
      <c r="V292" s="59">
        <v>123.67</v>
      </c>
      <c r="W292" s="58">
        <v>9.31</v>
      </c>
      <c r="X292" s="58">
        <v>7.0</v>
      </c>
      <c r="Y292" s="58">
        <v>120.2</v>
      </c>
      <c r="Z292" s="59">
        <v>0.0</v>
      </c>
      <c r="AA292" s="58">
        <v>0.0</v>
      </c>
      <c r="AB292" s="58">
        <v>0.0</v>
      </c>
      <c r="AC292" s="58">
        <v>0.0</v>
      </c>
      <c r="AD292" s="58">
        <v>0.0</v>
      </c>
      <c r="AE292" s="58">
        <v>0.0</v>
      </c>
      <c r="AF292" s="58">
        <v>0.0</v>
      </c>
      <c r="AG292" s="58">
        <v>0.0</v>
      </c>
      <c r="AH292" s="58">
        <v>0.0</v>
      </c>
      <c r="AI292" s="58">
        <v>0.0</v>
      </c>
      <c r="AJ292" s="58">
        <v>0.0</v>
      </c>
      <c r="AK292" s="58">
        <v>0.0</v>
      </c>
      <c r="AL292" s="58">
        <v>0.0</v>
      </c>
      <c r="AM292" s="58">
        <v>0.0</v>
      </c>
      <c r="AN292" s="58">
        <v>0.0</v>
      </c>
      <c r="AO292" s="58">
        <v>9.62</v>
      </c>
      <c r="AP292" s="58">
        <v>0.0</v>
      </c>
      <c r="AQ292" s="58">
        <v>0.0</v>
      </c>
      <c r="AR292" s="58">
        <v>0.0</v>
      </c>
      <c r="AS292" s="58">
        <v>0.0</v>
      </c>
      <c r="AT292" s="58">
        <v>0.0</v>
      </c>
      <c r="AU292" s="58">
        <v>0.0</v>
      </c>
      <c r="AV292" s="58">
        <v>0.0</v>
      </c>
      <c r="AW292" s="58">
        <v>0.0</v>
      </c>
      <c r="AX292" s="58">
        <v>0.0</v>
      </c>
      <c r="AY292" s="58">
        <v>0.0</v>
      </c>
      <c r="AZ292" s="58">
        <v>0.0</v>
      </c>
      <c r="BA292" s="58">
        <v>0.0</v>
      </c>
      <c r="BB292" s="58">
        <v>9.62</v>
      </c>
      <c r="BC292" s="70" t="s">
        <v>106</v>
      </c>
      <c r="BD292" s="68"/>
      <c r="BF292" s="70">
        <v>132.98</v>
      </c>
      <c r="BG292" s="68">
        <v>-13.3</v>
      </c>
      <c r="BH292" s="68" t="s">
        <v>107</v>
      </c>
      <c r="BI292" s="68" t="s">
        <v>108</v>
      </c>
      <c r="BJ292" s="68" t="s">
        <v>109</v>
      </c>
      <c r="BK292" s="68" t="s">
        <v>432</v>
      </c>
      <c r="BM292" s="68"/>
      <c r="BN292" s="70" t="s">
        <v>111</v>
      </c>
      <c r="BO292" s="68" t="s">
        <v>112</v>
      </c>
      <c r="BP292" s="68" t="s">
        <v>113</v>
      </c>
      <c r="BQ292" s="68" t="s">
        <v>317</v>
      </c>
      <c r="BR292" s="68">
        <v>3.99</v>
      </c>
      <c r="BS292" s="68"/>
      <c r="BT292" s="70">
        <v>-12.78</v>
      </c>
      <c r="BU292" s="68" t="s">
        <v>318</v>
      </c>
      <c r="BV292" s="73"/>
      <c r="BW292" s="64" t="str">
        <f>if(OR(F292="SALE",F292="REFUNDED"),IFERROR(Vlookup(I292,'Listing SKU - Fill SKU Mapping'!A:C,3,false),"Map"),"")</f>
        <v>Keystone</v>
      </c>
      <c r="BX292" s="64">
        <f>IF(OR(F292="SALE",F292="REFUNDED")=TRUE,iferror(Vlookup(I292,'Listing SKU - Fill SKU Mapping'!A:B,2,false),"Map"),"")</f>
        <v>1215</v>
      </c>
      <c r="BY292" s="64">
        <f>IF(OR(F292="SALE",F292="REFUNDED")=TRUE,iferror(Vlookup(I292,'Listing SKU - Fill SKU Mapping'!A:D,4,false),"Map"),"")</f>
        <v>62.76</v>
      </c>
      <c r="BZ292" s="66">
        <f t="shared" si="1"/>
        <v>11.5</v>
      </c>
      <c r="CA292" s="66">
        <f t="shared" si="2"/>
        <v>74.26</v>
      </c>
      <c r="CB292" s="66">
        <f t="shared" si="3"/>
        <v>49.41</v>
      </c>
      <c r="CC292" s="64" t="str">
        <f>if(F292="REFUNDED",iferror(Vlookup(I292,'Listing SKU - Fill SKU Mapping'!A:B,2,false),"Map"),"")</f>
        <v/>
      </c>
      <c r="CD292" s="64" t="str">
        <f>if(F292="REFUNDED",iferror(Vlookup(I292,'Listing SKU - Fill SKU Mapping'!A:C,3,false),"Map"),"")</f>
        <v/>
      </c>
      <c r="CE292" s="64" t="str">
        <f t="shared" si="4"/>
        <v>2025</v>
      </c>
      <c r="CF292" s="64" t="str">
        <f t="shared" si="5"/>
        <v>September</v>
      </c>
      <c r="CG292" s="64" t="str">
        <f t="shared" si="6"/>
        <v/>
      </c>
    </row>
    <row r="293">
      <c r="A293" s="55">
        <v>2.0001E14</v>
      </c>
      <c r="B293" s="56">
        <v>4.0</v>
      </c>
      <c r="C293" s="57">
        <v>1.2903E14</v>
      </c>
      <c r="D293" s="58">
        <v>4.0</v>
      </c>
      <c r="F293" s="59" t="s">
        <v>100</v>
      </c>
      <c r="G293" s="60">
        <v>45931.0</v>
      </c>
      <c r="H293" s="58">
        <v>1.0</v>
      </c>
      <c r="I293" s="58" t="s">
        <v>319</v>
      </c>
      <c r="J293" s="61">
        <v>4.67129943173E11</v>
      </c>
      <c r="K293" s="63"/>
      <c r="L293" s="63"/>
      <c r="M293" s="63"/>
      <c r="N293" s="63"/>
      <c r="O293" s="63"/>
      <c r="P293" s="63"/>
      <c r="Q293" s="63"/>
      <c r="R293" s="63"/>
      <c r="S293" s="63"/>
      <c r="T293" s="58" t="s">
        <v>105</v>
      </c>
      <c r="U293" s="59">
        <v>81.64</v>
      </c>
      <c r="V293" s="59">
        <v>78.1</v>
      </c>
      <c r="W293" s="58">
        <v>5.88</v>
      </c>
      <c r="X293" s="58">
        <v>7.0</v>
      </c>
      <c r="Y293" s="58">
        <v>74.9</v>
      </c>
      <c r="Z293" s="59">
        <v>0.0</v>
      </c>
      <c r="AA293" s="58">
        <v>0.0</v>
      </c>
      <c r="AB293" s="58">
        <v>0.0</v>
      </c>
      <c r="AC293" s="58">
        <v>0.0</v>
      </c>
      <c r="AD293" s="58">
        <v>0.0</v>
      </c>
      <c r="AE293" s="58">
        <v>0.0</v>
      </c>
      <c r="AF293" s="58">
        <v>0.0</v>
      </c>
      <c r="AG293" s="58">
        <v>0.0</v>
      </c>
      <c r="AH293" s="58">
        <v>0.0</v>
      </c>
      <c r="AI293" s="58">
        <v>0.0</v>
      </c>
      <c r="AJ293" s="58">
        <v>0.0</v>
      </c>
      <c r="AK293" s="58">
        <v>0.0</v>
      </c>
      <c r="AL293" s="58">
        <v>0.0</v>
      </c>
      <c r="AM293" s="58">
        <v>0.0</v>
      </c>
      <c r="AN293" s="58">
        <v>0.0</v>
      </c>
      <c r="AO293" s="58">
        <v>6.74</v>
      </c>
      <c r="AP293" s="58">
        <v>0.0</v>
      </c>
      <c r="AQ293" s="58">
        <v>0.0</v>
      </c>
      <c r="AR293" s="58">
        <v>0.0</v>
      </c>
      <c r="AS293" s="58">
        <v>0.0</v>
      </c>
      <c r="AT293" s="58">
        <v>0.0</v>
      </c>
      <c r="AU293" s="58">
        <v>0.0</v>
      </c>
      <c r="AV293" s="58">
        <v>0.0</v>
      </c>
      <c r="AW293" s="58">
        <v>0.0</v>
      </c>
      <c r="AX293" s="58">
        <v>0.0</v>
      </c>
      <c r="AY293" s="58">
        <v>0.0</v>
      </c>
      <c r="AZ293" s="58">
        <v>0.0</v>
      </c>
      <c r="BA293" s="58">
        <v>0.0</v>
      </c>
      <c r="BB293" s="58">
        <v>6.74</v>
      </c>
      <c r="BC293" s="70" t="s">
        <v>106</v>
      </c>
      <c r="BD293" s="68"/>
      <c r="BF293" s="70">
        <v>83.98</v>
      </c>
      <c r="BG293" s="68">
        <v>-8.4</v>
      </c>
      <c r="BH293" s="68" t="s">
        <v>107</v>
      </c>
      <c r="BI293" s="68" t="s">
        <v>108</v>
      </c>
      <c r="BJ293" s="68" t="s">
        <v>109</v>
      </c>
      <c r="BK293" s="68" t="s">
        <v>430</v>
      </c>
      <c r="BM293" s="68"/>
      <c r="BN293" s="70" t="s">
        <v>111</v>
      </c>
      <c r="BO293" s="68" t="s">
        <v>112</v>
      </c>
      <c r="BP293" s="68" t="s">
        <v>113</v>
      </c>
      <c r="BQ293" s="68" t="s">
        <v>317</v>
      </c>
      <c r="BR293" s="68">
        <v>2.52</v>
      </c>
      <c r="BS293" s="68"/>
      <c r="BT293" s="70">
        <v>-9.08</v>
      </c>
      <c r="BU293" s="68" t="s">
        <v>318</v>
      </c>
      <c r="BV293" s="73"/>
      <c r="BW293" s="64" t="str">
        <f>if(OR(F293="SALE",F293="REFUNDED"),IFERROR(Vlookup(I293,'Listing SKU - Fill SKU Mapping'!A:C,3,false),"Map"),"")</f>
        <v>Keystone</v>
      </c>
      <c r="BX293" s="64" t="str">
        <f>IF(OR(F293="SALE",F293="REFUNDED")=TRUE,iferror(Vlookup(I293,'Listing SKU - Fill SKU Mapping'!A:B,2,false),"Map"),"")</f>
        <v>43116S</v>
      </c>
      <c r="BY293" s="64">
        <f>IF(OR(F293="SALE",F293="REFUNDED")=TRUE,iferror(Vlookup(I293,'Listing SKU - Fill SKU Mapping'!A:D,4,false),"Map"),"")</f>
        <v>32.35</v>
      </c>
      <c r="BZ293" s="66">
        <f t="shared" si="1"/>
        <v>11.5</v>
      </c>
      <c r="CA293" s="66">
        <f t="shared" si="2"/>
        <v>43.85</v>
      </c>
      <c r="CB293" s="66">
        <f t="shared" si="3"/>
        <v>34.25</v>
      </c>
      <c r="CC293" s="64" t="str">
        <f>if(F293="REFUNDED",iferror(Vlookup(I293,'Listing SKU - Fill SKU Mapping'!A:B,2,false),"Map"),"")</f>
        <v/>
      </c>
      <c r="CD293" s="64" t="str">
        <f>if(F293="REFUNDED",iferror(Vlookup(I293,'Listing SKU - Fill SKU Mapping'!A:C,3,false),"Map"),"")</f>
        <v/>
      </c>
      <c r="CE293" s="64" t="str">
        <f t="shared" si="4"/>
        <v>2025</v>
      </c>
      <c r="CF293" s="64" t="str">
        <f t="shared" si="5"/>
        <v>October</v>
      </c>
      <c r="CG293" s="64" t="str">
        <f t="shared" si="6"/>
        <v/>
      </c>
    </row>
    <row r="294">
      <c r="A294" s="55">
        <v>2.0001E14</v>
      </c>
      <c r="B294" s="56">
        <v>1.0</v>
      </c>
      <c r="C294" s="57">
        <v>1.2903E14</v>
      </c>
      <c r="D294" s="58">
        <v>1.0</v>
      </c>
      <c r="F294" s="59" t="s">
        <v>100</v>
      </c>
      <c r="G294" s="60">
        <v>45924.0</v>
      </c>
      <c r="H294" s="58">
        <v>2.0</v>
      </c>
      <c r="I294" s="58" t="s">
        <v>433</v>
      </c>
      <c r="J294" s="61">
        <v>4.67129944101E11</v>
      </c>
      <c r="K294" s="63"/>
      <c r="L294" s="63"/>
      <c r="M294" s="63"/>
      <c r="N294" s="63"/>
      <c r="O294" s="63"/>
      <c r="P294" s="63"/>
      <c r="Q294" s="63"/>
      <c r="R294" s="63"/>
      <c r="S294" s="63"/>
      <c r="T294" s="58" t="s">
        <v>105</v>
      </c>
      <c r="U294" s="59">
        <v>140.7</v>
      </c>
      <c r="V294" s="59">
        <v>135.74</v>
      </c>
      <c r="W294" s="58">
        <v>10.22</v>
      </c>
      <c r="X294" s="58">
        <v>7.0</v>
      </c>
      <c r="Y294" s="58">
        <v>131.8</v>
      </c>
      <c r="Z294" s="59">
        <v>0.0</v>
      </c>
      <c r="AA294" s="58">
        <v>0.0</v>
      </c>
      <c r="AB294" s="58">
        <v>0.0</v>
      </c>
      <c r="AC294" s="58">
        <v>0.0</v>
      </c>
      <c r="AD294" s="58">
        <v>0.0</v>
      </c>
      <c r="AE294" s="58">
        <v>0.0</v>
      </c>
      <c r="AF294" s="58">
        <v>0.0</v>
      </c>
      <c r="AG294" s="58">
        <v>0.0</v>
      </c>
      <c r="AH294" s="58">
        <v>0.0</v>
      </c>
      <c r="AI294" s="58">
        <v>0.0</v>
      </c>
      <c r="AJ294" s="58">
        <v>0.0</v>
      </c>
      <c r="AK294" s="58">
        <v>0.0</v>
      </c>
      <c r="AL294" s="58">
        <v>0.0</v>
      </c>
      <c r="AM294" s="58">
        <v>0.0</v>
      </c>
      <c r="AN294" s="58">
        <v>0.0</v>
      </c>
      <c r="AO294" s="58">
        <v>8.9</v>
      </c>
      <c r="AP294" s="58">
        <v>0.0</v>
      </c>
      <c r="AQ294" s="58">
        <v>0.0</v>
      </c>
      <c r="AR294" s="58">
        <v>0.0</v>
      </c>
      <c r="AS294" s="58">
        <v>0.0</v>
      </c>
      <c r="AT294" s="58">
        <v>0.0</v>
      </c>
      <c r="AU294" s="58">
        <v>0.0</v>
      </c>
      <c r="AV294" s="58">
        <v>0.0</v>
      </c>
      <c r="AW294" s="58">
        <v>0.0</v>
      </c>
      <c r="AX294" s="58">
        <v>0.0</v>
      </c>
      <c r="AY294" s="58">
        <v>0.0</v>
      </c>
      <c r="AZ294" s="58">
        <v>0.0</v>
      </c>
      <c r="BA294" s="58">
        <v>0.0</v>
      </c>
      <c r="BB294" s="58">
        <v>8.9</v>
      </c>
      <c r="BC294" s="70" t="s">
        <v>106</v>
      </c>
      <c r="BD294" s="68"/>
      <c r="BF294" s="70">
        <v>145.96</v>
      </c>
      <c r="BG294" s="68">
        <v>-14.6</v>
      </c>
      <c r="BH294" s="68" t="s">
        <v>107</v>
      </c>
      <c r="BI294" s="68" t="s">
        <v>108</v>
      </c>
      <c r="BJ294" s="68" t="s">
        <v>109</v>
      </c>
      <c r="BK294" s="68" t="s">
        <v>333</v>
      </c>
      <c r="BM294" s="68"/>
      <c r="BN294" s="70" t="s">
        <v>111</v>
      </c>
      <c r="BO294" s="68" t="s">
        <v>112</v>
      </c>
      <c r="BP294" s="68" t="s">
        <v>113</v>
      </c>
      <c r="BQ294" s="68" t="s">
        <v>317</v>
      </c>
      <c r="BR294" s="68">
        <v>4.38</v>
      </c>
      <c r="BS294" s="68"/>
      <c r="BT294" s="70">
        <v>-14.16</v>
      </c>
      <c r="BU294" s="68" t="s">
        <v>318</v>
      </c>
      <c r="BV294" s="73"/>
      <c r="BW294" s="64" t="str">
        <f>if(OR(F294="SALE",F294="REFUNDED"),IFERROR(Vlookup(I294,'Listing SKU - Fill SKU Mapping'!A:C,3,false),"Map"),"")</f>
        <v>Keystone</v>
      </c>
      <c r="BX294" s="64" t="str">
        <f>IF(OR(F294="SALE",F294="REFUNDED")=TRUE,iferror(Vlookup(I294,'Listing SKU - Fill SKU Mapping'!A:B,2,false),"Map"),"")</f>
        <v>45916S</v>
      </c>
      <c r="BY294" s="64">
        <f>IF(OR(F294="SALE",F294="REFUNDED")=TRUE,iferror(Vlookup(I294,'Listing SKU - Fill SKU Mapping'!A:D,4,false),"Map"),"")</f>
        <v>25.25</v>
      </c>
      <c r="BZ294" s="66">
        <f t="shared" si="1"/>
        <v>11.5</v>
      </c>
      <c r="CA294" s="66">
        <f t="shared" si="2"/>
        <v>36.75</v>
      </c>
      <c r="CB294" s="66">
        <f t="shared" si="3"/>
        <v>98.99</v>
      </c>
      <c r="CC294" s="64" t="str">
        <f>if(F294="REFUNDED",iferror(Vlookup(I294,'Listing SKU - Fill SKU Mapping'!A:B,2,false),"Map"),"")</f>
        <v/>
      </c>
      <c r="CD294" s="64" t="str">
        <f>if(F294="REFUNDED",iferror(Vlookup(I294,'Listing SKU - Fill SKU Mapping'!A:C,3,false),"Map"),"")</f>
        <v/>
      </c>
      <c r="CE294" s="64" t="str">
        <f t="shared" si="4"/>
        <v>2025</v>
      </c>
      <c r="CF294" s="64" t="str">
        <f t="shared" si="5"/>
        <v>September</v>
      </c>
      <c r="CG294" s="64" t="str">
        <f t="shared" si="6"/>
        <v/>
      </c>
    </row>
    <row r="295">
      <c r="A295" s="55">
        <v>2.0001E14</v>
      </c>
      <c r="B295" s="56">
        <v>1.0</v>
      </c>
      <c r="C295" s="57">
        <v>1.2903E14</v>
      </c>
      <c r="D295" s="58">
        <v>1.0</v>
      </c>
      <c r="F295" s="59" t="s">
        <v>100</v>
      </c>
      <c r="G295" s="60">
        <v>45933.0</v>
      </c>
      <c r="H295" s="58">
        <v>1.0</v>
      </c>
      <c r="I295" s="58" t="s">
        <v>434</v>
      </c>
      <c r="J295" s="61">
        <v>4.67620089714E11</v>
      </c>
      <c r="K295" s="63"/>
      <c r="L295" s="63"/>
      <c r="M295" s="63"/>
      <c r="N295" s="63"/>
      <c r="O295" s="63"/>
      <c r="P295" s="63"/>
      <c r="Q295" s="63"/>
      <c r="R295" s="63"/>
      <c r="S295" s="63"/>
      <c r="T295" s="58" t="s">
        <v>105</v>
      </c>
      <c r="U295" s="59">
        <v>52.42</v>
      </c>
      <c r="V295" s="59">
        <v>45.56</v>
      </c>
      <c r="W295" s="58">
        <v>3.43</v>
      </c>
      <c r="X295" s="58">
        <v>7.0</v>
      </c>
      <c r="Y295" s="58">
        <v>48.99</v>
      </c>
      <c r="Z295" s="59">
        <v>0.0</v>
      </c>
      <c r="AA295" s="58">
        <v>0.0</v>
      </c>
      <c r="AB295" s="58">
        <v>0.0</v>
      </c>
      <c r="AC295" s="58">
        <v>0.0</v>
      </c>
      <c r="AD295" s="58">
        <v>0.0</v>
      </c>
      <c r="AE295" s="58">
        <v>0.0</v>
      </c>
      <c r="AF295" s="58">
        <v>0.0</v>
      </c>
      <c r="AG295" s="58">
        <v>0.0</v>
      </c>
      <c r="AH295" s="58">
        <v>0.0</v>
      </c>
      <c r="AI295" s="58">
        <v>0.0</v>
      </c>
      <c r="AJ295" s="58">
        <v>0.0</v>
      </c>
      <c r="AK295" s="58">
        <v>0.0</v>
      </c>
      <c r="AL295" s="58">
        <v>0.0</v>
      </c>
      <c r="AM295" s="58">
        <v>0.0</v>
      </c>
      <c r="AN295" s="58">
        <v>0.0</v>
      </c>
      <c r="AO295" s="58">
        <v>3.43</v>
      </c>
      <c r="AP295" s="58">
        <v>0.0</v>
      </c>
      <c r="AQ295" s="58">
        <v>0.0</v>
      </c>
      <c r="AR295" s="58">
        <v>0.0</v>
      </c>
      <c r="AS295" s="58">
        <v>0.0</v>
      </c>
      <c r="AT295" s="58">
        <v>0.0</v>
      </c>
      <c r="AU295" s="58">
        <v>0.0</v>
      </c>
      <c r="AV295" s="58">
        <v>0.0</v>
      </c>
      <c r="AW295" s="58">
        <v>0.0</v>
      </c>
      <c r="AX295" s="58">
        <v>0.0</v>
      </c>
      <c r="AY295" s="58">
        <v>0.0</v>
      </c>
      <c r="AZ295" s="58">
        <v>0.0</v>
      </c>
      <c r="BA295" s="58">
        <v>0.0</v>
      </c>
      <c r="BB295" s="58">
        <v>3.43</v>
      </c>
      <c r="BC295" s="70" t="s">
        <v>106</v>
      </c>
      <c r="BD295" s="68"/>
      <c r="BG295" s="70">
        <v>-4.9</v>
      </c>
      <c r="BH295" s="68" t="s">
        <v>107</v>
      </c>
      <c r="BI295" s="68" t="s">
        <v>108</v>
      </c>
      <c r="BJ295" s="68" t="s">
        <v>325</v>
      </c>
      <c r="BK295" s="68" t="s">
        <v>430</v>
      </c>
      <c r="BM295" s="68"/>
      <c r="BN295" s="70" t="s">
        <v>111</v>
      </c>
      <c r="BO295" s="68" t="s">
        <v>112</v>
      </c>
      <c r="BP295" s="68" t="s">
        <v>113</v>
      </c>
      <c r="BQ295" s="68" t="s">
        <v>114</v>
      </c>
      <c r="BR295" s="68">
        <v>1.47</v>
      </c>
      <c r="BS295" s="68"/>
      <c r="BV295" s="72"/>
      <c r="BW295" s="64" t="str">
        <f>if(OR(F295="SALE",F295="REFUNDED"),IFERROR(Vlookup(I295,'Listing SKU - Fill SKU Mapping'!A:C,3,false),"Map"),"")</f>
        <v>Keystone</v>
      </c>
      <c r="BX295" s="64" t="str">
        <f>IF(OR(F295="SALE",F295="REFUNDED")=TRUE,iferror(Vlookup(I295,'Listing SKU - Fill SKU Mapping'!A:B,2,false),"Map"),"")</f>
        <v>1513P</v>
      </c>
      <c r="BY295" s="64">
        <f>IF(OR(F295="SALE",F295="REFUNDED")=TRUE,iferror(Vlookup(I295,'Listing SKU - Fill SKU Mapping'!A:D,4,false),"Map"),"")</f>
        <v>19.33</v>
      </c>
      <c r="BZ295" s="66">
        <f t="shared" si="1"/>
        <v>11.5</v>
      </c>
      <c r="CA295" s="66">
        <f t="shared" si="2"/>
        <v>30.83</v>
      </c>
      <c r="CB295" s="66">
        <f t="shared" si="3"/>
        <v>14.73</v>
      </c>
      <c r="CC295" s="64" t="str">
        <f>if(F295="REFUNDED",iferror(Vlookup(I295,'Listing SKU - Fill SKU Mapping'!A:B,2,false),"Map"),"")</f>
        <v/>
      </c>
      <c r="CD295" s="64" t="str">
        <f>if(F295="REFUNDED",iferror(Vlookup(I295,'Listing SKU - Fill SKU Mapping'!A:C,3,false),"Map"),"")</f>
        <v/>
      </c>
      <c r="CE295" s="64" t="str">
        <f t="shared" si="4"/>
        <v>2025</v>
      </c>
      <c r="CF295" s="64" t="str">
        <f t="shared" si="5"/>
        <v>October</v>
      </c>
      <c r="CG295" s="64" t="str">
        <f t="shared" si="6"/>
        <v/>
      </c>
    </row>
    <row r="296">
      <c r="A296" s="55">
        <v>2.0001E14</v>
      </c>
      <c r="B296" s="56">
        <v>1.0</v>
      </c>
      <c r="C296" s="57">
        <v>1.2903E14</v>
      </c>
      <c r="D296" s="58">
        <v>1.0</v>
      </c>
      <c r="F296" s="59" t="s">
        <v>100</v>
      </c>
      <c r="G296" s="60">
        <v>45930.0</v>
      </c>
      <c r="H296" s="58">
        <v>1.0</v>
      </c>
      <c r="I296" s="58" t="s">
        <v>435</v>
      </c>
      <c r="J296" s="61">
        <v>4.67129958023E11</v>
      </c>
      <c r="K296" s="63"/>
      <c r="L296" s="63"/>
      <c r="M296" s="63"/>
      <c r="N296" s="63"/>
      <c r="O296" s="63"/>
      <c r="P296" s="63"/>
      <c r="Q296" s="63"/>
      <c r="R296" s="63"/>
      <c r="S296" s="63"/>
      <c r="T296" s="58" t="s">
        <v>105</v>
      </c>
      <c r="U296" s="59">
        <v>83.45</v>
      </c>
      <c r="V296" s="59">
        <v>80.89</v>
      </c>
      <c r="W296" s="58">
        <v>6.09</v>
      </c>
      <c r="X296" s="58">
        <v>7.0</v>
      </c>
      <c r="Y296" s="58">
        <v>76.98</v>
      </c>
      <c r="Z296" s="59">
        <v>0.0</v>
      </c>
      <c r="AA296" s="58">
        <v>0.0</v>
      </c>
      <c r="AB296" s="58">
        <v>0.0</v>
      </c>
      <c r="AC296" s="58">
        <v>0.0</v>
      </c>
      <c r="AD296" s="58">
        <v>0.0</v>
      </c>
      <c r="AE296" s="58">
        <v>0.0</v>
      </c>
      <c r="AF296" s="58">
        <v>0.0</v>
      </c>
      <c r="AG296" s="58">
        <v>0.0</v>
      </c>
      <c r="AH296" s="58">
        <v>0.0</v>
      </c>
      <c r="AI296" s="58">
        <v>0.0</v>
      </c>
      <c r="AJ296" s="58">
        <v>0.0</v>
      </c>
      <c r="AK296" s="58">
        <v>0.0</v>
      </c>
      <c r="AL296" s="58">
        <v>0.0</v>
      </c>
      <c r="AM296" s="58">
        <v>0.0</v>
      </c>
      <c r="AN296" s="58">
        <v>0.0</v>
      </c>
      <c r="AO296" s="58">
        <v>6.47</v>
      </c>
      <c r="AP296" s="58">
        <v>0.0</v>
      </c>
      <c r="AQ296" s="58">
        <v>0.0</v>
      </c>
      <c r="AR296" s="58">
        <v>0.0</v>
      </c>
      <c r="AS296" s="58">
        <v>0.0</v>
      </c>
      <c r="AT296" s="58">
        <v>0.0</v>
      </c>
      <c r="AU296" s="58">
        <v>0.0</v>
      </c>
      <c r="AV296" s="58">
        <v>0.0</v>
      </c>
      <c r="AW296" s="58">
        <v>0.0</v>
      </c>
      <c r="AX296" s="58">
        <v>0.0</v>
      </c>
      <c r="AY296" s="58">
        <v>0.0</v>
      </c>
      <c r="AZ296" s="58">
        <v>0.0</v>
      </c>
      <c r="BA296" s="58">
        <v>0.0</v>
      </c>
      <c r="BB296" s="58">
        <v>6.47</v>
      </c>
      <c r="BC296" s="70" t="s">
        <v>106</v>
      </c>
      <c r="BD296" s="68"/>
      <c r="BF296" s="70">
        <v>86.98</v>
      </c>
      <c r="BG296" s="68">
        <v>-8.7</v>
      </c>
      <c r="BH296" s="68" t="s">
        <v>107</v>
      </c>
      <c r="BI296" s="68" t="s">
        <v>108</v>
      </c>
      <c r="BJ296" s="68" t="s">
        <v>109</v>
      </c>
      <c r="BK296" s="68" t="s">
        <v>430</v>
      </c>
      <c r="BM296" s="68"/>
      <c r="BN296" s="70" t="s">
        <v>111</v>
      </c>
      <c r="BO296" s="68" t="s">
        <v>112</v>
      </c>
      <c r="BP296" s="68" t="s">
        <v>113</v>
      </c>
      <c r="BQ296" s="68" t="s">
        <v>317</v>
      </c>
      <c r="BR296" s="68">
        <v>2.61</v>
      </c>
      <c r="BS296" s="68"/>
      <c r="BT296" s="70">
        <v>-10.0</v>
      </c>
      <c r="BU296" s="68" t="s">
        <v>318</v>
      </c>
      <c r="BV296" s="73"/>
      <c r="BW296" s="64" t="str">
        <f>if(OR(F296="SALE",F296="REFUNDED"),IFERROR(Vlookup(I296,'Listing SKU - Fill SKU Mapping'!A:C,3,false),"Map"),"")</f>
        <v>Keystone</v>
      </c>
      <c r="BX296" s="64" t="str">
        <f>IF(OR(F296="SALE",F296="REFUNDED")=TRUE,iferror(Vlookup(I296,'Listing SKU - Fill SKU Mapping'!A:B,2,false),"Map"),"")</f>
        <v>43117S</v>
      </c>
      <c r="BY296" s="64">
        <f>IF(OR(F296="SALE",F296="REFUNDED")=TRUE,iferror(Vlookup(I296,'Listing SKU - Fill SKU Mapping'!A:D,4,false),"Map"),"")</f>
        <v>33.93</v>
      </c>
      <c r="BZ296" s="66">
        <f t="shared" si="1"/>
        <v>11.5</v>
      </c>
      <c r="CA296" s="66">
        <f t="shared" si="2"/>
        <v>45.43</v>
      </c>
      <c r="CB296" s="66">
        <f t="shared" si="3"/>
        <v>35.46</v>
      </c>
      <c r="CC296" s="64" t="str">
        <f>if(F296="REFUNDED",iferror(Vlookup(I296,'Listing SKU - Fill SKU Mapping'!A:B,2,false),"Map"),"")</f>
        <v/>
      </c>
      <c r="CD296" s="64" t="str">
        <f>if(F296="REFUNDED",iferror(Vlookup(I296,'Listing SKU - Fill SKU Mapping'!A:C,3,false),"Map"),"")</f>
        <v/>
      </c>
      <c r="CE296" s="64" t="str">
        <f t="shared" si="4"/>
        <v>2025</v>
      </c>
      <c r="CF296" s="64" t="str">
        <f t="shared" si="5"/>
        <v>September</v>
      </c>
      <c r="CG296" s="64" t="str">
        <f t="shared" si="6"/>
        <v/>
      </c>
    </row>
    <row r="297">
      <c r="A297" s="55">
        <v>2.0001E14</v>
      </c>
      <c r="B297" s="56">
        <v>1.0</v>
      </c>
      <c r="C297" s="57">
        <v>1.2903E14</v>
      </c>
      <c r="D297" s="58">
        <v>1.0</v>
      </c>
      <c r="F297" s="59" t="s">
        <v>100</v>
      </c>
      <c r="G297" s="60">
        <v>45931.0</v>
      </c>
      <c r="H297" s="58">
        <v>1.0</v>
      </c>
      <c r="I297" s="58" t="s">
        <v>345</v>
      </c>
      <c r="J297" s="61">
        <v>4.67129928385E11</v>
      </c>
      <c r="K297" s="63"/>
      <c r="L297" s="63"/>
      <c r="M297" s="63"/>
      <c r="N297" s="63"/>
      <c r="O297" s="63"/>
      <c r="P297" s="63"/>
      <c r="Q297" s="63"/>
      <c r="R297" s="63"/>
      <c r="S297" s="63"/>
      <c r="T297" s="58" t="s">
        <v>105</v>
      </c>
      <c r="U297" s="59">
        <v>83.98</v>
      </c>
      <c r="V297" s="59">
        <v>78.1</v>
      </c>
      <c r="W297" s="58">
        <v>5.88</v>
      </c>
      <c r="X297" s="58">
        <v>7.0</v>
      </c>
      <c r="Y297" s="58">
        <v>83.98</v>
      </c>
      <c r="Z297" s="59">
        <v>0.0</v>
      </c>
      <c r="AA297" s="58">
        <v>0.0</v>
      </c>
      <c r="AB297" s="58">
        <v>0.0</v>
      </c>
      <c r="AC297" s="58">
        <v>0.0</v>
      </c>
      <c r="AD297" s="58">
        <v>0.0</v>
      </c>
      <c r="AE297" s="58">
        <v>0.0</v>
      </c>
      <c r="AF297" s="58">
        <v>0.0</v>
      </c>
      <c r="AG297" s="58">
        <v>0.0</v>
      </c>
      <c r="AH297" s="58">
        <v>0.0</v>
      </c>
      <c r="AI297" s="58">
        <v>0.0</v>
      </c>
      <c r="AJ297" s="58">
        <v>0.0</v>
      </c>
      <c r="AK297" s="58">
        <v>0.0</v>
      </c>
      <c r="AL297" s="58">
        <v>0.0</v>
      </c>
      <c r="AM297" s="58">
        <v>0.0</v>
      </c>
      <c r="AN297" s="58">
        <v>0.0</v>
      </c>
      <c r="AO297" s="58">
        <v>0.0</v>
      </c>
      <c r="AP297" s="58">
        <v>0.0</v>
      </c>
      <c r="AQ297" s="58">
        <v>0.0</v>
      </c>
      <c r="AR297" s="58">
        <v>0.0</v>
      </c>
      <c r="AS297" s="58">
        <v>0.0</v>
      </c>
      <c r="AT297" s="58">
        <v>0.0</v>
      </c>
      <c r="AU297" s="58">
        <v>0.0</v>
      </c>
      <c r="AV297" s="58">
        <v>0.0</v>
      </c>
      <c r="AW297" s="58">
        <v>0.0</v>
      </c>
      <c r="AX297" s="58">
        <v>0.0</v>
      </c>
      <c r="AY297" s="58">
        <v>0.0</v>
      </c>
      <c r="AZ297" s="58">
        <v>0.0</v>
      </c>
      <c r="BA297" s="58">
        <v>0.0</v>
      </c>
      <c r="BB297" s="58">
        <v>0.0</v>
      </c>
      <c r="BC297" s="70" t="s">
        <v>111</v>
      </c>
      <c r="BD297" s="68"/>
      <c r="BG297" s="70">
        <v>-8.4</v>
      </c>
      <c r="BH297" s="68" t="s">
        <v>107</v>
      </c>
      <c r="BI297" s="68" t="s">
        <v>108</v>
      </c>
      <c r="BJ297" s="68" t="s">
        <v>109</v>
      </c>
      <c r="BK297" s="68" t="s">
        <v>430</v>
      </c>
      <c r="BM297" s="68"/>
      <c r="BN297" s="70" t="s">
        <v>111</v>
      </c>
      <c r="BO297" s="68" t="s">
        <v>112</v>
      </c>
      <c r="BP297" s="68" t="s">
        <v>113</v>
      </c>
      <c r="BQ297" s="68" t="s">
        <v>114</v>
      </c>
      <c r="BR297" s="68">
        <v>2.52</v>
      </c>
      <c r="BS297" s="68"/>
      <c r="BV297" s="72"/>
      <c r="BW297" s="64" t="str">
        <f>if(OR(F297="SALE",F297="REFUNDED"),IFERROR(Vlookup(I297,'Listing SKU - Fill SKU Mapping'!A:C,3,false),"Map"),"")</f>
        <v>Keystone</v>
      </c>
      <c r="BX297" s="64" t="str">
        <f>IF(OR(F297="SALE",F297="REFUNDED")=TRUE,iferror(Vlookup(I297,'Listing SKU - Fill SKU Mapping'!A:B,2,false),"Map"),"")</f>
        <v>52116S</v>
      </c>
      <c r="BY297" s="64">
        <f>IF(OR(F297="SALE",F297="REFUNDED")=TRUE,iferror(Vlookup(I297,'Listing SKU - Fill SKU Mapping'!A:D,4,false),"Map"),"")</f>
        <v>32.35</v>
      </c>
      <c r="BZ297" s="66">
        <f t="shared" si="1"/>
        <v>11.5</v>
      </c>
      <c r="CA297" s="66">
        <f t="shared" si="2"/>
        <v>43.85</v>
      </c>
      <c r="CB297" s="66">
        <f t="shared" si="3"/>
        <v>34.25</v>
      </c>
      <c r="CC297" s="64" t="str">
        <f>if(F297="REFUNDED",iferror(Vlookup(I297,'Listing SKU - Fill SKU Mapping'!A:B,2,false),"Map"),"")</f>
        <v/>
      </c>
      <c r="CD297" s="64" t="str">
        <f>if(F297="REFUNDED",iferror(Vlookup(I297,'Listing SKU - Fill SKU Mapping'!A:C,3,false),"Map"),"")</f>
        <v/>
      </c>
      <c r="CE297" s="64" t="str">
        <f t="shared" si="4"/>
        <v>2025</v>
      </c>
      <c r="CF297" s="64" t="str">
        <f t="shared" si="5"/>
        <v>October</v>
      </c>
      <c r="CG297" s="64" t="str">
        <f t="shared" si="6"/>
        <v/>
      </c>
    </row>
    <row r="298">
      <c r="A298" s="55">
        <v>2.0001E14</v>
      </c>
      <c r="B298" s="56">
        <v>4.0</v>
      </c>
      <c r="C298" s="57">
        <v>1.2902E14</v>
      </c>
      <c r="D298" s="58">
        <v>4.0</v>
      </c>
      <c r="F298" s="59" t="s">
        <v>158</v>
      </c>
      <c r="G298" s="60">
        <v>45928.0</v>
      </c>
      <c r="H298" s="58">
        <v>1.0</v>
      </c>
      <c r="I298" s="58" t="s">
        <v>342</v>
      </c>
      <c r="J298" s="61">
        <v>4.67129958634E11</v>
      </c>
      <c r="K298" s="63"/>
      <c r="L298" s="63"/>
      <c r="M298" s="63"/>
      <c r="N298" s="63"/>
      <c r="O298" s="63"/>
      <c r="P298" s="63"/>
      <c r="Q298" s="63"/>
      <c r="R298" s="63"/>
      <c r="S298" s="63"/>
      <c r="T298" s="58" t="s">
        <v>105</v>
      </c>
      <c r="U298" s="59">
        <v>0.0</v>
      </c>
      <c r="V298" s="59">
        <v>-10.81</v>
      </c>
      <c r="W298" s="58">
        <v>0.0</v>
      </c>
      <c r="X298" s="58">
        <v>0.0</v>
      </c>
      <c r="Y298" s="58">
        <v>0.0</v>
      </c>
      <c r="Z298" s="59">
        <v>0.0</v>
      </c>
      <c r="AA298" s="58">
        <v>0.0</v>
      </c>
      <c r="AB298" s="58">
        <v>0.0</v>
      </c>
      <c r="AC298" s="58">
        <v>0.0</v>
      </c>
      <c r="AD298" s="58">
        <v>0.0</v>
      </c>
      <c r="AE298" s="58">
        <v>0.0</v>
      </c>
      <c r="AF298" s="58">
        <v>0.0</v>
      </c>
      <c r="AG298" s="58">
        <v>0.0</v>
      </c>
      <c r="AH298" s="58">
        <v>0.0</v>
      </c>
      <c r="AI298" s="58">
        <v>0.0</v>
      </c>
      <c r="AJ298" s="58">
        <v>0.0</v>
      </c>
      <c r="AK298" s="58">
        <v>0.0</v>
      </c>
      <c r="AL298" s="58">
        <v>0.0</v>
      </c>
      <c r="AM298" s="58">
        <v>0.0</v>
      </c>
      <c r="AN298" s="58">
        <v>0.0</v>
      </c>
      <c r="AO298" s="58">
        <v>0.0</v>
      </c>
      <c r="AP298" s="58">
        <v>0.0</v>
      </c>
      <c r="AQ298" s="58">
        <v>0.0</v>
      </c>
      <c r="AR298" s="58">
        <v>0.0</v>
      </c>
      <c r="AS298" s="58">
        <v>0.0</v>
      </c>
      <c r="AT298" s="58">
        <v>0.0</v>
      </c>
      <c r="AU298" s="58">
        <v>0.0</v>
      </c>
      <c r="AV298" s="58">
        <v>0.0</v>
      </c>
      <c r="AW298" s="58">
        <v>0.0</v>
      </c>
      <c r="AX298" s="58">
        <v>0.0</v>
      </c>
      <c r="AY298" s="58">
        <v>0.0</v>
      </c>
      <c r="AZ298" s="58">
        <v>0.0</v>
      </c>
      <c r="BA298" s="58">
        <v>0.0</v>
      </c>
      <c r="BB298" s="58">
        <v>0.0</v>
      </c>
      <c r="BC298" s="70" t="s">
        <v>106</v>
      </c>
      <c r="BD298" s="68" t="s">
        <v>163</v>
      </c>
      <c r="BE298" s="68">
        <v>5013.0</v>
      </c>
      <c r="BF298" s="68"/>
      <c r="BH298" s="70" t="s">
        <v>107</v>
      </c>
      <c r="BI298" s="68" t="s">
        <v>108</v>
      </c>
      <c r="BK298" s="68"/>
      <c r="BN298" s="70" t="s">
        <v>111</v>
      </c>
      <c r="BO298" s="68" t="s">
        <v>112</v>
      </c>
      <c r="BQ298" s="68"/>
      <c r="BV298" s="72"/>
      <c r="BW298" s="64" t="str">
        <f>if(OR(F298="SALE",F298="REFUNDED"),IFERROR(Vlookup(I298,'Listing SKU - Fill SKU Mapping'!A:C,3,false),"Map"),"")</f>
        <v/>
      </c>
      <c r="BX298" s="64" t="str">
        <f>IF(OR(F298="SALE",F298="REFUNDED")=TRUE,iferror(Vlookup(I298,'Listing SKU - Fill SKU Mapping'!A:B,2,false),"Map"),"")</f>
        <v/>
      </c>
      <c r="BY298" s="64" t="str">
        <f>IF(OR(F298="SALE",F298="REFUNDED")=TRUE,iferror(Vlookup(I298,'Listing SKU - Fill SKU Mapping'!A:D,4,false),"Map"),"")</f>
        <v/>
      </c>
      <c r="BZ298" s="66" t="str">
        <f t="shared" si="1"/>
        <v/>
      </c>
      <c r="CA298" s="64" t="str">
        <f t="shared" si="2"/>
        <v/>
      </c>
      <c r="CB298" s="64" t="str">
        <f t="shared" si="3"/>
        <v/>
      </c>
      <c r="CC298" s="64" t="str">
        <f>if(F298="REFUNDED",iferror(Vlookup(I298,'Listing SKU - Fill SKU Mapping'!A:B,2,false),"Map"),"")</f>
        <v/>
      </c>
      <c r="CD298" s="64" t="str">
        <f>if(F298="REFUNDED",iferror(Vlookup(I298,'Listing SKU - Fill SKU Mapping'!A:C,3,false),"Map"),"")</f>
        <v/>
      </c>
      <c r="CE298" s="64" t="str">
        <f t="shared" si="4"/>
        <v>2025</v>
      </c>
      <c r="CF298" s="64" t="str">
        <f t="shared" si="5"/>
        <v>September</v>
      </c>
      <c r="CG298" s="64" t="str">
        <f t="shared" si="6"/>
        <v/>
      </c>
    </row>
    <row r="299">
      <c r="A299" s="55">
        <v>2.0001E14</v>
      </c>
      <c r="B299" s="56">
        <v>1.0</v>
      </c>
      <c r="C299" s="57">
        <v>1.2903E14</v>
      </c>
      <c r="D299" s="58">
        <v>1.0</v>
      </c>
      <c r="F299" s="59" t="s">
        <v>100</v>
      </c>
      <c r="G299" s="60">
        <v>45932.0</v>
      </c>
      <c r="H299" s="58">
        <v>1.0</v>
      </c>
      <c r="I299" s="58" t="s">
        <v>436</v>
      </c>
      <c r="J299" s="61">
        <v>4.67129938025E11</v>
      </c>
      <c r="K299" s="63"/>
      <c r="L299" s="63"/>
      <c r="M299" s="63"/>
      <c r="N299" s="63"/>
      <c r="O299" s="63"/>
      <c r="P299" s="63"/>
      <c r="Q299" s="63"/>
      <c r="R299" s="63"/>
      <c r="S299" s="63"/>
      <c r="T299" s="58" t="s">
        <v>105</v>
      </c>
      <c r="U299" s="59">
        <v>86.38</v>
      </c>
      <c r="V299" s="59">
        <v>74.38</v>
      </c>
      <c r="W299" s="58">
        <v>5.6</v>
      </c>
      <c r="X299" s="58">
        <v>7.0</v>
      </c>
      <c r="Y299" s="58">
        <v>79.98</v>
      </c>
      <c r="Z299" s="59">
        <v>0.0</v>
      </c>
      <c r="AA299" s="58">
        <v>0.0</v>
      </c>
      <c r="AB299" s="58">
        <v>0.0</v>
      </c>
      <c r="AC299" s="58">
        <v>0.0</v>
      </c>
      <c r="AD299" s="58">
        <v>0.0</v>
      </c>
      <c r="AE299" s="58">
        <v>0.0</v>
      </c>
      <c r="AF299" s="58">
        <v>0.0</v>
      </c>
      <c r="AG299" s="58">
        <v>0.0</v>
      </c>
      <c r="AH299" s="58">
        <v>0.0</v>
      </c>
      <c r="AI299" s="58">
        <v>0.0</v>
      </c>
      <c r="AJ299" s="58">
        <v>0.0</v>
      </c>
      <c r="AK299" s="58">
        <v>0.0</v>
      </c>
      <c r="AL299" s="58">
        <v>0.0</v>
      </c>
      <c r="AM299" s="58">
        <v>0.0</v>
      </c>
      <c r="AN299" s="58">
        <v>0.0</v>
      </c>
      <c r="AO299" s="58">
        <v>6.4</v>
      </c>
      <c r="AP299" s="58">
        <v>0.0</v>
      </c>
      <c r="AQ299" s="58">
        <v>0.0</v>
      </c>
      <c r="AR299" s="58">
        <v>0.0</v>
      </c>
      <c r="AS299" s="58">
        <v>0.0</v>
      </c>
      <c r="AT299" s="58">
        <v>0.0</v>
      </c>
      <c r="AU299" s="58">
        <v>0.0</v>
      </c>
      <c r="AV299" s="58">
        <v>0.0</v>
      </c>
      <c r="AW299" s="58">
        <v>0.0</v>
      </c>
      <c r="AX299" s="58">
        <v>0.0</v>
      </c>
      <c r="AY299" s="58">
        <v>0.0</v>
      </c>
      <c r="AZ299" s="58">
        <v>0.0</v>
      </c>
      <c r="BA299" s="58">
        <v>0.0</v>
      </c>
      <c r="BB299" s="58">
        <v>6.4</v>
      </c>
      <c r="BC299" s="70" t="s">
        <v>106</v>
      </c>
      <c r="BD299" s="68"/>
      <c r="BG299" s="70">
        <v>-8.0</v>
      </c>
      <c r="BH299" s="68" t="s">
        <v>107</v>
      </c>
      <c r="BI299" s="68" t="s">
        <v>108</v>
      </c>
      <c r="BJ299" s="68" t="s">
        <v>109</v>
      </c>
      <c r="BK299" s="68" t="s">
        <v>430</v>
      </c>
      <c r="BM299" s="68"/>
      <c r="BN299" s="70" t="s">
        <v>111</v>
      </c>
      <c r="BO299" s="68" t="s">
        <v>112</v>
      </c>
      <c r="BP299" s="68" t="s">
        <v>113</v>
      </c>
      <c r="BQ299" s="68" t="s">
        <v>114</v>
      </c>
      <c r="BR299" s="68">
        <v>2.4</v>
      </c>
      <c r="BS299" s="68"/>
      <c r="BV299" s="72"/>
      <c r="BW299" s="64" t="str">
        <f>if(OR(F299="SALE",F299="REFUNDED"),IFERROR(Vlookup(I299,'Listing SKU - Fill SKU Mapping'!A:C,3,false),"Map"),"")</f>
        <v>Keystone</v>
      </c>
      <c r="BX299" s="64" t="str">
        <f>IF(OR(F299="SALE",F299="REFUNDED")=TRUE,iferror(Vlookup(I299,'Listing SKU - Fill SKU Mapping'!A:B,2,false),"Map"),"")</f>
        <v>51917BLK</v>
      </c>
      <c r="BY299" s="64">
        <f>IF(OR(F299="SALE",F299="REFUNDED")=TRUE,iferror(Vlookup(I299,'Listing SKU - Fill SKU Mapping'!A:D,4,false),"Map"),"")</f>
        <v>29.58</v>
      </c>
      <c r="BZ299" s="66">
        <f t="shared" si="1"/>
        <v>11.5</v>
      </c>
      <c r="CA299" s="66">
        <f t="shared" si="2"/>
        <v>41.08</v>
      </c>
      <c r="CB299" s="66">
        <f t="shared" si="3"/>
        <v>33.3</v>
      </c>
      <c r="CC299" s="64" t="str">
        <f>if(F299="REFUNDED",iferror(Vlookup(I299,'Listing SKU - Fill SKU Mapping'!A:B,2,false),"Map"),"")</f>
        <v/>
      </c>
      <c r="CD299" s="64" t="str">
        <f>if(F299="REFUNDED",iferror(Vlookup(I299,'Listing SKU - Fill SKU Mapping'!A:C,3,false),"Map"),"")</f>
        <v/>
      </c>
      <c r="CE299" s="64" t="str">
        <f t="shared" si="4"/>
        <v>2025</v>
      </c>
      <c r="CF299" s="64" t="str">
        <f t="shared" si="5"/>
        <v>October</v>
      </c>
      <c r="CG299" s="64" t="str">
        <f t="shared" si="6"/>
        <v/>
      </c>
    </row>
    <row r="300">
      <c r="A300" s="55">
        <v>2.0001E14</v>
      </c>
      <c r="B300" s="56">
        <v>1.0</v>
      </c>
      <c r="C300" s="57">
        <v>1.2903E14</v>
      </c>
      <c r="D300" s="58">
        <v>1.0</v>
      </c>
      <c r="F300" s="59" t="s">
        <v>100</v>
      </c>
      <c r="G300" s="60">
        <v>45933.0</v>
      </c>
      <c r="H300" s="58">
        <v>1.0</v>
      </c>
      <c r="I300" s="58" t="s">
        <v>420</v>
      </c>
      <c r="J300" s="61">
        <v>4.50400888287E11</v>
      </c>
      <c r="K300" s="63"/>
      <c r="L300" s="63"/>
      <c r="M300" s="63"/>
      <c r="N300" s="63"/>
      <c r="O300" s="63"/>
      <c r="P300" s="63"/>
      <c r="Q300" s="63"/>
      <c r="R300" s="63"/>
      <c r="S300" s="63"/>
      <c r="T300" s="58" t="s">
        <v>437</v>
      </c>
      <c r="U300" s="59">
        <v>31.12</v>
      </c>
      <c r="V300" s="59">
        <v>22.98</v>
      </c>
      <c r="W300" s="58">
        <v>0.0</v>
      </c>
      <c r="X300" s="58">
        <v>0.0</v>
      </c>
      <c r="Y300" s="58">
        <v>22.98</v>
      </c>
      <c r="Z300" s="59">
        <v>0.0</v>
      </c>
      <c r="AA300" s="58">
        <v>0.0</v>
      </c>
      <c r="AB300" s="58">
        <v>6.99</v>
      </c>
      <c r="AC300" s="58">
        <v>0.0</v>
      </c>
      <c r="AD300" s="58">
        <v>0.0</v>
      </c>
      <c r="AE300" s="58">
        <v>6.99</v>
      </c>
      <c r="AF300" s="58">
        <v>0.0</v>
      </c>
      <c r="AG300" s="58">
        <v>0.0</v>
      </c>
      <c r="AH300" s="58">
        <v>0.0</v>
      </c>
      <c r="AI300" s="58">
        <v>0.0</v>
      </c>
      <c r="AJ300" s="58">
        <v>0.0</v>
      </c>
      <c r="AK300" s="58">
        <v>0.0</v>
      </c>
      <c r="AL300" s="58">
        <v>0.0</v>
      </c>
      <c r="AM300" s="58">
        <v>0.0</v>
      </c>
      <c r="AN300" s="58">
        <v>0.0</v>
      </c>
      <c r="AO300" s="58">
        <v>1.15</v>
      </c>
      <c r="AP300" s="58">
        <v>0.0</v>
      </c>
      <c r="AQ300" s="58">
        <v>0.0</v>
      </c>
      <c r="AR300" s="58">
        <v>0.0</v>
      </c>
      <c r="AS300" s="58">
        <v>0.0</v>
      </c>
      <c r="AT300" s="58">
        <v>0.0</v>
      </c>
      <c r="AU300" s="58">
        <v>0.0</v>
      </c>
      <c r="AV300" s="58">
        <v>0.0</v>
      </c>
      <c r="AW300" s="58">
        <v>0.0</v>
      </c>
      <c r="AX300" s="58">
        <v>0.0</v>
      </c>
      <c r="AY300" s="58">
        <v>0.0</v>
      </c>
      <c r="AZ300" s="58">
        <v>0.0</v>
      </c>
      <c r="BA300" s="58">
        <v>0.0</v>
      </c>
      <c r="BB300" s="58">
        <v>1.15</v>
      </c>
      <c r="BC300" s="70" t="s">
        <v>106</v>
      </c>
      <c r="BD300" s="68"/>
      <c r="BG300" s="70">
        <v>-2.76</v>
      </c>
      <c r="BH300" s="68" t="s">
        <v>421</v>
      </c>
      <c r="BI300" s="68" t="s">
        <v>422</v>
      </c>
      <c r="BJ300" s="68" t="s">
        <v>423</v>
      </c>
      <c r="BK300" s="68" t="s">
        <v>438</v>
      </c>
      <c r="BM300" s="68"/>
      <c r="BN300" s="70" t="s">
        <v>111</v>
      </c>
      <c r="BO300" s="68" t="s">
        <v>424</v>
      </c>
      <c r="BP300" s="68" t="s">
        <v>113</v>
      </c>
      <c r="BQ300" s="68" t="s">
        <v>348</v>
      </c>
      <c r="BR300" s="68">
        <v>2.76</v>
      </c>
      <c r="BS300" s="68"/>
      <c r="BV300" s="72"/>
      <c r="BW300" s="64" t="str">
        <f>if(OR(F300="SALE",F300="REFUNDED"),IFERROR(Vlookup(I300,'Listing SKU - Fill SKU Mapping'!A:C,3,false),"Map"),"")</f>
        <v>Map</v>
      </c>
      <c r="BX300" s="64" t="str">
        <f>IF(OR(F300="SALE",F300="REFUNDED")=TRUE,iferror(Vlookup(I300,'Listing SKU - Fill SKU Mapping'!A:B,2,false),"Map"),"")</f>
        <v>Map</v>
      </c>
      <c r="BY300" s="64" t="str">
        <f>IF(OR(F300="SALE",F300="REFUNDED")=TRUE,iferror(Vlookup(I300,'Listing SKU - Fill SKU Mapping'!A:D,4,false),"Map"),"")</f>
        <v>Map</v>
      </c>
      <c r="BZ300" s="66" t="str">
        <f t="shared" si="1"/>
        <v/>
      </c>
      <c r="CA300" s="64" t="str">
        <f t="shared" si="2"/>
        <v/>
      </c>
      <c r="CB300" s="64">
        <f t="shared" si="3"/>
        <v>22.98</v>
      </c>
      <c r="CC300" s="64" t="str">
        <f>if(F300="REFUNDED",iferror(Vlookup(I300,'Listing SKU - Fill SKU Mapping'!A:B,2,false),"Map"),"")</f>
        <v/>
      </c>
      <c r="CD300" s="64" t="str">
        <f>if(F300="REFUNDED",iferror(Vlookup(I300,'Listing SKU - Fill SKU Mapping'!A:C,3,false),"Map"),"")</f>
        <v/>
      </c>
      <c r="CE300" s="64" t="str">
        <f t="shared" si="4"/>
        <v>2025</v>
      </c>
      <c r="CF300" s="64" t="str">
        <f t="shared" si="5"/>
        <v>October</v>
      </c>
      <c r="CG300" s="64" t="str">
        <f t="shared" si="6"/>
        <v/>
      </c>
    </row>
    <row r="301">
      <c r="A301" s="55">
        <v>2.0001E14</v>
      </c>
      <c r="B301" s="56">
        <v>1.0</v>
      </c>
      <c r="C301" s="57">
        <v>1.2903E14</v>
      </c>
      <c r="D301" s="58">
        <v>1.0</v>
      </c>
      <c r="F301" s="59" t="s">
        <v>158</v>
      </c>
      <c r="G301" s="60">
        <v>45933.0</v>
      </c>
      <c r="H301" s="58">
        <v>1.0</v>
      </c>
      <c r="I301" s="58" t="s">
        <v>420</v>
      </c>
      <c r="J301" s="61">
        <v>4.50400888287E11</v>
      </c>
      <c r="K301" s="63"/>
      <c r="L301" s="63"/>
      <c r="M301" s="63"/>
      <c r="N301" s="63"/>
      <c r="O301" s="63"/>
      <c r="P301" s="63"/>
      <c r="Q301" s="63"/>
      <c r="R301" s="63"/>
      <c r="S301" s="63"/>
      <c r="T301" s="58" t="s">
        <v>437</v>
      </c>
      <c r="U301" s="59">
        <v>0.0</v>
      </c>
      <c r="V301" s="59">
        <v>-6.15</v>
      </c>
      <c r="W301" s="58">
        <v>6.15</v>
      </c>
      <c r="X301" s="58">
        <v>0.0</v>
      </c>
      <c r="Y301" s="58">
        <v>0.0</v>
      </c>
      <c r="Z301" s="59">
        <v>0.0</v>
      </c>
      <c r="AA301" s="58">
        <v>0.0</v>
      </c>
      <c r="AB301" s="58">
        <v>0.0</v>
      </c>
      <c r="AC301" s="58">
        <v>0.0</v>
      </c>
      <c r="AD301" s="58">
        <v>0.0</v>
      </c>
      <c r="AE301" s="58">
        <v>0.0</v>
      </c>
      <c r="AF301" s="58">
        <v>0.0</v>
      </c>
      <c r="AG301" s="58">
        <v>0.0</v>
      </c>
      <c r="AH301" s="58">
        <v>0.0</v>
      </c>
      <c r="AI301" s="58">
        <v>0.0</v>
      </c>
      <c r="AJ301" s="58">
        <v>0.0</v>
      </c>
      <c r="AK301" s="58">
        <v>0.0</v>
      </c>
      <c r="AL301" s="58">
        <v>0.0</v>
      </c>
      <c r="AM301" s="58">
        <v>0.0</v>
      </c>
      <c r="AN301" s="58">
        <v>0.0</v>
      </c>
      <c r="AO301" s="58">
        <v>0.0</v>
      </c>
      <c r="AP301" s="58">
        <v>0.0</v>
      </c>
      <c r="AQ301" s="58">
        <v>0.0</v>
      </c>
      <c r="AR301" s="58">
        <v>0.0</v>
      </c>
      <c r="AS301" s="58">
        <v>0.0</v>
      </c>
      <c r="AT301" s="58">
        <v>0.0</v>
      </c>
      <c r="AU301" s="58">
        <v>0.0</v>
      </c>
      <c r="AV301" s="58">
        <v>0.0</v>
      </c>
      <c r="AW301" s="58">
        <v>0.0</v>
      </c>
      <c r="AX301" s="58">
        <v>0.0</v>
      </c>
      <c r="AY301" s="58">
        <v>0.0</v>
      </c>
      <c r="AZ301" s="58">
        <v>0.0</v>
      </c>
      <c r="BA301" s="58">
        <v>0.0</v>
      </c>
      <c r="BB301" s="58">
        <v>0.0</v>
      </c>
      <c r="BC301" s="70" t="s">
        <v>106</v>
      </c>
      <c r="BD301" s="68" t="s">
        <v>425</v>
      </c>
      <c r="BE301" s="68">
        <v>5041.0</v>
      </c>
      <c r="BF301" s="68"/>
      <c r="BH301" s="70" t="s">
        <v>421</v>
      </c>
      <c r="BI301" s="68" t="s">
        <v>422</v>
      </c>
      <c r="BL301" s="68"/>
      <c r="BN301" s="70" t="s">
        <v>111</v>
      </c>
      <c r="BO301" s="68" t="s">
        <v>424</v>
      </c>
      <c r="BQ301" s="68"/>
      <c r="BV301" s="72"/>
      <c r="BW301" s="64" t="str">
        <f>if(OR(F301="SALE",F301="REFUNDED"),IFERROR(Vlookup(I301,'Listing SKU - Fill SKU Mapping'!A:C,3,false),"Map"),"")</f>
        <v/>
      </c>
      <c r="BX301" s="64" t="str">
        <f>IF(OR(F301="SALE",F301="REFUNDED")=TRUE,iferror(Vlookup(I301,'Listing SKU - Fill SKU Mapping'!A:B,2,false),"Map"),"")</f>
        <v/>
      </c>
      <c r="BY301" s="64" t="str">
        <f>IF(OR(F301="SALE",F301="REFUNDED")=TRUE,iferror(Vlookup(I301,'Listing SKU - Fill SKU Mapping'!A:D,4,false),"Map"),"")</f>
        <v/>
      </c>
      <c r="BZ301" s="66" t="str">
        <f t="shared" si="1"/>
        <v/>
      </c>
      <c r="CA301" s="64" t="str">
        <f t="shared" si="2"/>
        <v/>
      </c>
      <c r="CB301" s="64" t="str">
        <f t="shared" si="3"/>
        <v/>
      </c>
      <c r="CC301" s="64" t="str">
        <f>if(F301="REFUNDED",iferror(Vlookup(I301,'Listing SKU - Fill SKU Mapping'!A:B,2,false),"Map"),"")</f>
        <v/>
      </c>
      <c r="CD301" s="64" t="str">
        <f>if(F301="REFUNDED",iferror(Vlookup(I301,'Listing SKU - Fill SKU Mapping'!A:C,3,false),"Map"),"")</f>
        <v/>
      </c>
      <c r="CE301" s="64" t="str">
        <f t="shared" si="4"/>
        <v>2025</v>
      </c>
      <c r="CF301" s="64" t="str">
        <f t="shared" si="5"/>
        <v>October</v>
      </c>
      <c r="CG301" s="64" t="str">
        <f t="shared" si="6"/>
        <v/>
      </c>
    </row>
    <row r="302">
      <c r="A302" s="55">
        <v>2.0001E14</v>
      </c>
      <c r="B302" s="56">
        <v>1.0</v>
      </c>
      <c r="C302" s="57">
        <v>1.2903E14</v>
      </c>
      <c r="D302" s="58">
        <v>1.0</v>
      </c>
      <c r="F302" s="59" t="s">
        <v>100</v>
      </c>
      <c r="G302" s="60">
        <v>45930.0</v>
      </c>
      <c r="H302" s="58">
        <v>1.0</v>
      </c>
      <c r="I302" s="58" t="s">
        <v>347</v>
      </c>
      <c r="J302" s="61">
        <v>4.67129950577E11</v>
      </c>
      <c r="K302" s="63"/>
      <c r="L302" s="63"/>
      <c r="M302" s="63"/>
      <c r="N302" s="63"/>
      <c r="O302" s="63"/>
      <c r="P302" s="63"/>
      <c r="Q302" s="63"/>
      <c r="R302" s="63"/>
      <c r="S302" s="63"/>
      <c r="T302" s="58" t="s">
        <v>105</v>
      </c>
      <c r="U302" s="59">
        <v>83.72</v>
      </c>
      <c r="V302" s="59">
        <v>73.45</v>
      </c>
      <c r="W302" s="58">
        <v>5.53</v>
      </c>
      <c r="X302" s="58">
        <v>7.0</v>
      </c>
      <c r="Y302" s="58">
        <v>78.98</v>
      </c>
      <c r="Z302" s="59">
        <v>0.0</v>
      </c>
      <c r="AA302" s="58">
        <v>0.0</v>
      </c>
      <c r="AB302" s="58">
        <v>0.0</v>
      </c>
      <c r="AC302" s="58">
        <v>0.0</v>
      </c>
      <c r="AD302" s="58">
        <v>0.0</v>
      </c>
      <c r="AE302" s="58">
        <v>0.0</v>
      </c>
      <c r="AF302" s="58">
        <v>0.0</v>
      </c>
      <c r="AG302" s="58">
        <v>0.0</v>
      </c>
      <c r="AH302" s="58">
        <v>0.0</v>
      </c>
      <c r="AI302" s="58">
        <v>0.0</v>
      </c>
      <c r="AJ302" s="58">
        <v>0.0</v>
      </c>
      <c r="AK302" s="58">
        <v>0.0</v>
      </c>
      <c r="AL302" s="58">
        <v>0.0</v>
      </c>
      <c r="AM302" s="58">
        <v>0.0</v>
      </c>
      <c r="AN302" s="58">
        <v>0.0</v>
      </c>
      <c r="AO302" s="58">
        <v>4.74</v>
      </c>
      <c r="AP302" s="58">
        <v>0.0</v>
      </c>
      <c r="AQ302" s="58">
        <v>0.0</v>
      </c>
      <c r="AR302" s="58">
        <v>0.0</v>
      </c>
      <c r="AS302" s="58">
        <v>0.0</v>
      </c>
      <c r="AT302" s="58">
        <v>0.0</v>
      </c>
      <c r="AU302" s="58">
        <v>0.0</v>
      </c>
      <c r="AV302" s="58">
        <v>0.0</v>
      </c>
      <c r="AW302" s="58">
        <v>0.0</v>
      </c>
      <c r="AX302" s="58">
        <v>0.0</v>
      </c>
      <c r="AY302" s="58">
        <v>0.0</v>
      </c>
      <c r="AZ302" s="58">
        <v>0.0</v>
      </c>
      <c r="BA302" s="58">
        <v>0.0</v>
      </c>
      <c r="BB302" s="58">
        <v>4.74</v>
      </c>
      <c r="BC302" s="70" t="s">
        <v>106</v>
      </c>
      <c r="BD302" s="68"/>
      <c r="BG302" s="70">
        <v>-7.9</v>
      </c>
      <c r="BH302" s="68" t="s">
        <v>107</v>
      </c>
      <c r="BI302" s="68" t="s">
        <v>108</v>
      </c>
      <c r="BJ302" s="68" t="s">
        <v>109</v>
      </c>
      <c r="BK302" s="68" t="s">
        <v>430</v>
      </c>
      <c r="BM302" s="68"/>
      <c r="BN302" s="70" t="s">
        <v>111</v>
      </c>
      <c r="BO302" s="68" t="s">
        <v>112</v>
      </c>
      <c r="BP302" s="68" t="s">
        <v>113</v>
      </c>
      <c r="BQ302" s="68" t="s">
        <v>114</v>
      </c>
      <c r="BR302" s="68">
        <v>2.37</v>
      </c>
      <c r="BS302" s="68"/>
      <c r="BV302" s="72"/>
      <c r="BW302" s="64" t="str">
        <f>if(OR(F302="SALE",F302="REFUNDED"),IFERROR(Vlookup(I302,'Listing SKU - Fill SKU Mapping'!A:C,3,false),"Map"),"")</f>
        <v>Keystone</v>
      </c>
      <c r="BX302" s="64" t="str">
        <f>IF(OR(F302="SALE",F302="REFUNDED")=TRUE,iferror(Vlookup(I302,'Listing SKU - Fill SKU Mapping'!A:B,2,false),"Map"),"")</f>
        <v>51015S</v>
      </c>
      <c r="BY302" s="64">
        <f>IF(OR(F302="SALE",F302="REFUNDED")=TRUE,iferror(Vlookup(I302,'Listing SKU - Fill SKU Mapping'!A:D,4,false),"Map"),"")</f>
        <v>28.8</v>
      </c>
      <c r="BZ302" s="66">
        <f t="shared" si="1"/>
        <v>11.5</v>
      </c>
      <c r="CA302" s="66">
        <f t="shared" si="2"/>
        <v>40.3</v>
      </c>
      <c r="CB302" s="66">
        <f t="shared" si="3"/>
        <v>33.15</v>
      </c>
      <c r="CC302" s="64" t="str">
        <f>if(F302="REFUNDED",iferror(Vlookup(I302,'Listing SKU - Fill SKU Mapping'!A:B,2,false),"Map"),"")</f>
        <v/>
      </c>
      <c r="CD302" s="64" t="str">
        <f>if(F302="REFUNDED",iferror(Vlookup(I302,'Listing SKU - Fill SKU Mapping'!A:C,3,false),"Map"),"")</f>
        <v/>
      </c>
      <c r="CE302" s="64" t="str">
        <f t="shared" si="4"/>
        <v>2025</v>
      </c>
      <c r="CF302" s="64" t="str">
        <f t="shared" si="5"/>
        <v>September</v>
      </c>
      <c r="CG302" s="64" t="str">
        <f t="shared" si="6"/>
        <v/>
      </c>
    </row>
    <row r="303">
      <c r="A303" s="55">
        <v>2.0001E14</v>
      </c>
      <c r="B303" s="56">
        <v>1.0</v>
      </c>
      <c r="C303" s="57">
        <v>1.2903E14</v>
      </c>
      <c r="D303" s="58">
        <v>1.0</v>
      </c>
      <c r="F303" s="59" t="s">
        <v>100</v>
      </c>
      <c r="G303" s="60">
        <v>45922.0</v>
      </c>
      <c r="H303" s="58">
        <v>1.0</v>
      </c>
      <c r="I303" s="58" t="s">
        <v>439</v>
      </c>
      <c r="J303" s="61">
        <v>4.60776235998E11</v>
      </c>
      <c r="K303" s="63"/>
      <c r="L303" s="63"/>
      <c r="M303" s="63"/>
      <c r="N303" s="63"/>
      <c r="O303" s="63"/>
      <c r="P303" s="63"/>
      <c r="Q303" s="63"/>
      <c r="R303" s="63"/>
      <c r="S303" s="63"/>
      <c r="T303" s="58" t="s">
        <v>105</v>
      </c>
      <c r="U303" s="59">
        <v>127.07</v>
      </c>
      <c r="V303" s="59">
        <v>125.53</v>
      </c>
      <c r="W303" s="58">
        <v>9.45</v>
      </c>
      <c r="X303" s="58">
        <v>7.0</v>
      </c>
      <c r="Y303" s="58">
        <v>117.93</v>
      </c>
      <c r="Z303" s="59">
        <v>0.0</v>
      </c>
      <c r="AA303" s="58">
        <v>0.0</v>
      </c>
      <c r="AB303" s="58">
        <v>0.0</v>
      </c>
      <c r="AC303" s="58">
        <v>0.0</v>
      </c>
      <c r="AD303" s="58">
        <v>0.0</v>
      </c>
      <c r="AE303" s="58">
        <v>0.0</v>
      </c>
      <c r="AF303" s="58">
        <v>0.0</v>
      </c>
      <c r="AG303" s="58">
        <v>0.0</v>
      </c>
      <c r="AH303" s="58">
        <v>0.0</v>
      </c>
      <c r="AI303" s="58">
        <v>0.0</v>
      </c>
      <c r="AJ303" s="58">
        <v>0.0</v>
      </c>
      <c r="AK303" s="58">
        <v>0.0</v>
      </c>
      <c r="AL303" s="58">
        <v>0.0</v>
      </c>
      <c r="AM303" s="58">
        <v>0.0</v>
      </c>
      <c r="AN303" s="58">
        <v>0.0</v>
      </c>
      <c r="AO303" s="58">
        <v>9.14</v>
      </c>
      <c r="AP303" s="58">
        <v>0.0</v>
      </c>
      <c r="AQ303" s="58">
        <v>0.0</v>
      </c>
      <c r="AR303" s="58">
        <v>0.0</v>
      </c>
      <c r="AS303" s="58">
        <v>0.0</v>
      </c>
      <c r="AT303" s="58">
        <v>0.0</v>
      </c>
      <c r="AU303" s="58">
        <v>0.0</v>
      </c>
      <c r="AV303" s="58">
        <v>0.0</v>
      </c>
      <c r="AW303" s="58">
        <v>0.0</v>
      </c>
      <c r="AX303" s="58">
        <v>0.0</v>
      </c>
      <c r="AY303" s="58">
        <v>0.0</v>
      </c>
      <c r="AZ303" s="58">
        <v>0.0</v>
      </c>
      <c r="BA303" s="58">
        <v>0.0</v>
      </c>
      <c r="BB303" s="58">
        <v>9.14</v>
      </c>
      <c r="BC303" s="70" t="s">
        <v>106</v>
      </c>
      <c r="BD303" s="68"/>
      <c r="BF303" s="70">
        <v>134.98</v>
      </c>
      <c r="BG303" s="68">
        <v>-13.5</v>
      </c>
      <c r="BH303" s="68" t="s">
        <v>107</v>
      </c>
      <c r="BI303" s="68" t="s">
        <v>108</v>
      </c>
      <c r="BJ303" s="68" t="s">
        <v>109</v>
      </c>
      <c r="BK303" s="68" t="s">
        <v>432</v>
      </c>
      <c r="BM303" s="68"/>
      <c r="BN303" s="70" t="s">
        <v>111</v>
      </c>
      <c r="BO303" s="68" t="s">
        <v>112</v>
      </c>
      <c r="BP303" s="68" t="s">
        <v>113</v>
      </c>
      <c r="BQ303" s="68" t="s">
        <v>317</v>
      </c>
      <c r="BR303" s="68">
        <v>4.05</v>
      </c>
      <c r="BS303" s="68"/>
      <c r="BT303" s="70">
        <v>-17.05</v>
      </c>
      <c r="BU303" s="68" t="s">
        <v>318</v>
      </c>
      <c r="BV303" s="73"/>
      <c r="BW303" s="64" t="str">
        <f>if(OR(F303="SALE",F303="REFUNDED"),IFERROR(Vlookup(I303,'Listing SKU - Fill SKU Mapping'!A:C,3,false),"Map"),"")</f>
        <v>Keystone</v>
      </c>
      <c r="BX303" s="64" t="str">
        <f>IF(OR(F303="SALE",F303="REFUNDED")=TRUE,iferror(Vlookup(I303,'Listing SKU - Fill SKU Mapping'!A:B,2,false),"Map"),"")</f>
        <v>IMP391X</v>
      </c>
      <c r="BY303" s="64">
        <f>IF(OR(F303="SALE",F303="REFUNDED")=TRUE,iferror(Vlookup(I303,'Listing SKU - Fill SKU Mapping'!A:D,4,false),"Map"),"")</f>
        <v>67.06</v>
      </c>
      <c r="BZ303" s="66">
        <f t="shared" si="1"/>
        <v>11.5</v>
      </c>
      <c r="CA303" s="66">
        <f t="shared" si="2"/>
        <v>78.56</v>
      </c>
      <c r="CB303" s="66">
        <f t="shared" si="3"/>
        <v>46.97</v>
      </c>
      <c r="CC303" s="64" t="str">
        <f>if(F303="REFUNDED",iferror(Vlookup(I303,'Listing SKU - Fill SKU Mapping'!A:B,2,false),"Map"),"")</f>
        <v/>
      </c>
      <c r="CD303" s="64" t="str">
        <f>if(F303="REFUNDED",iferror(Vlookup(I303,'Listing SKU - Fill SKU Mapping'!A:C,3,false),"Map"),"")</f>
        <v/>
      </c>
      <c r="CE303" s="64" t="str">
        <f t="shared" si="4"/>
        <v>2025</v>
      </c>
      <c r="CF303" s="64" t="str">
        <f t="shared" si="5"/>
        <v>September</v>
      </c>
      <c r="CG303" s="64" t="str">
        <f t="shared" si="6"/>
        <v/>
      </c>
    </row>
    <row r="304">
      <c r="A304" s="55">
        <v>2.0001E14</v>
      </c>
      <c r="B304" s="56">
        <v>1.0</v>
      </c>
      <c r="C304" s="57">
        <v>1.2903E14</v>
      </c>
      <c r="D304" s="58">
        <v>1.0</v>
      </c>
      <c r="F304" s="59" t="s">
        <v>128</v>
      </c>
      <c r="G304" s="60">
        <v>45927.0</v>
      </c>
      <c r="H304" s="58">
        <v>1.0</v>
      </c>
      <c r="I304" s="58" t="s">
        <v>439</v>
      </c>
      <c r="J304" s="61">
        <v>4.60776235998E11</v>
      </c>
      <c r="K304" s="63"/>
      <c r="L304" s="63"/>
      <c r="M304" s="63"/>
      <c r="N304" s="63"/>
      <c r="O304" s="63"/>
      <c r="P304" s="63"/>
      <c r="Q304" s="63"/>
      <c r="R304" s="63"/>
      <c r="S304" s="63"/>
      <c r="U304" s="59">
        <v>-127.07</v>
      </c>
      <c r="V304" s="59">
        <v>-125.53</v>
      </c>
      <c r="W304" s="58">
        <v>-9.45</v>
      </c>
      <c r="X304" s="58">
        <v>0.0</v>
      </c>
      <c r="Y304" s="58">
        <v>0.0</v>
      </c>
      <c r="Z304" s="59">
        <v>-117.93</v>
      </c>
      <c r="AA304" s="58">
        <v>0.0</v>
      </c>
      <c r="AB304" s="58">
        <v>0.0</v>
      </c>
      <c r="AC304" s="58">
        <v>0.0</v>
      </c>
      <c r="AD304" s="58">
        <v>0.0</v>
      </c>
      <c r="AE304" s="58">
        <v>0.0</v>
      </c>
      <c r="AF304" s="58">
        <v>0.0</v>
      </c>
      <c r="AG304" s="58">
        <v>0.0</v>
      </c>
      <c r="AH304" s="58">
        <v>0.0</v>
      </c>
      <c r="AI304" s="58">
        <v>0.0</v>
      </c>
      <c r="AJ304" s="58">
        <v>0.0</v>
      </c>
      <c r="AK304" s="58">
        <v>0.0</v>
      </c>
      <c r="AL304" s="58">
        <v>0.0</v>
      </c>
      <c r="AM304" s="58">
        <v>0.0</v>
      </c>
      <c r="AN304" s="58">
        <v>0.0</v>
      </c>
      <c r="AO304" s="58">
        <v>0.0</v>
      </c>
      <c r="AP304" s="58">
        <v>0.0</v>
      </c>
      <c r="AQ304" s="58">
        <v>0.0</v>
      </c>
      <c r="AR304" s="58">
        <v>0.0</v>
      </c>
      <c r="AS304" s="58">
        <v>0.0</v>
      </c>
      <c r="AT304" s="58">
        <v>-9.14</v>
      </c>
      <c r="AU304" s="58">
        <v>0.0</v>
      </c>
      <c r="AV304" s="58">
        <v>0.0</v>
      </c>
      <c r="AW304" s="58">
        <v>0.0</v>
      </c>
      <c r="AX304" s="58">
        <v>0.0</v>
      </c>
      <c r="AY304" s="58">
        <v>0.0</v>
      </c>
      <c r="AZ304" s="58">
        <v>0.0</v>
      </c>
      <c r="BA304" s="58">
        <v>0.0</v>
      </c>
      <c r="BB304" s="58">
        <v>-9.14</v>
      </c>
      <c r="BC304" s="68" t="s">
        <v>106</v>
      </c>
      <c r="BD304" s="68" t="s">
        <v>156</v>
      </c>
      <c r="BE304" s="68">
        <v>5010.0</v>
      </c>
      <c r="BF304" s="68">
        <v>134.98</v>
      </c>
      <c r="BG304" s="68"/>
      <c r="BH304" s="70" t="s">
        <v>107</v>
      </c>
      <c r="BI304" s="68" t="s">
        <v>108</v>
      </c>
      <c r="BK304" s="68"/>
      <c r="BL304" s="70">
        <v>1018.0</v>
      </c>
      <c r="BM304" s="68" t="s">
        <v>157</v>
      </c>
      <c r="BN304" s="68" t="s">
        <v>111</v>
      </c>
      <c r="BO304" s="68" t="s">
        <v>112</v>
      </c>
      <c r="BQ304" s="68"/>
      <c r="BT304" s="70">
        <v>17.05</v>
      </c>
      <c r="BU304" s="68"/>
      <c r="BV304" s="72"/>
      <c r="BW304" s="64" t="str">
        <f>if(OR(F304="SALE",F304="REFUNDED"),IFERROR(Vlookup(I304,'Listing SKU - Fill SKU Mapping'!A:C,3,false),"Map"),"")</f>
        <v>Keystone</v>
      </c>
      <c r="BX304" s="64" t="str">
        <f>IF(OR(F304="SALE",F304="REFUNDED")=TRUE,iferror(Vlookup(I304,'Listing SKU - Fill SKU Mapping'!A:B,2,false),"Map"),"")</f>
        <v>IMP391X</v>
      </c>
      <c r="BY304" s="64">
        <f>IF(OR(F304="SALE",F304="REFUNDED")=TRUE,iferror(Vlookup(I304,'Listing SKU - Fill SKU Mapping'!A:D,4,false),"Map"),"")</f>
        <v>67.06</v>
      </c>
      <c r="BZ304" s="66">
        <f t="shared" si="1"/>
        <v>11.5</v>
      </c>
      <c r="CA304" s="66">
        <f t="shared" si="2"/>
        <v>78.56</v>
      </c>
      <c r="CB304" s="64" t="str">
        <f t="shared" si="3"/>
        <v/>
      </c>
      <c r="CC304" s="64" t="str">
        <f>if(F304="REFUNDED",iferror(Vlookup(I304,'Listing SKU - Fill SKU Mapping'!A:B,2,false),"Map"),"")</f>
        <v>IMP391X</v>
      </c>
      <c r="CD304" s="64" t="str">
        <f>if(F304="REFUNDED",iferror(Vlookup(I304,'Listing SKU - Fill SKU Mapping'!A:C,3,false),"Map"),"")</f>
        <v>Keystone</v>
      </c>
      <c r="CE304" s="64" t="str">
        <f t="shared" si="4"/>
        <v>2025</v>
      </c>
      <c r="CF304" s="64" t="str">
        <f t="shared" si="5"/>
        <v>September</v>
      </c>
      <c r="CG304" s="64" t="str">
        <f t="shared" si="6"/>
        <v/>
      </c>
    </row>
    <row r="305">
      <c r="A305" s="55">
        <v>2.0001E14</v>
      </c>
      <c r="B305" s="56">
        <v>1.0</v>
      </c>
      <c r="C305" s="57">
        <v>1.2903E14</v>
      </c>
      <c r="D305" s="58">
        <v>1.0</v>
      </c>
      <c r="F305" s="59" t="s">
        <v>100</v>
      </c>
      <c r="G305" s="60">
        <v>45931.0</v>
      </c>
      <c r="H305" s="58">
        <v>1.0</v>
      </c>
      <c r="I305" s="58" t="s">
        <v>324</v>
      </c>
      <c r="J305" s="61">
        <v>4.67620062434E11</v>
      </c>
      <c r="K305" s="63"/>
      <c r="L305" s="63"/>
      <c r="M305" s="63"/>
      <c r="N305" s="63"/>
      <c r="O305" s="63"/>
      <c r="P305" s="63"/>
      <c r="Q305" s="63"/>
      <c r="R305" s="63"/>
      <c r="S305" s="63"/>
      <c r="T305" s="58" t="s">
        <v>105</v>
      </c>
      <c r="U305" s="59">
        <v>41.69</v>
      </c>
      <c r="V305" s="59">
        <v>35.33</v>
      </c>
      <c r="W305" s="58">
        <v>2.66</v>
      </c>
      <c r="X305" s="58">
        <v>7.0</v>
      </c>
      <c r="Y305" s="58">
        <v>37.99</v>
      </c>
      <c r="Z305" s="59">
        <v>0.0</v>
      </c>
      <c r="AA305" s="58">
        <v>0.0</v>
      </c>
      <c r="AB305" s="58">
        <v>0.0</v>
      </c>
      <c r="AC305" s="58">
        <v>0.0</v>
      </c>
      <c r="AD305" s="58">
        <v>0.0</v>
      </c>
      <c r="AE305" s="58">
        <v>0.0</v>
      </c>
      <c r="AF305" s="58">
        <v>0.0</v>
      </c>
      <c r="AG305" s="58">
        <v>0.0</v>
      </c>
      <c r="AH305" s="58">
        <v>0.0</v>
      </c>
      <c r="AI305" s="58">
        <v>0.0</v>
      </c>
      <c r="AJ305" s="58">
        <v>0.0</v>
      </c>
      <c r="AK305" s="58">
        <v>0.0</v>
      </c>
      <c r="AL305" s="58">
        <v>0.0</v>
      </c>
      <c r="AM305" s="58">
        <v>0.0</v>
      </c>
      <c r="AN305" s="58">
        <v>0.0</v>
      </c>
      <c r="AO305" s="58">
        <v>3.7</v>
      </c>
      <c r="AP305" s="58">
        <v>0.0</v>
      </c>
      <c r="AQ305" s="58">
        <v>0.0</v>
      </c>
      <c r="AR305" s="58">
        <v>0.0</v>
      </c>
      <c r="AS305" s="58">
        <v>0.0</v>
      </c>
      <c r="AT305" s="58">
        <v>0.0</v>
      </c>
      <c r="AU305" s="58">
        <v>0.0</v>
      </c>
      <c r="AV305" s="58">
        <v>0.0</v>
      </c>
      <c r="AW305" s="58">
        <v>0.0</v>
      </c>
      <c r="AX305" s="58">
        <v>0.0</v>
      </c>
      <c r="AY305" s="58">
        <v>0.0</v>
      </c>
      <c r="AZ305" s="58">
        <v>0.0</v>
      </c>
      <c r="BA305" s="58">
        <v>0.0</v>
      </c>
      <c r="BB305" s="58">
        <v>3.7</v>
      </c>
      <c r="BC305" s="70" t="s">
        <v>106</v>
      </c>
      <c r="BD305" s="68"/>
      <c r="BG305" s="70">
        <v>-3.8</v>
      </c>
      <c r="BH305" s="68" t="s">
        <v>107</v>
      </c>
      <c r="BI305" s="68" t="s">
        <v>108</v>
      </c>
      <c r="BJ305" s="68" t="s">
        <v>325</v>
      </c>
      <c r="BK305" s="68" t="s">
        <v>430</v>
      </c>
      <c r="BM305" s="68"/>
      <c r="BN305" s="70" t="s">
        <v>111</v>
      </c>
      <c r="BO305" s="68" t="s">
        <v>112</v>
      </c>
      <c r="BP305" s="68" t="s">
        <v>113</v>
      </c>
      <c r="BQ305" s="68" t="s">
        <v>114</v>
      </c>
      <c r="BR305" s="68">
        <v>1.14</v>
      </c>
      <c r="BS305" s="68"/>
      <c r="BV305" s="72"/>
      <c r="BW305" s="64" t="str">
        <f>if(OR(F305="SALE",F305="REFUNDED"),IFERROR(Vlookup(I305,'Listing SKU - Fill SKU Mapping'!A:C,3,false),"Map"),"")</f>
        <v>Keystone</v>
      </c>
      <c r="BX305" s="64" t="str">
        <f>IF(OR(F305="SALE",F305="REFUNDED")=TRUE,iferror(Vlookup(I305,'Listing SKU - Fill SKU Mapping'!A:B,2,false),"Map"),"")</f>
        <v>1515TP</v>
      </c>
      <c r="BY305" s="64">
        <f>IF(OR(F305="SALE",F305="REFUNDED")=TRUE,iferror(Vlookup(I305,'Listing SKU - Fill SKU Mapping'!A:D,4,false),"Map"),"")</f>
        <v>14.99</v>
      </c>
      <c r="BZ305" s="66">
        <f t="shared" si="1"/>
        <v>11.5</v>
      </c>
      <c r="CA305" s="66">
        <f t="shared" si="2"/>
        <v>26.49</v>
      </c>
      <c r="CB305" s="66">
        <f t="shared" si="3"/>
        <v>8.84</v>
      </c>
      <c r="CC305" s="64" t="str">
        <f>if(F305="REFUNDED",iferror(Vlookup(I305,'Listing SKU - Fill SKU Mapping'!A:B,2,false),"Map"),"")</f>
        <v/>
      </c>
      <c r="CD305" s="64" t="str">
        <f>if(F305="REFUNDED",iferror(Vlookup(I305,'Listing SKU - Fill SKU Mapping'!A:C,3,false),"Map"),"")</f>
        <v/>
      </c>
      <c r="CE305" s="64" t="str">
        <f t="shared" si="4"/>
        <v>2025</v>
      </c>
      <c r="CF305" s="64" t="str">
        <f t="shared" si="5"/>
        <v>October</v>
      </c>
      <c r="CG305" s="64" t="str">
        <f t="shared" si="6"/>
        <v/>
      </c>
    </row>
    <row r="306">
      <c r="A306" s="55">
        <v>2.0001E14</v>
      </c>
      <c r="B306" s="56">
        <v>1.0</v>
      </c>
      <c r="C306" s="57">
        <v>1.2903E14</v>
      </c>
      <c r="D306" s="58">
        <v>1.0</v>
      </c>
      <c r="F306" s="59" t="s">
        <v>100</v>
      </c>
      <c r="G306" s="60">
        <v>45924.0</v>
      </c>
      <c r="H306" s="58">
        <v>1.0</v>
      </c>
      <c r="I306" s="58" t="s">
        <v>440</v>
      </c>
      <c r="J306" s="61">
        <v>4.67129945986E11</v>
      </c>
      <c r="K306" s="63"/>
      <c r="L306" s="63"/>
      <c r="M306" s="63"/>
      <c r="N306" s="63"/>
      <c r="O306" s="63"/>
      <c r="P306" s="63"/>
      <c r="Q306" s="63"/>
      <c r="R306" s="63"/>
      <c r="S306" s="63"/>
      <c r="T306" s="58" t="s">
        <v>105</v>
      </c>
      <c r="U306" s="59">
        <v>69.35</v>
      </c>
      <c r="V306" s="59">
        <v>65.08</v>
      </c>
      <c r="W306" s="58">
        <v>4.9</v>
      </c>
      <c r="X306" s="58">
        <v>7.0</v>
      </c>
      <c r="Y306" s="58">
        <v>62.9</v>
      </c>
      <c r="Z306" s="59">
        <v>0.0</v>
      </c>
      <c r="AA306" s="58">
        <v>0.0</v>
      </c>
      <c r="AB306" s="58">
        <v>0.0</v>
      </c>
      <c r="AC306" s="58">
        <v>0.0</v>
      </c>
      <c r="AD306" s="58">
        <v>0.0</v>
      </c>
      <c r="AE306" s="58">
        <v>0.0</v>
      </c>
      <c r="AF306" s="58">
        <v>0.0</v>
      </c>
      <c r="AG306" s="58">
        <v>0.0</v>
      </c>
      <c r="AH306" s="58">
        <v>0.0</v>
      </c>
      <c r="AI306" s="58">
        <v>0.0</v>
      </c>
      <c r="AJ306" s="58">
        <v>0.0</v>
      </c>
      <c r="AK306" s="58">
        <v>0.0</v>
      </c>
      <c r="AL306" s="58">
        <v>0.0</v>
      </c>
      <c r="AM306" s="58">
        <v>0.0</v>
      </c>
      <c r="AN306" s="58">
        <v>0.0</v>
      </c>
      <c r="AO306" s="58">
        <v>6.45</v>
      </c>
      <c r="AP306" s="58">
        <v>0.0</v>
      </c>
      <c r="AQ306" s="58">
        <v>0.0</v>
      </c>
      <c r="AR306" s="58">
        <v>0.0</v>
      </c>
      <c r="AS306" s="58">
        <v>0.0</v>
      </c>
      <c r="AT306" s="58">
        <v>0.0</v>
      </c>
      <c r="AU306" s="58">
        <v>0.0</v>
      </c>
      <c r="AV306" s="58">
        <v>0.0</v>
      </c>
      <c r="AW306" s="58">
        <v>0.0</v>
      </c>
      <c r="AX306" s="58">
        <v>0.0</v>
      </c>
      <c r="AY306" s="58">
        <v>0.0</v>
      </c>
      <c r="AZ306" s="58">
        <v>0.0</v>
      </c>
      <c r="BA306" s="58">
        <v>0.0</v>
      </c>
      <c r="BB306" s="58">
        <v>6.45</v>
      </c>
      <c r="BC306" s="70" t="s">
        <v>106</v>
      </c>
      <c r="BD306" s="68"/>
      <c r="BF306" s="70">
        <v>69.98</v>
      </c>
      <c r="BG306" s="68">
        <v>-7.0</v>
      </c>
      <c r="BH306" s="68" t="s">
        <v>107</v>
      </c>
      <c r="BI306" s="68" t="s">
        <v>108</v>
      </c>
      <c r="BJ306" s="68" t="s">
        <v>109</v>
      </c>
      <c r="BK306" s="68" t="s">
        <v>432</v>
      </c>
      <c r="BM306" s="68"/>
      <c r="BN306" s="70" t="s">
        <v>111</v>
      </c>
      <c r="BO306" s="68" t="s">
        <v>112</v>
      </c>
      <c r="BP306" s="68" t="s">
        <v>113</v>
      </c>
      <c r="BQ306" s="68" t="s">
        <v>317</v>
      </c>
      <c r="BR306" s="68">
        <v>2.1</v>
      </c>
      <c r="BS306" s="68"/>
      <c r="BT306" s="70">
        <v>-7.08</v>
      </c>
      <c r="BU306" s="68" t="s">
        <v>318</v>
      </c>
      <c r="BV306" s="73"/>
      <c r="BW306" s="64" t="str">
        <f>if(OR(F306="SALE",F306="REFUNDED"),IFERROR(Vlookup(I306,'Listing SKU - Fill SKU Mapping'!A:C,3,false),"Map"),"")</f>
        <v>Keystone</v>
      </c>
      <c r="BX306" s="64" t="str">
        <f>IF(OR(F306="SALE",F306="REFUNDED")=TRUE,iferror(Vlookup(I306,'Listing SKU - Fill SKU Mapping'!A:B,2,false),"Map"),"")</f>
        <v>B883916S</v>
      </c>
      <c r="BY306" s="64">
        <f>IF(OR(F306="SALE",F306="REFUNDED")=TRUE,iferror(Vlookup(I306,'Listing SKU - Fill SKU Mapping'!A:D,4,false),"Map"),"")</f>
        <v>23.27</v>
      </c>
      <c r="BZ306" s="66">
        <f t="shared" si="1"/>
        <v>11.5</v>
      </c>
      <c r="CA306" s="66">
        <f t="shared" si="2"/>
        <v>34.77</v>
      </c>
      <c r="CB306" s="66">
        <f t="shared" si="3"/>
        <v>30.31</v>
      </c>
      <c r="CC306" s="64" t="str">
        <f>if(F306="REFUNDED",iferror(Vlookup(I306,'Listing SKU - Fill SKU Mapping'!A:B,2,false),"Map"),"")</f>
        <v/>
      </c>
      <c r="CD306" s="64" t="str">
        <f>if(F306="REFUNDED",iferror(Vlookup(I306,'Listing SKU - Fill SKU Mapping'!A:C,3,false),"Map"),"")</f>
        <v/>
      </c>
      <c r="CE306" s="64" t="str">
        <f t="shared" si="4"/>
        <v>2025</v>
      </c>
      <c r="CF306" s="64" t="str">
        <f t="shared" si="5"/>
        <v>September</v>
      </c>
      <c r="CG306" s="64" t="str">
        <f t="shared" si="6"/>
        <v/>
      </c>
    </row>
    <row r="307">
      <c r="A307" s="55">
        <v>2.0001E14</v>
      </c>
      <c r="B307" s="56">
        <v>1.0</v>
      </c>
      <c r="C307" s="57">
        <v>1.2903E14</v>
      </c>
      <c r="D307" s="58">
        <v>1.0</v>
      </c>
      <c r="F307" s="59" t="s">
        <v>100</v>
      </c>
      <c r="G307" s="60">
        <v>45930.0</v>
      </c>
      <c r="H307" s="58">
        <v>1.0</v>
      </c>
      <c r="I307" s="58" t="s">
        <v>347</v>
      </c>
      <c r="J307" s="61">
        <v>4.67129950577E11</v>
      </c>
      <c r="K307" s="63"/>
      <c r="L307" s="63"/>
      <c r="M307" s="63"/>
      <c r="N307" s="63"/>
      <c r="O307" s="63"/>
      <c r="P307" s="63"/>
      <c r="Q307" s="63"/>
      <c r="R307" s="63"/>
      <c r="S307" s="63"/>
      <c r="T307" s="58" t="s">
        <v>105</v>
      </c>
      <c r="U307" s="59">
        <v>85.3</v>
      </c>
      <c r="V307" s="59">
        <v>73.45</v>
      </c>
      <c r="W307" s="58">
        <v>5.53</v>
      </c>
      <c r="X307" s="58">
        <v>7.0</v>
      </c>
      <c r="Y307" s="58">
        <v>78.98</v>
      </c>
      <c r="Z307" s="59">
        <v>0.0</v>
      </c>
      <c r="AA307" s="58">
        <v>0.0</v>
      </c>
      <c r="AB307" s="58">
        <v>0.0</v>
      </c>
      <c r="AC307" s="58">
        <v>0.0</v>
      </c>
      <c r="AD307" s="58">
        <v>0.0</v>
      </c>
      <c r="AE307" s="58">
        <v>0.0</v>
      </c>
      <c r="AF307" s="58">
        <v>0.0</v>
      </c>
      <c r="AG307" s="58">
        <v>0.0</v>
      </c>
      <c r="AH307" s="58">
        <v>0.0</v>
      </c>
      <c r="AI307" s="58">
        <v>0.0</v>
      </c>
      <c r="AJ307" s="58">
        <v>0.0</v>
      </c>
      <c r="AK307" s="58">
        <v>0.0</v>
      </c>
      <c r="AL307" s="58">
        <v>0.0</v>
      </c>
      <c r="AM307" s="58">
        <v>0.0</v>
      </c>
      <c r="AN307" s="58">
        <v>0.0</v>
      </c>
      <c r="AO307" s="58">
        <v>6.32</v>
      </c>
      <c r="AP307" s="58">
        <v>0.0</v>
      </c>
      <c r="AQ307" s="58">
        <v>0.0</v>
      </c>
      <c r="AR307" s="58">
        <v>0.0</v>
      </c>
      <c r="AS307" s="58">
        <v>0.0</v>
      </c>
      <c r="AT307" s="58">
        <v>0.0</v>
      </c>
      <c r="AU307" s="58">
        <v>0.0</v>
      </c>
      <c r="AV307" s="58">
        <v>0.0</v>
      </c>
      <c r="AW307" s="58">
        <v>0.0</v>
      </c>
      <c r="AX307" s="58">
        <v>0.0</v>
      </c>
      <c r="AY307" s="58">
        <v>0.0</v>
      </c>
      <c r="AZ307" s="58">
        <v>0.0</v>
      </c>
      <c r="BA307" s="58">
        <v>0.0</v>
      </c>
      <c r="BB307" s="58">
        <v>6.32</v>
      </c>
      <c r="BC307" s="70" t="s">
        <v>106</v>
      </c>
      <c r="BD307" s="68"/>
      <c r="BG307" s="70">
        <v>-7.9</v>
      </c>
      <c r="BH307" s="68" t="s">
        <v>107</v>
      </c>
      <c r="BI307" s="68" t="s">
        <v>108</v>
      </c>
      <c r="BJ307" s="68" t="s">
        <v>109</v>
      </c>
      <c r="BK307" s="68" t="s">
        <v>430</v>
      </c>
      <c r="BM307" s="68"/>
      <c r="BN307" s="70" t="s">
        <v>111</v>
      </c>
      <c r="BO307" s="68" t="s">
        <v>112</v>
      </c>
      <c r="BP307" s="68" t="s">
        <v>113</v>
      </c>
      <c r="BQ307" s="68" t="s">
        <v>114</v>
      </c>
      <c r="BR307" s="68">
        <v>2.37</v>
      </c>
      <c r="BS307" s="68"/>
      <c r="BV307" s="72"/>
      <c r="BW307" s="64" t="str">
        <f>if(OR(F307="SALE",F307="REFUNDED"),IFERROR(Vlookup(I307,'Listing SKU - Fill SKU Mapping'!A:C,3,false),"Map"),"")</f>
        <v>Keystone</v>
      </c>
      <c r="BX307" s="64" t="str">
        <f>IF(OR(F307="SALE",F307="REFUNDED")=TRUE,iferror(Vlookup(I307,'Listing SKU - Fill SKU Mapping'!A:B,2,false),"Map"),"")</f>
        <v>51015S</v>
      </c>
      <c r="BY307" s="64">
        <f>IF(OR(F307="SALE",F307="REFUNDED")=TRUE,iferror(Vlookup(I307,'Listing SKU - Fill SKU Mapping'!A:D,4,false),"Map"),"")</f>
        <v>28.8</v>
      </c>
      <c r="BZ307" s="66">
        <f t="shared" si="1"/>
        <v>11.5</v>
      </c>
      <c r="CA307" s="66">
        <f t="shared" si="2"/>
        <v>40.3</v>
      </c>
      <c r="CB307" s="66">
        <f t="shared" si="3"/>
        <v>33.15</v>
      </c>
      <c r="CC307" s="64" t="str">
        <f>if(F307="REFUNDED",iferror(Vlookup(I307,'Listing SKU - Fill SKU Mapping'!A:B,2,false),"Map"),"")</f>
        <v/>
      </c>
      <c r="CD307" s="64" t="str">
        <f>if(F307="REFUNDED",iferror(Vlookup(I307,'Listing SKU - Fill SKU Mapping'!A:C,3,false),"Map"),"")</f>
        <v/>
      </c>
      <c r="CE307" s="64" t="str">
        <f t="shared" si="4"/>
        <v>2025</v>
      </c>
      <c r="CF307" s="64" t="str">
        <f t="shared" si="5"/>
        <v>September</v>
      </c>
      <c r="CG307" s="64" t="str">
        <f t="shared" si="6"/>
        <v/>
      </c>
    </row>
    <row r="308">
      <c r="A308" s="55">
        <v>2.0001E14</v>
      </c>
      <c r="B308" s="56">
        <v>2.0</v>
      </c>
      <c r="C308" s="57">
        <v>1.2903E14</v>
      </c>
      <c r="D308" s="58">
        <v>2.0</v>
      </c>
      <c r="F308" s="59" t="s">
        <v>100</v>
      </c>
      <c r="G308" s="60">
        <v>45927.0</v>
      </c>
      <c r="H308" s="58">
        <v>1.0</v>
      </c>
      <c r="I308" s="58" t="s">
        <v>420</v>
      </c>
      <c r="J308" s="61">
        <v>4.50400888287E11</v>
      </c>
      <c r="K308" s="63"/>
      <c r="L308" s="63"/>
      <c r="M308" s="63"/>
      <c r="N308" s="63"/>
      <c r="O308" s="63"/>
      <c r="P308" s="63"/>
      <c r="Q308" s="63"/>
      <c r="R308" s="63"/>
      <c r="S308" s="63"/>
      <c r="T308" s="58" t="s">
        <v>437</v>
      </c>
      <c r="U308" s="59">
        <v>24.2</v>
      </c>
      <c r="V308" s="59">
        <v>22.98</v>
      </c>
      <c r="W308" s="58">
        <v>0.0</v>
      </c>
      <c r="X308" s="58">
        <v>0.0</v>
      </c>
      <c r="Y308" s="58">
        <v>22.98</v>
      </c>
      <c r="Z308" s="59">
        <v>0.0</v>
      </c>
      <c r="AA308" s="58">
        <v>0.0</v>
      </c>
      <c r="AB308" s="58">
        <v>0.0</v>
      </c>
      <c r="AC308" s="58">
        <v>0.0</v>
      </c>
      <c r="AD308" s="58">
        <v>0.0</v>
      </c>
      <c r="AE308" s="58">
        <v>0.0</v>
      </c>
      <c r="AF308" s="58">
        <v>0.0</v>
      </c>
      <c r="AG308" s="58">
        <v>0.0</v>
      </c>
      <c r="AH308" s="58">
        <v>0.0</v>
      </c>
      <c r="AI308" s="58">
        <v>0.0</v>
      </c>
      <c r="AJ308" s="58">
        <v>0.0</v>
      </c>
      <c r="AK308" s="58">
        <v>0.0</v>
      </c>
      <c r="AL308" s="58">
        <v>0.0</v>
      </c>
      <c r="AM308" s="58">
        <v>0.0</v>
      </c>
      <c r="AN308" s="58">
        <v>0.0</v>
      </c>
      <c r="AO308" s="58">
        <v>1.22</v>
      </c>
      <c r="AP308" s="58">
        <v>0.0</v>
      </c>
      <c r="AQ308" s="58">
        <v>0.0</v>
      </c>
      <c r="AR308" s="58">
        <v>0.0</v>
      </c>
      <c r="AS308" s="58">
        <v>0.0</v>
      </c>
      <c r="AT308" s="58">
        <v>0.0</v>
      </c>
      <c r="AU308" s="58">
        <v>0.0</v>
      </c>
      <c r="AV308" s="58">
        <v>0.0</v>
      </c>
      <c r="AW308" s="58">
        <v>0.0</v>
      </c>
      <c r="AX308" s="58">
        <v>0.0</v>
      </c>
      <c r="AY308" s="58">
        <v>0.0</v>
      </c>
      <c r="AZ308" s="58">
        <v>0.0</v>
      </c>
      <c r="BA308" s="58">
        <v>0.0</v>
      </c>
      <c r="BB308" s="58">
        <v>1.22</v>
      </c>
      <c r="BC308" s="70" t="s">
        <v>106</v>
      </c>
      <c r="BD308" s="68"/>
      <c r="BG308" s="70">
        <v>-2.76</v>
      </c>
      <c r="BH308" s="68" t="s">
        <v>421</v>
      </c>
      <c r="BI308" s="68" t="s">
        <v>422</v>
      </c>
      <c r="BJ308" s="68" t="s">
        <v>423</v>
      </c>
      <c r="BK308" s="68" t="s">
        <v>438</v>
      </c>
      <c r="BM308" s="68"/>
      <c r="BN308" s="70" t="s">
        <v>111</v>
      </c>
      <c r="BO308" s="68" t="s">
        <v>424</v>
      </c>
      <c r="BP308" s="68" t="s">
        <v>113</v>
      </c>
      <c r="BQ308" s="68" t="s">
        <v>348</v>
      </c>
      <c r="BR308" s="68">
        <v>2.76</v>
      </c>
      <c r="BS308" s="68"/>
      <c r="BV308" s="72"/>
      <c r="BW308" s="64" t="str">
        <f>if(OR(F308="SALE",F308="REFUNDED"),IFERROR(Vlookup(I308,'Listing SKU - Fill SKU Mapping'!A:C,3,false),"Map"),"")</f>
        <v>Map</v>
      </c>
      <c r="BX308" s="64" t="str">
        <f>IF(OR(F308="SALE",F308="REFUNDED")=TRUE,iferror(Vlookup(I308,'Listing SKU - Fill SKU Mapping'!A:B,2,false),"Map"),"")</f>
        <v>Map</v>
      </c>
      <c r="BY308" s="64" t="str">
        <f>IF(OR(F308="SALE",F308="REFUNDED")=TRUE,iferror(Vlookup(I308,'Listing SKU - Fill SKU Mapping'!A:D,4,false),"Map"),"")</f>
        <v>Map</v>
      </c>
      <c r="BZ308" s="66" t="str">
        <f t="shared" si="1"/>
        <v/>
      </c>
      <c r="CA308" s="64" t="str">
        <f t="shared" si="2"/>
        <v/>
      </c>
      <c r="CB308" s="64">
        <f t="shared" si="3"/>
        <v>22.98</v>
      </c>
      <c r="CC308" s="64" t="str">
        <f>if(F308="REFUNDED",iferror(Vlookup(I308,'Listing SKU - Fill SKU Mapping'!A:B,2,false),"Map"),"")</f>
        <v/>
      </c>
      <c r="CD308" s="64" t="str">
        <f>if(F308="REFUNDED",iferror(Vlookup(I308,'Listing SKU - Fill SKU Mapping'!A:C,3,false),"Map"),"")</f>
        <v/>
      </c>
      <c r="CE308" s="64" t="str">
        <f t="shared" si="4"/>
        <v>2025</v>
      </c>
      <c r="CF308" s="64" t="str">
        <f t="shared" si="5"/>
        <v>September</v>
      </c>
      <c r="CG308" s="64" t="str">
        <f t="shared" si="6"/>
        <v/>
      </c>
    </row>
    <row r="309">
      <c r="A309" s="55">
        <v>2.0001E14</v>
      </c>
      <c r="B309" s="56">
        <v>2.0</v>
      </c>
      <c r="C309" s="57">
        <v>1.2903E14</v>
      </c>
      <c r="D309" s="58">
        <v>2.0</v>
      </c>
      <c r="F309" s="59" t="s">
        <v>158</v>
      </c>
      <c r="G309" s="60">
        <v>45927.0</v>
      </c>
      <c r="H309" s="58">
        <v>1.0</v>
      </c>
      <c r="I309" s="58" t="s">
        <v>420</v>
      </c>
      <c r="J309" s="61">
        <v>4.50400888287E11</v>
      </c>
      <c r="K309" s="63"/>
      <c r="L309" s="63"/>
      <c r="M309" s="63"/>
      <c r="N309" s="63"/>
      <c r="O309" s="63"/>
      <c r="P309" s="63"/>
      <c r="Q309" s="63"/>
      <c r="R309" s="63"/>
      <c r="S309" s="63"/>
      <c r="T309" s="58" t="s">
        <v>437</v>
      </c>
      <c r="U309" s="59">
        <v>0.0</v>
      </c>
      <c r="V309" s="59">
        <v>-6.15</v>
      </c>
      <c r="W309" s="58">
        <v>6.15</v>
      </c>
      <c r="X309" s="58">
        <v>0.0</v>
      </c>
      <c r="Y309" s="58">
        <v>0.0</v>
      </c>
      <c r="Z309" s="59">
        <v>0.0</v>
      </c>
      <c r="AA309" s="58">
        <v>0.0</v>
      </c>
      <c r="AB309" s="58">
        <v>0.0</v>
      </c>
      <c r="AC309" s="58">
        <v>0.0</v>
      </c>
      <c r="AD309" s="58">
        <v>0.0</v>
      </c>
      <c r="AE309" s="58">
        <v>0.0</v>
      </c>
      <c r="AF309" s="58">
        <v>0.0</v>
      </c>
      <c r="AG309" s="58">
        <v>0.0</v>
      </c>
      <c r="AH309" s="58">
        <v>0.0</v>
      </c>
      <c r="AI309" s="58">
        <v>0.0</v>
      </c>
      <c r="AJ309" s="58">
        <v>0.0</v>
      </c>
      <c r="AK309" s="58">
        <v>0.0</v>
      </c>
      <c r="AL309" s="58">
        <v>0.0</v>
      </c>
      <c r="AM309" s="58">
        <v>0.0</v>
      </c>
      <c r="AN309" s="58">
        <v>0.0</v>
      </c>
      <c r="AO309" s="58">
        <v>0.0</v>
      </c>
      <c r="AP309" s="58">
        <v>0.0</v>
      </c>
      <c r="AQ309" s="58">
        <v>0.0</v>
      </c>
      <c r="AR309" s="58">
        <v>0.0</v>
      </c>
      <c r="AS309" s="58">
        <v>0.0</v>
      </c>
      <c r="AT309" s="58">
        <v>0.0</v>
      </c>
      <c r="AU309" s="58">
        <v>0.0</v>
      </c>
      <c r="AV309" s="58">
        <v>0.0</v>
      </c>
      <c r="AW309" s="58">
        <v>0.0</v>
      </c>
      <c r="AX309" s="58">
        <v>0.0</v>
      </c>
      <c r="AY309" s="58">
        <v>0.0</v>
      </c>
      <c r="AZ309" s="58">
        <v>0.0</v>
      </c>
      <c r="BA309" s="58">
        <v>0.0</v>
      </c>
      <c r="BB309" s="58">
        <v>0.0</v>
      </c>
      <c r="BC309" s="70" t="s">
        <v>106</v>
      </c>
      <c r="BD309" s="68" t="s">
        <v>425</v>
      </c>
      <c r="BE309" s="68">
        <v>5041.0</v>
      </c>
      <c r="BF309" s="68"/>
      <c r="BH309" s="70" t="s">
        <v>421</v>
      </c>
      <c r="BI309" s="68" t="s">
        <v>422</v>
      </c>
      <c r="BL309" s="68"/>
      <c r="BN309" s="70" t="s">
        <v>111</v>
      </c>
      <c r="BO309" s="68" t="s">
        <v>424</v>
      </c>
      <c r="BQ309" s="68"/>
      <c r="BV309" s="72"/>
      <c r="BW309" s="64" t="str">
        <f>if(OR(F309="SALE",F309="REFUNDED"),IFERROR(Vlookup(I309,'Listing SKU - Fill SKU Mapping'!A:C,3,false),"Map"),"")</f>
        <v/>
      </c>
      <c r="BX309" s="64" t="str">
        <f>IF(OR(F309="SALE",F309="REFUNDED")=TRUE,iferror(Vlookup(I309,'Listing SKU - Fill SKU Mapping'!A:B,2,false),"Map"),"")</f>
        <v/>
      </c>
      <c r="BY309" s="64" t="str">
        <f>IF(OR(F309="SALE",F309="REFUNDED")=TRUE,iferror(Vlookup(I309,'Listing SKU - Fill SKU Mapping'!A:D,4,false),"Map"),"")</f>
        <v/>
      </c>
      <c r="BZ309" s="66" t="str">
        <f t="shared" si="1"/>
        <v/>
      </c>
      <c r="CA309" s="64" t="str">
        <f t="shared" si="2"/>
        <v/>
      </c>
      <c r="CB309" s="64" t="str">
        <f t="shared" si="3"/>
        <v/>
      </c>
      <c r="CC309" s="64" t="str">
        <f>if(F309="REFUNDED",iferror(Vlookup(I309,'Listing SKU - Fill SKU Mapping'!A:B,2,false),"Map"),"")</f>
        <v/>
      </c>
      <c r="CD309" s="64" t="str">
        <f>if(F309="REFUNDED",iferror(Vlookup(I309,'Listing SKU - Fill SKU Mapping'!A:C,3,false),"Map"),"")</f>
        <v/>
      </c>
      <c r="CE309" s="64" t="str">
        <f t="shared" si="4"/>
        <v>2025</v>
      </c>
      <c r="CF309" s="64" t="str">
        <f t="shared" si="5"/>
        <v>September</v>
      </c>
      <c r="CG309" s="64" t="str">
        <f t="shared" si="6"/>
        <v/>
      </c>
    </row>
    <row r="310">
      <c r="A310" s="55">
        <v>2.0001E14</v>
      </c>
      <c r="B310" s="56">
        <v>1.0</v>
      </c>
      <c r="C310" s="57">
        <v>1.2903E14</v>
      </c>
      <c r="D310" s="58">
        <v>1.0</v>
      </c>
      <c r="F310" s="59" t="s">
        <v>100</v>
      </c>
      <c r="G310" s="60">
        <v>45923.0</v>
      </c>
      <c r="H310" s="58">
        <v>1.0</v>
      </c>
      <c r="I310" s="58" t="s">
        <v>328</v>
      </c>
      <c r="J310" s="61">
        <v>4.67129950621E11</v>
      </c>
      <c r="K310" s="63"/>
      <c r="L310" s="63"/>
      <c r="M310" s="63"/>
      <c r="N310" s="63"/>
      <c r="O310" s="63"/>
      <c r="P310" s="63"/>
      <c r="Q310" s="63"/>
      <c r="R310" s="63"/>
      <c r="S310" s="63"/>
      <c r="T310" s="58" t="s">
        <v>105</v>
      </c>
      <c r="U310" s="59">
        <v>78.91</v>
      </c>
      <c r="V310" s="59">
        <v>76.24</v>
      </c>
      <c r="W310" s="58">
        <v>5.74</v>
      </c>
      <c r="X310" s="58">
        <v>7.0</v>
      </c>
      <c r="Y310" s="58">
        <v>72.9</v>
      </c>
      <c r="Z310" s="59">
        <v>0.0</v>
      </c>
      <c r="AA310" s="58">
        <v>0.0</v>
      </c>
      <c r="AB310" s="58">
        <v>0.0</v>
      </c>
      <c r="AC310" s="58">
        <v>0.0</v>
      </c>
      <c r="AD310" s="58">
        <v>0.0</v>
      </c>
      <c r="AE310" s="58">
        <v>0.0</v>
      </c>
      <c r="AF310" s="58">
        <v>0.0</v>
      </c>
      <c r="AG310" s="58">
        <v>0.0</v>
      </c>
      <c r="AH310" s="58">
        <v>0.0</v>
      </c>
      <c r="AI310" s="58">
        <v>0.0</v>
      </c>
      <c r="AJ310" s="58">
        <v>0.0</v>
      </c>
      <c r="AK310" s="58">
        <v>0.0</v>
      </c>
      <c r="AL310" s="58">
        <v>0.0</v>
      </c>
      <c r="AM310" s="58">
        <v>0.0</v>
      </c>
      <c r="AN310" s="58">
        <v>0.0</v>
      </c>
      <c r="AO310" s="58">
        <v>6.01</v>
      </c>
      <c r="AP310" s="58">
        <v>0.0</v>
      </c>
      <c r="AQ310" s="58">
        <v>0.0</v>
      </c>
      <c r="AR310" s="58">
        <v>0.0</v>
      </c>
      <c r="AS310" s="58">
        <v>0.0</v>
      </c>
      <c r="AT310" s="58">
        <v>0.0</v>
      </c>
      <c r="AU310" s="58">
        <v>0.0</v>
      </c>
      <c r="AV310" s="58">
        <v>0.0</v>
      </c>
      <c r="AW310" s="58">
        <v>0.0</v>
      </c>
      <c r="AX310" s="58">
        <v>0.0</v>
      </c>
      <c r="AY310" s="58">
        <v>0.0</v>
      </c>
      <c r="AZ310" s="58">
        <v>0.0</v>
      </c>
      <c r="BA310" s="58">
        <v>0.0</v>
      </c>
      <c r="BB310" s="58">
        <v>6.01</v>
      </c>
      <c r="BC310" s="70" t="s">
        <v>106</v>
      </c>
      <c r="BD310" s="68"/>
      <c r="BF310" s="70">
        <v>81.98</v>
      </c>
      <c r="BG310" s="68">
        <v>-8.2</v>
      </c>
      <c r="BH310" s="68" t="s">
        <v>107</v>
      </c>
      <c r="BI310" s="68" t="s">
        <v>108</v>
      </c>
      <c r="BJ310" s="68" t="s">
        <v>109</v>
      </c>
      <c r="BK310" s="68" t="s">
        <v>333</v>
      </c>
      <c r="BM310" s="68"/>
      <c r="BN310" s="70" t="s">
        <v>111</v>
      </c>
      <c r="BO310" s="68" t="s">
        <v>112</v>
      </c>
      <c r="BP310" s="68" t="s">
        <v>113</v>
      </c>
      <c r="BQ310" s="68" t="s">
        <v>317</v>
      </c>
      <c r="BR310" s="68">
        <v>2.46</v>
      </c>
      <c r="BS310" s="68"/>
      <c r="BT310" s="70">
        <v>-9.08</v>
      </c>
      <c r="BU310" s="68" t="s">
        <v>318</v>
      </c>
      <c r="BV310" s="73"/>
      <c r="BW310" s="64" t="str">
        <f>if(OR(F310="SALE",F310="REFUNDED"),IFERROR(Vlookup(I310,'Listing SKU - Fill SKU Mapping'!A:C,3,false),"Map"),"")</f>
        <v>Keystone</v>
      </c>
      <c r="BX310" s="64" t="str">
        <f>IF(OR(F310="SALE",F310="REFUNDED")=TRUE,iferror(Vlookup(I310,'Listing SKU - Fill SKU Mapping'!A:B,2,false),"Map"),"")</f>
        <v>52316S</v>
      </c>
      <c r="BY310" s="64">
        <f>IF(OR(F310="SALE",F310="REFUNDED")=TRUE,iferror(Vlookup(I310,'Listing SKU - Fill SKU Mapping'!A:D,4,false),"Map"),"")</f>
        <v>30.77</v>
      </c>
      <c r="BZ310" s="66">
        <f t="shared" si="1"/>
        <v>11.5</v>
      </c>
      <c r="CA310" s="66">
        <f t="shared" si="2"/>
        <v>42.27</v>
      </c>
      <c r="CB310" s="66">
        <f t="shared" si="3"/>
        <v>33.97</v>
      </c>
      <c r="CC310" s="64" t="str">
        <f>if(F310="REFUNDED",iferror(Vlookup(I310,'Listing SKU - Fill SKU Mapping'!A:B,2,false),"Map"),"")</f>
        <v/>
      </c>
      <c r="CD310" s="64" t="str">
        <f>if(F310="REFUNDED",iferror(Vlookup(I310,'Listing SKU - Fill SKU Mapping'!A:C,3,false),"Map"),"")</f>
        <v/>
      </c>
      <c r="CE310" s="64" t="str">
        <f t="shared" si="4"/>
        <v>2025</v>
      </c>
      <c r="CF310" s="64" t="str">
        <f t="shared" si="5"/>
        <v>September</v>
      </c>
      <c r="CG310" s="64" t="str">
        <f t="shared" si="6"/>
        <v/>
      </c>
    </row>
    <row r="311">
      <c r="A311" s="55">
        <v>2.0001E14</v>
      </c>
      <c r="B311" s="56">
        <v>1.0</v>
      </c>
      <c r="C311" s="57">
        <v>1.2903E14</v>
      </c>
      <c r="D311" s="58">
        <v>1.0</v>
      </c>
      <c r="F311" s="59" t="s">
        <v>100</v>
      </c>
      <c r="G311" s="60">
        <v>45925.0</v>
      </c>
      <c r="H311" s="58">
        <v>1.0</v>
      </c>
      <c r="I311" s="58" t="s">
        <v>337</v>
      </c>
      <c r="J311" s="61">
        <v>4.60776238326E11</v>
      </c>
      <c r="K311" s="63"/>
      <c r="L311" s="63"/>
      <c r="M311" s="63"/>
      <c r="N311" s="63"/>
      <c r="O311" s="63"/>
      <c r="P311" s="63"/>
      <c r="Q311" s="63"/>
      <c r="R311" s="63"/>
      <c r="S311" s="63"/>
      <c r="T311" s="58" t="s">
        <v>105</v>
      </c>
      <c r="U311" s="59">
        <v>112.18</v>
      </c>
      <c r="V311" s="59">
        <v>94.84</v>
      </c>
      <c r="W311" s="58">
        <v>7.14</v>
      </c>
      <c r="X311" s="58">
        <v>7.0</v>
      </c>
      <c r="Y311" s="58">
        <v>101.98</v>
      </c>
      <c r="Z311" s="59">
        <v>0.0</v>
      </c>
      <c r="AA311" s="58">
        <v>0.0</v>
      </c>
      <c r="AB311" s="58">
        <v>0.0</v>
      </c>
      <c r="AC311" s="58">
        <v>0.0</v>
      </c>
      <c r="AD311" s="58">
        <v>0.0</v>
      </c>
      <c r="AE311" s="58">
        <v>0.0</v>
      </c>
      <c r="AF311" s="58">
        <v>0.0</v>
      </c>
      <c r="AG311" s="58">
        <v>0.0</v>
      </c>
      <c r="AH311" s="58">
        <v>0.0</v>
      </c>
      <c r="AI311" s="58">
        <v>0.0</v>
      </c>
      <c r="AJ311" s="58">
        <v>0.0</v>
      </c>
      <c r="AK311" s="58">
        <v>0.0</v>
      </c>
      <c r="AL311" s="58">
        <v>0.0</v>
      </c>
      <c r="AM311" s="58">
        <v>0.0</v>
      </c>
      <c r="AN311" s="58">
        <v>0.0</v>
      </c>
      <c r="AO311" s="58">
        <v>10.2</v>
      </c>
      <c r="AP311" s="58">
        <v>0.0</v>
      </c>
      <c r="AQ311" s="58">
        <v>0.0</v>
      </c>
      <c r="AR311" s="58">
        <v>0.0</v>
      </c>
      <c r="AS311" s="58">
        <v>0.0</v>
      </c>
      <c r="AT311" s="58">
        <v>0.0</v>
      </c>
      <c r="AU311" s="58">
        <v>0.0</v>
      </c>
      <c r="AV311" s="58">
        <v>0.0</v>
      </c>
      <c r="AW311" s="58">
        <v>0.0</v>
      </c>
      <c r="AX311" s="58">
        <v>0.0</v>
      </c>
      <c r="AY311" s="58">
        <v>0.0</v>
      </c>
      <c r="AZ311" s="58">
        <v>0.0</v>
      </c>
      <c r="BA311" s="58">
        <v>0.0</v>
      </c>
      <c r="BB311" s="58">
        <v>10.2</v>
      </c>
      <c r="BC311" s="70" t="s">
        <v>106</v>
      </c>
      <c r="BD311" s="68"/>
      <c r="BG311" s="70">
        <v>-10.2</v>
      </c>
      <c r="BH311" s="68" t="s">
        <v>107</v>
      </c>
      <c r="BI311" s="68" t="s">
        <v>108</v>
      </c>
      <c r="BJ311" s="68" t="s">
        <v>109</v>
      </c>
      <c r="BK311" s="68" t="s">
        <v>432</v>
      </c>
      <c r="BM311" s="68"/>
      <c r="BN311" s="70" t="s">
        <v>111</v>
      </c>
      <c r="BO311" s="68" t="s">
        <v>112</v>
      </c>
      <c r="BP311" s="68" t="s">
        <v>113</v>
      </c>
      <c r="BQ311" s="68" t="s">
        <v>114</v>
      </c>
      <c r="BR311" s="68">
        <v>3.06</v>
      </c>
      <c r="BS311" s="68"/>
      <c r="BV311" s="72"/>
      <c r="BW311" s="64" t="str">
        <f>if(OR(F311="SALE",F311="REFUNDED"),IFERROR(Vlookup(I311,'Listing SKU - Fill SKU Mapping'!A:C,3,false),"Map"),"")</f>
        <v>Keystone</v>
      </c>
      <c r="BX311" s="64" t="str">
        <f>IF(OR(F311="SALE",F311="REFUNDED")=TRUE,iferror(Vlookup(I311,'Listing SKU - Fill SKU Mapping'!A:B,2,false),"Map"),"")</f>
        <v>IMP340BLK</v>
      </c>
      <c r="BY311" s="64">
        <f>IF(OR(F311="SALE",F311="REFUNDED")=TRUE,iferror(Vlookup(I311,'Listing SKU - Fill SKU Mapping'!A:D,4,false),"Map"),"")</f>
        <v>45.76</v>
      </c>
      <c r="BZ311" s="66">
        <f t="shared" si="1"/>
        <v>11.5</v>
      </c>
      <c r="CA311" s="66">
        <f t="shared" si="2"/>
        <v>57.26</v>
      </c>
      <c r="CB311" s="66">
        <f t="shared" si="3"/>
        <v>37.58</v>
      </c>
      <c r="CC311" s="64" t="str">
        <f>if(F311="REFUNDED",iferror(Vlookup(I311,'Listing SKU - Fill SKU Mapping'!A:B,2,false),"Map"),"")</f>
        <v/>
      </c>
      <c r="CD311" s="64" t="str">
        <f>if(F311="REFUNDED",iferror(Vlookup(I311,'Listing SKU - Fill SKU Mapping'!A:C,3,false),"Map"),"")</f>
        <v/>
      </c>
      <c r="CE311" s="64" t="str">
        <f t="shared" si="4"/>
        <v>2025</v>
      </c>
      <c r="CF311" s="64" t="str">
        <f t="shared" si="5"/>
        <v>September</v>
      </c>
      <c r="CG311" s="64" t="str">
        <f t="shared" si="6"/>
        <v/>
      </c>
    </row>
    <row r="312">
      <c r="A312" s="55">
        <v>2.0001E14</v>
      </c>
      <c r="B312" s="56">
        <v>2.0</v>
      </c>
      <c r="C312" s="57">
        <v>1.2903E14</v>
      </c>
      <c r="D312" s="58">
        <v>2.0</v>
      </c>
      <c r="F312" s="59" t="s">
        <v>100</v>
      </c>
      <c r="G312" s="60">
        <v>45924.0</v>
      </c>
      <c r="H312" s="58">
        <v>1.0</v>
      </c>
      <c r="I312" s="58" t="s">
        <v>384</v>
      </c>
      <c r="J312" s="61">
        <v>4.67129946433E11</v>
      </c>
      <c r="K312" s="63"/>
      <c r="L312" s="63"/>
      <c r="M312" s="63"/>
      <c r="N312" s="63"/>
      <c r="O312" s="63"/>
      <c r="P312" s="63"/>
      <c r="Q312" s="63"/>
      <c r="R312" s="63"/>
      <c r="S312" s="63"/>
      <c r="T312" s="58" t="s">
        <v>105</v>
      </c>
      <c r="U312" s="59">
        <v>98.56</v>
      </c>
      <c r="V312" s="59">
        <v>96.7</v>
      </c>
      <c r="W312" s="58">
        <v>7.28</v>
      </c>
      <c r="X312" s="58">
        <v>7.0</v>
      </c>
      <c r="Y312" s="58">
        <v>92.98</v>
      </c>
      <c r="Z312" s="59">
        <v>0.0</v>
      </c>
      <c r="AA312" s="58">
        <v>0.0</v>
      </c>
      <c r="AB312" s="58">
        <v>0.0</v>
      </c>
      <c r="AC312" s="58">
        <v>0.0</v>
      </c>
      <c r="AD312" s="58">
        <v>0.0</v>
      </c>
      <c r="AE312" s="58">
        <v>0.0</v>
      </c>
      <c r="AF312" s="58">
        <v>0.0</v>
      </c>
      <c r="AG312" s="58">
        <v>0.0</v>
      </c>
      <c r="AH312" s="58">
        <v>0.0</v>
      </c>
      <c r="AI312" s="58">
        <v>0.0</v>
      </c>
      <c r="AJ312" s="58">
        <v>0.0</v>
      </c>
      <c r="AK312" s="58">
        <v>0.0</v>
      </c>
      <c r="AL312" s="58">
        <v>0.0</v>
      </c>
      <c r="AM312" s="58">
        <v>0.0</v>
      </c>
      <c r="AN312" s="58">
        <v>0.0</v>
      </c>
      <c r="AO312" s="58">
        <v>5.58</v>
      </c>
      <c r="AP312" s="58">
        <v>0.0</v>
      </c>
      <c r="AQ312" s="58">
        <v>0.0</v>
      </c>
      <c r="AR312" s="58">
        <v>0.0</v>
      </c>
      <c r="AS312" s="58">
        <v>0.0</v>
      </c>
      <c r="AT312" s="58">
        <v>0.0</v>
      </c>
      <c r="AU312" s="58">
        <v>0.0</v>
      </c>
      <c r="AV312" s="58">
        <v>0.0</v>
      </c>
      <c r="AW312" s="58">
        <v>0.0</v>
      </c>
      <c r="AX312" s="58">
        <v>0.0</v>
      </c>
      <c r="AY312" s="58">
        <v>0.0</v>
      </c>
      <c r="AZ312" s="58">
        <v>0.0</v>
      </c>
      <c r="BA312" s="58">
        <v>0.0</v>
      </c>
      <c r="BB312" s="58">
        <v>5.58</v>
      </c>
      <c r="BC312" s="70" t="s">
        <v>106</v>
      </c>
      <c r="BD312" s="68"/>
      <c r="BF312" s="70">
        <v>103.98</v>
      </c>
      <c r="BG312" s="68">
        <v>-10.4</v>
      </c>
      <c r="BH312" s="68" t="s">
        <v>107</v>
      </c>
      <c r="BI312" s="68" t="s">
        <v>108</v>
      </c>
      <c r="BJ312" s="68" t="s">
        <v>109</v>
      </c>
      <c r="BK312" s="68" t="s">
        <v>432</v>
      </c>
      <c r="BM312" s="68"/>
      <c r="BN312" s="70" t="s">
        <v>111</v>
      </c>
      <c r="BO312" s="68" t="s">
        <v>112</v>
      </c>
      <c r="BP312" s="68" t="s">
        <v>113</v>
      </c>
      <c r="BQ312" s="68" t="s">
        <v>317</v>
      </c>
      <c r="BR312" s="68">
        <v>3.12</v>
      </c>
      <c r="BS312" s="68"/>
      <c r="BT312" s="70">
        <v>-11.0</v>
      </c>
      <c r="BU312" s="68" t="s">
        <v>318</v>
      </c>
      <c r="BV312" s="73"/>
      <c r="BW312" s="64" t="str">
        <f>if(OR(F312="SALE",F312="REFUNDED"),IFERROR(Vlookup(I312,'Listing SKU - Fill SKU Mapping'!A:C,3,false),"Map"),"")</f>
        <v>Keystone</v>
      </c>
      <c r="BX312" s="64" t="str">
        <f>IF(OR(F312="SALE",F312="REFUNDED")=TRUE,iferror(Vlookup(I312,'Listing SKU - Fill SKU Mapping'!A:B,2,false),"Map"),"")</f>
        <v>B9416S</v>
      </c>
      <c r="BY312" s="64">
        <f>IF(OR(F312="SALE",F312="REFUNDED")=TRUE,iferror(Vlookup(I312,'Listing SKU - Fill SKU Mapping'!A:D,4,false),"Map"),"")</f>
        <v>44.18</v>
      </c>
      <c r="BZ312" s="66">
        <f t="shared" si="1"/>
        <v>11.5</v>
      </c>
      <c r="CA312" s="66">
        <f t="shared" si="2"/>
        <v>55.68</v>
      </c>
      <c r="CB312" s="66">
        <f t="shared" si="3"/>
        <v>41.02</v>
      </c>
      <c r="CC312" s="64" t="str">
        <f>if(F312="REFUNDED",iferror(Vlookup(I312,'Listing SKU - Fill SKU Mapping'!A:B,2,false),"Map"),"")</f>
        <v/>
      </c>
      <c r="CD312" s="64" t="str">
        <f>if(F312="REFUNDED",iferror(Vlookup(I312,'Listing SKU - Fill SKU Mapping'!A:C,3,false),"Map"),"")</f>
        <v/>
      </c>
      <c r="CE312" s="64" t="str">
        <f t="shared" si="4"/>
        <v>2025</v>
      </c>
      <c r="CF312" s="64" t="str">
        <f t="shared" si="5"/>
        <v>September</v>
      </c>
      <c r="CG312" s="64" t="str">
        <f t="shared" si="6"/>
        <v/>
      </c>
    </row>
    <row r="313">
      <c r="A313" s="55">
        <v>2.0001E14</v>
      </c>
      <c r="B313" s="56">
        <v>1.0</v>
      </c>
      <c r="C313" s="57">
        <v>1.1902E14</v>
      </c>
      <c r="D313" s="58">
        <v>1.0</v>
      </c>
      <c r="F313" s="59" t="s">
        <v>158</v>
      </c>
      <c r="G313" s="60">
        <v>45928.0</v>
      </c>
      <c r="H313" s="58">
        <v>1.0</v>
      </c>
      <c r="I313" s="58" t="s">
        <v>361</v>
      </c>
      <c r="J313" s="61">
        <v>4.65595347495E11</v>
      </c>
      <c r="K313" s="63"/>
      <c r="L313" s="63"/>
      <c r="M313" s="63"/>
      <c r="N313" s="63"/>
      <c r="O313" s="63"/>
      <c r="P313" s="63"/>
      <c r="Q313" s="63"/>
      <c r="R313" s="63"/>
      <c r="S313" s="63"/>
      <c r="T313" s="58" t="s">
        <v>105</v>
      </c>
      <c r="U313" s="59">
        <v>0.0</v>
      </c>
      <c r="V313" s="59">
        <v>-10.81</v>
      </c>
      <c r="W313" s="58">
        <v>0.0</v>
      </c>
      <c r="X313" s="58">
        <v>0.0</v>
      </c>
      <c r="Y313" s="58">
        <v>0.0</v>
      </c>
      <c r="Z313" s="59">
        <v>0.0</v>
      </c>
      <c r="AA313" s="58">
        <v>0.0</v>
      </c>
      <c r="AB313" s="58">
        <v>0.0</v>
      </c>
      <c r="AC313" s="58">
        <v>0.0</v>
      </c>
      <c r="AD313" s="58">
        <v>0.0</v>
      </c>
      <c r="AE313" s="58">
        <v>0.0</v>
      </c>
      <c r="AF313" s="58">
        <v>0.0</v>
      </c>
      <c r="AG313" s="58">
        <v>0.0</v>
      </c>
      <c r="AH313" s="58">
        <v>0.0</v>
      </c>
      <c r="AI313" s="58">
        <v>0.0</v>
      </c>
      <c r="AJ313" s="58">
        <v>0.0</v>
      </c>
      <c r="AK313" s="58">
        <v>0.0</v>
      </c>
      <c r="AL313" s="58">
        <v>0.0</v>
      </c>
      <c r="AM313" s="58">
        <v>0.0</v>
      </c>
      <c r="AN313" s="58">
        <v>0.0</v>
      </c>
      <c r="AO313" s="58">
        <v>0.0</v>
      </c>
      <c r="AP313" s="58">
        <v>0.0</v>
      </c>
      <c r="AQ313" s="58">
        <v>0.0</v>
      </c>
      <c r="AR313" s="58">
        <v>0.0</v>
      </c>
      <c r="AS313" s="58">
        <v>0.0</v>
      </c>
      <c r="AT313" s="58">
        <v>0.0</v>
      </c>
      <c r="AU313" s="58">
        <v>0.0</v>
      </c>
      <c r="AV313" s="58">
        <v>0.0</v>
      </c>
      <c r="AW313" s="58">
        <v>0.0</v>
      </c>
      <c r="AX313" s="58">
        <v>0.0</v>
      </c>
      <c r="AY313" s="58">
        <v>0.0</v>
      </c>
      <c r="AZ313" s="58">
        <v>0.0</v>
      </c>
      <c r="BA313" s="58">
        <v>0.0</v>
      </c>
      <c r="BB313" s="58">
        <v>0.0</v>
      </c>
      <c r="BC313" s="70" t="s">
        <v>106</v>
      </c>
      <c r="BD313" s="68" t="s">
        <v>163</v>
      </c>
      <c r="BE313" s="68">
        <v>5013.0</v>
      </c>
      <c r="BF313" s="68">
        <v>95.98</v>
      </c>
      <c r="BG313" s="68"/>
      <c r="BH313" s="70" t="s">
        <v>107</v>
      </c>
      <c r="BI313" s="68" t="s">
        <v>108</v>
      </c>
      <c r="BK313" s="68"/>
      <c r="BN313" s="70" t="s">
        <v>111</v>
      </c>
      <c r="BO313" s="68" t="s">
        <v>112</v>
      </c>
      <c r="BQ313" s="68"/>
      <c r="BV313" s="72"/>
      <c r="BW313" s="64" t="str">
        <f>if(OR(F313="SALE",F313="REFUNDED"),IFERROR(Vlookup(I313,'Listing SKU - Fill SKU Mapping'!A:C,3,false),"Map"),"")</f>
        <v/>
      </c>
      <c r="BX313" s="64" t="str">
        <f>IF(OR(F313="SALE",F313="REFUNDED")=TRUE,iferror(Vlookup(I313,'Listing SKU - Fill SKU Mapping'!A:B,2,false),"Map"),"")</f>
        <v/>
      </c>
      <c r="BY313" s="64" t="str">
        <f>IF(OR(F313="SALE",F313="REFUNDED")=TRUE,iferror(Vlookup(I313,'Listing SKU - Fill SKU Mapping'!A:D,4,false),"Map"),"")</f>
        <v/>
      </c>
      <c r="BZ313" s="66" t="str">
        <f t="shared" si="1"/>
        <v/>
      </c>
      <c r="CA313" s="64" t="str">
        <f t="shared" si="2"/>
        <v/>
      </c>
      <c r="CB313" s="64" t="str">
        <f t="shared" si="3"/>
        <v/>
      </c>
      <c r="CC313" s="64" t="str">
        <f>if(F313="REFUNDED",iferror(Vlookup(I313,'Listing SKU - Fill SKU Mapping'!A:B,2,false),"Map"),"")</f>
        <v/>
      </c>
      <c r="CD313" s="64" t="str">
        <f>if(F313="REFUNDED",iferror(Vlookup(I313,'Listing SKU - Fill SKU Mapping'!A:C,3,false),"Map"),"")</f>
        <v/>
      </c>
      <c r="CE313" s="64" t="str">
        <f t="shared" si="4"/>
        <v>2025</v>
      </c>
      <c r="CF313" s="64" t="str">
        <f t="shared" si="5"/>
        <v>September</v>
      </c>
      <c r="CG313" s="64" t="str">
        <f t="shared" si="6"/>
        <v/>
      </c>
    </row>
    <row r="314">
      <c r="A314" s="55">
        <v>2.0001E14</v>
      </c>
      <c r="B314" s="56">
        <v>1.0</v>
      </c>
      <c r="C314" s="57">
        <v>1.2903E14</v>
      </c>
      <c r="D314" s="58">
        <v>1.0</v>
      </c>
      <c r="F314" s="59" t="s">
        <v>100</v>
      </c>
      <c r="G314" s="60">
        <v>45924.0</v>
      </c>
      <c r="H314" s="58">
        <v>1.0</v>
      </c>
      <c r="I314" s="58" t="s">
        <v>305</v>
      </c>
      <c r="J314" s="61">
        <v>4.67129944255E11</v>
      </c>
      <c r="K314" s="63"/>
      <c r="L314" s="63"/>
      <c r="M314" s="63"/>
      <c r="N314" s="63"/>
      <c r="O314" s="63"/>
      <c r="P314" s="63"/>
      <c r="Q314" s="63"/>
      <c r="R314" s="63"/>
      <c r="S314" s="63"/>
      <c r="T314" s="58" t="s">
        <v>105</v>
      </c>
      <c r="U314" s="59">
        <v>86.67</v>
      </c>
      <c r="V314" s="59">
        <v>76.24</v>
      </c>
      <c r="W314" s="58">
        <v>5.74</v>
      </c>
      <c r="X314" s="58">
        <v>7.0</v>
      </c>
      <c r="Y314" s="58">
        <v>81.98</v>
      </c>
      <c r="Z314" s="59">
        <v>0.0</v>
      </c>
      <c r="AA314" s="58">
        <v>0.0</v>
      </c>
      <c r="AB314" s="58">
        <v>0.0</v>
      </c>
      <c r="AC314" s="58">
        <v>0.0</v>
      </c>
      <c r="AD314" s="58">
        <v>0.0</v>
      </c>
      <c r="AE314" s="58">
        <v>0.0</v>
      </c>
      <c r="AF314" s="58">
        <v>0.0</v>
      </c>
      <c r="AG314" s="58">
        <v>0.0</v>
      </c>
      <c r="AH314" s="58">
        <v>0.0</v>
      </c>
      <c r="AI314" s="58">
        <v>0.0</v>
      </c>
      <c r="AJ314" s="58">
        <v>0.0</v>
      </c>
      <c r="AK314" s="58">
        <v>0.0</v>
      </c>
      <c r="AL314" s="58">
        <v>0.0</v>
      </c>
      <c r="AM314" s="58">
        <v>0.0</v>
      </c>
      <c r="AN314" s="58">
        <v>0.0</v>
      </c>
      <c r="AO314" s="58">
        <v>4.69</v>
      </c>
      <c r="AP314" s="58">
        <v>0.0</v>
      </c>
      <c r="AQ314" s="58">
        <v>0.0</v>
      </c>
      <c r="AR314" s="58">
        <v>0.0</v>
      </c>
      <c r="AS314" s="58">
        <v>0.0</v>
      </c>
      <c r="AT314" s="58">
        <v>0.0</v>
      </c>
      <c r="AU314" s="58">
        <v>0.0</v>
      </c>
      <c r="AV314" s="58">
        <v>0.0</v>
      </c>
      <c r="AW314" s="58">
        <v>0.0</v>
      </c>
      <c r="AX314" s="58">
        <v>0.0</v>
      </c>
      <c r="AY314" s="58">
        <v>0.0</v>
      </c>
      <c r="AZ314" s="58">
        <v>0.0</v>
      </c>
      <c r="BA314" s="58">
        <v>0.0</v>
      </c>
      <c r="BB314" s="58">
        <v>4.69</v>
      </c>
      <c r="BC314" s="70" t="s">
        <v>106</v>
      </c>
      <c r="BD314" s="68"/>
      <c r="BG314" s="70">
        <v>-8.2</v>
      </c>
      <c r="BH314" s="68" t="s">
        <v>107</v>
      </c>
      <c r="BI314" s="68" t="s">
        <v>108</v>
      </c>
      <c r="BJ314" s="68" t="s">
        <v>109</v>
      </c>
      <c r="BK314" s="68" t="s">
        <v>432</v>
      </c>
      <c r="BM314" s="68"/>
      <c r="BN314" s="70" t="s">
        <v>111</v>
      </c>
      <c r="BO314" s="68" t="s">
        <v>112</v>
      </c>
      <c r="BP314" s="68" t="s">
        <v>113</v>
      </c>
      <c r="BQ314" s="68" t="s">
        <v>114</v>
      </c>
      <c r="BR314" s="68">
        <v>2.46</v>
      </c>
      <c r="BS314" s="68"/>
      <c r="BV314" s="72"/>
      <c r="BW314" s="64" t="str">
        <f>if(OR(F314="SALE",F314="REFUNDED"),IFERROR(Vlookup(I314,'Listing SKU - Fill SKU Mapping'!A:C,3,false),"Map"),"")</f>
        <v>Keystone</v>
      </c>
      <c r="BX314" s="64" t="str">
        <f>IF(OR(F314="SALE",F314="REFUNDED")=TRUE,iferror(Vlookup(I314,'Listing SKU - Fill SKU Mapping'!A:B,2,false),"Map"),"")</f>
        <v>45116S</v>
      </c>
      <c r="BY314" s="64">
        <f>IF(OR(F314="SALE",F314="REFUNDED")=TRUE,iferror(Vlookup(I314,'Listing SKU - Fill SKU Mapping'!A:D,4,false),"Map"),"")</f>
        <v>30.77</v>
      </c>
      <c r="BZ314" s="66">
        <f t="shared" si="1"/>
        <v>11.5</v>
      </c>
      <c r="CA314" s="66">
        <f t="shared" si="2"/>
        <v>42.27</v>
      </c>
      <c r="CB314" s="66">
        <f t="shared" si="3"/>
        <v>33.97</v>
      </c>
      <c r="CC314" s="64" t="str">
        <f>if(F314="REFUNDED",iferror(Vlookup(I314,'Listing SKU - Fill SKU Mapping'!A:B,2,false),"Map"),"")</f>
        <v/>
      </c>
      <c r="CD314" s="64" t="str">
        <f>if(F314="REFUNDED",iferror(Vlookup(I314,'Listing SKU - Fill SKU Mapping'!A:C,3,false),"Map"),"")</f>
        <v/>
      </c>
      <c r="CE314" s="64" t="str">
        <f t="shared" si="4"/>
        <v>2025</v>
      </c>
      <c r="CF314" s="64" t="str">
        <f t="shared" si="5"/>
        <v>September</v>
      </c>
      <c r="CG314" s="64" t="str">
        <f t="shared" si="6"/>
        <v/>
      </c>
    </row>
    <row r="315">
      <c r="A315" s="55">
        <v>2.0001E14</v>
      </c>
      <c r="B315" s="56">
        <v>2.0</v>
      </c>
      <c r="C315" s="57">
        <v>1.2902E14</v>
      </c>
      <c r="D315" s="58">
        <v>2.0</v>
      </c>
      <c r="F315" s="59" t="s">
        <v>158</v>
      </c>
      <c r="G315" s="60">
        <v>45921.0</v>
      </c>
      <c r="H315" s="58">
        <v>1.0</v>
      </c>
      <c r="I315" s="58" t="s">
        <v>395</v>
      </c>
      <c r="J315" s="61">
        <v>4.6712994404E11</v>
      </c>
      <c r="K315" s="63"/>
      <c r="L315" s="63"/>
      <c r="M315" s="63"/>
      <c r="N315" s="63"/>
      <c r="O315" s="63"/>
      <c r="P315" s="63"/>
      <c r="Q315" s="63"/>
      <c r="R315" s="63"/>
      <c r="S315" s="63"/>
      <c r="T315" s="58" t="s">
        <v>105</v>
      </c>
      <c r="U315" s="59">
        <v>0.0</v>
      </c>
      <c r="V315" s="59">
        <v>-8.89</v>
      </c>
      <c r="W315" s="58">
        <v>0.0</v>
      </c>
      <c r="X315" s="58">
        <v>0.0</v>
      </c>
      <c r="Y315" s="58">
        <v>0.0</v>
      </c>
      <c r="Z315" s="59">
        <v>0.0</v>
      </c>
      <c r="AA315" s="58">
        <v>0.0</v>
      </c>
      <c r="AB315" s="58">
        <v>0.0</v>
      </c>
      <c r="AC315" s="58">
        <v>0.0</v>
      </c>
      <c r="AD315" s="58">
        <v>0.0</v>
      </c>
      <c r="AE315" s="58">
        <v>0.0</v>
      </c>
      <c r="AF315" s="58">
        <v>0.0</v>
      </c>
      <c r="AG315" s="58">
        <v>0.0</v>
      </c>
      <c r="AH315" s="58">
        <v>0.0</v>
      </c>
      <c r="AI315" s="58">
        <v>0.0</v>
      </c>
      <c r="AJ315" s="58">
        <v>0.0</v>
      </c>
      <c r="AK315" s="58">
        <v>0.0</v>
      </c>
      <c r="AL315" s="58">
        <v>0.0</v>
      </c>
      <c r="AM315" s="58">
        <v>0.0</v>
      </c>
      <c r="AN315" s="58">
        <v>0.0</v>
      </c>
      <c r="AO315" s="58">
        <v>0.0</v>
      </c>
      <c r="AP315" s="58">
        <v>0.0</v>
      </c>
      <c r="AQ315" s="58">
        <v>0.0</v>
      </c>
      <c r="AR315" s="58">
        <v>0.0</v>
      </c>
      <c r="AS315" s="58">
        <v>0.0</v>
      </c>
      <c r="AT315" s="58">
        <v>0.0</v>
      </c>
      <c r="AU315" s="58">
        <v>0.0</v>
      </c>
      <c r="AV315" s="58">
        <v>0.0</v>
      </c>
      <c r="AW315" s="58">
        <v>0.0</v>
      </c>
      <c r="AX315" s="58">
        <v>0.0</v>
      </c>
      <c r="AY315" s="58">
        <v>0.0</v>
      </c>
      <c r="AZ315" s="58">
        <v>0.0</v>
      </c>
      <c r="BA315" s="58">
        <v>0.0</v>
      </c>
      <c r="BB315" s="58">
        <v>0.0</v>
      </c>
      <c r="BC315" s="70" t="s">
        <v>106</v>
      </c>
      <c r="BD315" s="68" t="s">
        <v>163</v>
      </c>
      <c r="BE315" s="68">
        <v>5013.0</v>
      </c>
      <c r="BF315" s="68"/>
      <c r="BH315" s="70" t="s">
        <v>107</v>
      </c>
      <c r="BI315" s="68" t="s">
        <v>108</v>
      </c>
      <c r="BK315" s="68"/>
      <c r="BN315" s="70" t="s">
        <v>111</v>
      </c>
      <c r="BO315" s="68" t="s">
        <v>112</v>
      </c>
      <c r="BQ315" s="68"/>
      <c r="BV315" s="72"/>
      <c r="BW315" s="64" t="str">
        <f>if(OR(F315="SALE",F315="REFUNDED"),IFERROR(Vlookup(I315,'Listing SKU - Fill SKU Mapping'!A:C,3,false),"Map"),"")</f>
        <v/>
      </c>
      <c r="BX315" s="64" t="str">
        <f>IF(OR(F315="SALE",F315="REFUNDED")=TRUE,iferror(Vlookup(I315,'Listing SKU - Fill SKU Mapping'!A:B,2,false),"Map"),"")</f>
        <v/>
      </c>
      <c r="BY315" s="64" t="str">
        <f>IF(OR(F315="SALE",F315="REFUNDED")=TRUE,iferror(Vlookup(I315,'Listing SKU - Fill SKU Mapping'!A:D,4,false),"Map"),"")</f>
        <v/>
      </c>
      <c r="BZ315" s="66" t="str">
        <f t="shared" si="1"/>
        <v/>
      </c>
      <c r="CA315" s="64" t="str">
        <f t="shared" si="2"/>
        <v/>
      </c>
      <c r="CB315" s="64" t="str">
        <f t="shared" si="3"/>
        <v/>
      </c>
      <c r="CC315" s="64" t="str">
        <f>if(F315="REFUNDED",iferror(Vlookup(I315,'Listing SKU - Fill SKU Mapping'!A:B,2,false),"Map"),"")</f>
        <v/>
      </c>
      <c r="CD315" s="64" t="str">
        <f>if(F315="REFUNDED",iferror(Vlookup(I315,'Listing SKU - Fill SKU Mapping'!A:C,3,false),"Map"),"")</f>
        <v/>
      </c>
      <c r="CE315" s="64" t="str">
        <f t="shared" si="4"/>
        <v>2025</v>
      </c>
      <c r="CF315" s="64" t="str">
        <f t="shared" si="5"/>
        <v>September</v>
      </c>
      <c r="CG315" s="64" t="str">
        <f t="shared" si="6"/>
        <v/>
      </c>
    </row>
    <row r="316">
      <c r="A316" s="55">
        <v>2.0001E14</v>
      </c>
      <c r="B316" s="56">
        <v>1.0</v>
      </c>
      <c r="C316" s="57">
        <v>1.2903E14</v>
      </c>
      <c r="D316" s="58">
        <v>1.0</v>
      </c>
      <c r="F316" s="59" t="s">
        <v>100</v>
      </c>
      <c r="G316" s="60">
        <v>45922.0</v>
      </c>
      <c r="H316" s="58">
        <v>1.0</v>
      </c>
      <c r="I316" s="58" t="s">
        <v>441</v>
      </c>
      <c r="J316" s="61">
        <v>4.60776236056E11</v>
      </c>
      <c r="K316" s="63"/>
      <c r="L316" s="63"/>
      <c r="M316" s="63"/>
      <c r="N316" s="63"/>
      <c r="O316" s="63"/>
      <c r="P316" s="63"/>
      <c r="Q316" s="63"/>
      <c r="R316" s="63"/>
      <c r="S316" s="63"/>
      <c r="T316" s="58" t="s">
        <v>105</v>
      </c>
      <c r="U316" s="59">
        <v>85.87</v>
      </c>
      <c r="V316" s="59">
        <v>79.03</v>
      </c>
      <c r="W316" s="58">
        <v>5.95</v>
      </c>
      <c r="X316" s="58">
        <v>7.0</v>
      </c>
      <c r="Y316" s="58">
        <v>79.93</v>
      </c>
      <c r="Z316" s="59">
        <v>0.0</v>
      </c>
      <c r="AA316" s="58">
        <v>0.0</v>
      </c>
      <c r="AB316" s="58">
        <v>0.0</v>
      </c>
      <c r="AC316" s="58">
        <v>0.0</v>
      </c>
      <c r="AD316" s="58">
        <v>0.0</v>
      </c>
      <c r="AE316" s="58">
        <v>0.0</v>
      </c>
      <c r="AF316" s="58">
        <v>0.0</v>
      </c>
      <c r="AG316" s="58">
        <v>0.0</v>
      </c>
      <c r="AH316" s="58">
        <v>0.0</v>
      </c>
      <c r="AI316" s="58">
        <v>0.0</v>
      </c>
      <c r="AJ316" s="58">
        <v>0.0</v>
      </c>
      <c r="AK316" s="58">
        <v>0.0</v>
      </c>
      <c r="AL316" s="58">
        <v>0.0</v>
      </c>
      <c r="AM316" s="58">
        <v>0.0</v>
      </c>
      <c r="AN316" s="58">
        <v>0.0</v>
      </c>
      <c r="AO316" s="58">
        <v>5.94</v>
      </c>
      <c r="AP316" s="58">
        <v>0.0</v>
      </c>
      <c r="AQ316" s="58">
        <v>0.0</v>
      </c>
      <c r="AR316" s="58">
        <v>0.0</v>
      </c>
      <c r="AS316" s="58">
        <v>0.0</v>
      </c>
      <c r="AT316" s="58">
        <v>0.0</v>
      </c>
      <c r="AU316" s="58">
        <v>0.0</v>
      </c>
      <c r="AV316" s="58">
        <v>0.0</v>
      </c>
      <c r="AW316" s="58">
        <v>0.0</v>
      </c>
      <c r="AX316" s="58">
        <v>0.0</v>
      </c>
      <c r="AY316" s="58">
        <v>0.0</v>
      </c>
      <c r="AZ316" s="58">
        <v>0.0</v>
      </c>
      <c r="BA316" s="58">
        <v>0.0</v>
      </c>
      <c r="BB316" s="58">
        <v>5.94</v>
      </c>
      <c r="BC316" s="70" t="s">
        <v>106</v>
      </c>
      <c r="BD316" s="68"/>
      <c r="BF316" s="70">
        <v>84.98</v>
      </c>
      <c r="BG316" s="68">
        <v>-8.5</v>
      </c>
      <c r="BH316" s="68" t="s">
        <v>107</v>
      </c>
      <c r="BI316" s="68" t="s">
        <v>108</v>
      </c>
      <c r="BJ316" s="68" t="s">
        <v>109</v>
      </c>
      <c r="BK316" s="68" t="s">
        <v>432</v>
      </c>
      <c r="BM316" s="68"/>
      <c r="BN316" s="70" t="s">
        <v>111</v>
      </c>
      <c r="BO316" s="68" t="s">
        <v>112</v>
      </c>
      <c r="BP316" s="68" t="s">
        <v>113</v>
      </c>
      <c r="BQ316" s="68" t="s">
        <v>317</v>
      </c>
      <c r="BR316" s="68">
        <v>2.55</v>
      </c>
      <c r="BS316" s="68"/>
      <c r="BT316" s="70">
        <v>-5.05</v>
      </c>
      <c r="BU316" s="68" t="s">
        <v>318</v>
      </c>
      <c r="BV316" s="73"/>
      <c r="BW316" s="64" t="str">
        <f>if(OR(F316="SALE",F316="REFUNDED"),IFERROR(Vlookup(I316,'Listing SKU - Fill SKU Mapping'!A:C,3,false),"Map"),"")</f>
        <v>Keystone</v>
      </c>
      <c r="BX316" s="64" t="str">
        <f>IF(OR(F316="SALE",F316="REFUNDED")=TRUE,iferror(Vlookup(I316,'Listing SKU - Fill SKU Mapping'!A:B,2,false),"Map"),"")</f>
        <v>IMP382BLK</v>
      </c>
      <c r="BY316" s="64">
        <f>IF(OR(F316="SALE",F316="REFUNDED")=TRUE,iferror(Vlookup(I316,'Listing SKU - Fill SKU Mapping'!A:D,4,false),"Map"),"")</f>
        <v>34.32</v>
      </c>
      <c r="BZ316" s="66">
        <f t="shared" si="1"/>
        <v>11.5</v>
      </c>
      <c r="CA316" s="66">
        <f t="shared" si="2"/>
        <v>45.82</v>
      </c>
      <c r="CB316" s="66">
        <f t="shared" si="3"/>
        <v>33.21</v>
      </c>
      <c r="CC316" s="64" t="str">
        <f>if(F316="REFUNDED",iferror(Vlookup(I316,'Listing SKU - Fill SKU Mapping'!A:B,2,false),"Map"),"")</f>
        <v/>
      </c>
      <c r="CD316" s="64" t="str">
        <f>if(F316="REFUNDED",iferror(Vlookup(I316,'Listing SKU - Fill SKU Mapping'!A:C,3,false),"Map"),"")</f>
        <v/>
      </c>
      <c r="CE316" s="64" t="str">
        <f t="shared" si="4"/>
        <v>2025</v>
      </c>
      <c r="CF316" s="64" t="str">
        <f t="shared" si="5"/>
        <v>September</v>
      </c>
      <c r="CG316" s="64" t="str">
        <f t="shared" si="6"/>
        <v/>
      </c>
    </row>
    <row r="317">
      <c r="A317" s="55">
        <v>2.0001E14</v>
      </c>
      <c r="B317" s="56">
        <v>1.0</v>
      </c>
      <c r="C317" s="57">
        <v>1.2903E14</v>
      </c>
      <c r="D317" s="58">
        <v>1.0</v>
      </c>
      <c r="F317" s="59" t="s">
        <v>100</v>
      </c>
      <c r="G317" s="60">
        <v>45929.0</v>
      </c>
      <c r="H317" s="58">
        <v>1.0</v>
      </c>
      <c r="I317" s="58" t="s">
        <v>442</v>
      </c>
      <c r="J317" s="61">
        <v>4.67620071085E11</v>
      </c>
      <c r="K317" s="63"/>
      <c r="L317" s="63"/>
      <c r="M317" s="63"/>
      <c r="N317" s="63"/>
      <c r="O317" s="63"/>
      <c r="P317" s="63"/>
      <c r="Q317" s="63"/>
      <c r="R317" s="63"/>
      <c r="S317" s="63"/>
      <c r="T317" s="58" t="s">
        <v>105</v>
      </c>
      <c r="U317" s="59">
        <v>87.11</v>
      </c>
      <c r="V317" s="59">
        <v>76.25</v>
      </c>
      <c r="W317" s="58">
        <v>5.74</v>
      </c>
      <c r="X317" s="58">
        <v>7.0</v>
      </c>
      <c r="Y317" s="58">
        <v>81.99</v>
      </c>
      <c r="Z317" s="59">
        <v>0.0</v>
      </c>
      <c r="AA317" s="58">
        <v>0.0</v>
      </c>
      <c r="AB317" s="58">
        <v>0.0</v>
      </c>
      <c r="AC317" s="58">
        <v>0.0</v>
      </c>
      <c r="AD317" s="58">
        <v>0.0</v>
      </c>
      <c r="AE317" s="58">
        <v>0.0</v>
      </c>
      <c r="AF317" s="58">
        <v>0.0</v>
      </c>
      <c r="AG317" s="58">
        <v>0.0</v>
      </c>
      <c r="AH317" s="58">
        <v>0.0</v>
      </c>
      <c r="AI317" s="58">
        <v>0.0</v>
      </c>
      <c r="AJ317" s="58">
        <v>0.0</v>
      </c>
      <c r="AK317" s="58">
        <v>0.0</v>
      </c>
      <c r="AL317" s="58">
        <v>0.0</v>
      </c>
      <c r="AM317" s="58">
        <v>0.0</v>
      </c>
      <c r="AN317" s="58">
        <v>0.0</v>
      </c>
      <c r="AO317" s="58">
        <v>5.12</v>
      </c>
      <c r="AP317" s="58">
        <v>0.0</v>
      </c>
      <c r="AQ317" s="58">
        <v>0.0</v>
      </c>
      <c r="AR317" s="58">
        <v>0.0</v>
      </c>
      <c r="AS317" s="58">
        <v>0.0</v>
      </c>
      <c r="AT317" s="58">
        <v>0.0</v>
      </c>
      <c r="AU317" s="58">
        <v>0.0</v>
      </c>
      <c r="AV317" s="58">
        <v>0.0</v>
      </c>
      <c r="AW317" s="58">
        <v>0.0</v>
      </c>
      <c r="AX317" s="58">
        <v>0.0</v>
      </c>
      <c r="AY317" s="58">
        <v>0.0</v>
      </c>
      <c r="AZ317" s="58">
        <v>0.0</v>
      </c>
      <c r="BA317" s="58">
        <v>0.0</v>
      </c>
      <c r="BB317" s="58">
        <v>5.12</v>
      </c>
      <c r="BC317" s="70" t="s">
        <v>106</v>
      </c>
      <c r="BD317" s="68"/>
      <c r="BG317" s="70">
        <v>-8.2</v>
      </c>
      <c r="BH317" s="68" t="s">
        <v>107</v>
      </c>
      <c r="BI317" s="68" t="s">
        <v>108</v>
      </c>
      <c r="BJ317" s="68" t="s">
        <v>325</v>
      </c>
      <c r="BK317" s="68" t="s">
        <v>430</v>
      </c>
      <c r="BM317" s="68"/>
      <c r="BN317" s="70" t="s">
        <v>111</v>
      </c>
      <c r="BO317" s="68" t="s">
        <v>112</v>
      </c>
      <c r="BP317" s="68" t="s">
        <v>113</v>
      </c>
      <c r="BQ317" s="68" t="s">
        <v>114</v>
      </c>
      <c r="BR317" s="68">
        <v>2.46</v>
      </c>
      <c r="BS317" s="68"/>
      <c r="BV317" s="72"/>
      <c r="BW317" s="64" t="str">
        <f>if(OR(F317="SALE",F317="REFUNDED"),IFERROR(Vlookup(I317,'Listing SKU - Fill SKU Mapping'!A:C,3,false),"Map"),"")</f>
        <v>Keystone</v>
      </c>
      <c r="BX317" s="64" t="str">
        <f>IF(OR(F317="SALE",F317="REFUNDED")=TRUE,iferror(Vlookup(I317,'Listing SKU - Fill SKU Mapping'!A:B,2,false),"Map"),"")</f>
        <v>1517P</v>
      </c>
      <c r="BY317" s="64">
        <f>IF(OR(F317="SALE",F317="REFUNDED")=TRUE,iferror(Vlookup(I317,'Listing SKU - Fill SKU Mapping'!A:D,4,false),"Map"),"")</f>
        <v>32.35</v>
      </c>
      <c r="BZ317" s="66">
        <f t="shared" si="1"/>
        <v>11.5</v>
      </c>
      <c r="CA317" s="66">
        <f t="shared" si="2"/>
        <v>43.85</v>
      </c>
      <c r="CB317" s="66">
        <f t="shared" si="3"/>
        <v>32.4</v>
      </c>
      <c r="CC317" s="64" t="str">
        <f>if(F317="REFUNDED",iferror(Vlookup(I317,'Listing SKU - Fill SKU Mapping'!A:B,2,false),"Map"),"")</f>
        <v/>
      </c>
      <c r="CD317" s="64" t="str">
        <f>if(F317="REFUNDED",iferror(Vlookup(I317,'Listing SKU - Fill SKU Mapping'!A:C,3,false),"Map"),"")</f>
        <v/>
      </c>
      <c r="CE317" s="64" t="str">
        <f t="shared" si="4"/>
        <v>2025</v>
      </c>
      <c r="CF317" s="64" t="str">
        <f t="shared" si="5"/>
        <v>September</v>
      </c>
      <c r="CG317" s="64" t="str">
        <f t="shared" si="6"/>
        <v/>
      </c>
    </row>
    <row r="318">
      <c r="A318" s="55">
        <v>2.0001E14</v>
      </c>
      <c r="B318" s="56">
        <v>2.0</v>
      </c>
      <c r="C318" s="57">
        <v>1.2903E14</v>
      </c>
      <c r="D318" s="58">
        <v>2.0</v>
      </c>
      <c r="F318" s="59" t="s">
        <v>100</v>
      </c>
      <c r="G318" s="60">
        <v>45922.0</v>
      </c>
      <c r="H318" s="58">
        <v>1.0</v>
      </c>
      <c r="I318" s="58" t="s">
        <v>443</v>
      </c>
      <c r="J318" s="61">
        <v>4.66885060933E11</v>
      </c>
      <c r="K318" s="63"/>
      <c r="L318" s="63"/>
      <c r="M318" s="63"/>
      <c r="N318" s="63"/>
      <c r="O318" s="63"/>
      <c r="P318" s="63"/>
      <c r="Q318" s="63"/>
      <c r="R318" s="63"/>
      <c r="S318" s="63"/>
      <c r="T318" s="58" t="s">
        <v>105</v>
      </c>
      <c r="U318" s="59">
        <v>101.39</v>
      </c>
      <c r="V318" s="59">
        <v>94.84</v>
      </c>
      <c r="W318" s="58">
        <v>7.14</v>
      </c>
      <c r="X318" s="58">
        <v>7.0</v>
      </c>
      <c r="Y318" s="58">
        <v>95.9</v>
      </c>
      <c r="Z318" s="59">
        <v>0.0</v>
      </c>
      <c r="AA318" s="58">
        <v>0.0</v>
      </c>
      <c r="AB318" s="58">
        <v>0.0</v>
      </c>
      <c r="AC318" s="58">
        <v>0.0</v>
      </c>
      <c r="AD318" s="58">
        <v>0.0</v>
      </c>
      <c r="AE318" s="58">
        <v>0.0</v>
      </c>
      <c r="AF318" s="58">
        <v>0.0</v>
      </c>
      <c r="AG318" s="58">
        <v>0.0</v>
      </c>
      <c r="AH318" s="58">
        <v>0.0</v>
      </c>
      <c r="AI318" s="58">
        <v>0.0</v>
      </c>
      <c r="AJ318" s="58">
        <v>0.0</v>
      </c>
      <c r="AK318" s="58">
        <v>0.0</v>
      </c>
      <c r="AL318" s="58">
        <v>0.0</v>
      </c>
      <c r="AM318" s="58">
        <v>0.0</v>
      </c>
      <c r="AN318" s="58">
        <v>0.0</v>
      </c>
      <c r="AO318" s="58">
        <v>5.49</v>
      </c>
      <c r="AP318" s="58">
        <v>0.0</v>
      </c>
      <c r="AQ318" s="58">
        <v>0.0</v>
      </c>
      <c r="AR318" s="58">
        <v>0.0</v>
      </c>
      <c r="AS318" s="58">
        <v>0.0</v>
      </c>
      <c r="AT318" s="58">
        <v>0.0</v>
      </c>
      <c r="AU318" s="58">
        <v>0.0</v>
      </c>
      <c r="AV318" s="58">
        <v>0.0</v>
      </c>
      <c r="AW318" s="58">
        <v>0.0</v>
      </c>
      <c r="AX318" s="58">
        <v>0.0</v>
      </c>
      <c r="AY318" s="58">
        <v>0.0</v>
      </c>
      <c r="AZ318" s="58">
        <v>0.0</v>
      </c>
      <c r="BA318" s="58">
        <v>0.0</v>
      </c>
      <c r="BB318" s="58">
        <v>5.49</v>
      </c>
      <c r="BC318" s="70" t="s">
        <v>106</v>
      </c>
      <c r="BD318" s="68"/>
      <c r="BF318" s="70">
        <v>101.98</v>
      </c>
      <c r="BG318" s="68">
        <v>-10.2</v>
      </c>
      <c r="BH318" s="68" t="s">
        <v>107</v>
      </c>
      <c r="BI318" s="68" t="s">
        <v>108</v>
      </c>
      <c r="BJ318" s="68" t="s">
        <v>109</v>
      </c>
      <c r="BK318" s="68" t="s">
        <v>432</v>
      </c>
      <c r="BM318" s="68"/>
      <c r="BN318" s="70" t="s">
        <v>111</v>
      </c>
      <c r="BO318" s="68" t="s">
        <v>112</v>
      </c>
      <c r="BP318" s="68" t="s">
        <v>113</v>
      </c>
      <c r="BQ318" s="68" t="s">
        <v>317</v>
      </c>
      <c r="BR318" s="68">
        <v>3.06</v>
      </c>
      <c r="BS318" s="68"/>
      <c r="BT318" s="70">
        <v>-6.08</v>
      </c>
      <c r="BU318" s="68" t="s">
        <v>318</v>
      </c>
      <c r="BV318" s="73"/>
      <c r="BW318" s="64" t="str">
        <f>if(OR(F318="SALE",F318="REFUNDED"),IFERROR(Vlookup(I318,'Listing SKU - Fill SKU Mapping'!A:C,3,false),"Map"),"")</f>
        <v>Keystone</v>
      </c>
      <c r="BX318" s="64" t="str">
        <f>IF(OR(F318="SALE",F318="REFUNDED")=TRUE,iferror(Vlookup(I318,'Listing SKU - Fill SKU Mapping'!A:B,2,false),"Map"),"")</f>
        <v>41216CN</v>
      </c>
      <c r="BY318" s="64">
        <f>IF(OR(F318="SALE",F318="REFUNDED")=TRUE,iferror(Vlookup(I318,'Listing SKU - Fill SKU Mapping'!A:D,4,false),"Map"),"")</f>
        <v>43.39</v>
      </c>
      <c r="BZ318" s="66">
        <f t="shared" si="1"/>
        <v>11.5</v>
      </c>
      <c r="CA318" s="66">
        <f t="shared" si="2"/>
        <v>54.89</v>
      </c>
      <c r="CB318" s="66">
        <f t="shared" si="3"/>
        <v>39.95</v>
      </c>
      <c r="CC318" s="64" t="str">
        <f>if(F318="REFUNDED",iferror(Vlookup(I318,'Listing SKU - Fill SKU Mapping'!A:B,2,false),"Map"),"")</f>
        <v/>
      </c>
      <c r="CD318" s="64" t="str">
        <f>if(F318="REFUNDED",iferror(Vlookup(I318,'Listing SKU - Fill SKU Mapping'!A:C,3,false),"Map"),"")</f>
        <v/>
      </c>
      <c r="CE318" s="64" t="str">
        <f t="shared" si="4"/>
        <v>2025</v>
      </c>
      <c r="CF318" s="64" t="str">
        <f t="shared" si="5"/>
        <v>September</v>
      </c>
      <c r="CG318" s="64" t="str">
        <f t="shared" si="6"/>
        <v/>
      </c>
    </row>
    <row r="319">
      <c r="A319" s="55">
        <v>2.0001E14</v>
      </c>
      <c r="B319" s="56">
        <v>2.0</v>
      </c>
      <c r="C319" s="57">
        <v>1.2903E14</v>
      </c>
      <c r="D319" s="58">
        <v>2.0</v>
      </c>
      <c r="F319" s="59" t="s">
        <v>128</v>
      </c>
      <c r="G319" s="60">
        <v>45926.0</v>
      </c>
      <c r="H319" s="58">
        <v>1.0</v>
      </c>
      <c r="I319" s="58" t="s">
        <v>443</v>
      </c>
      <c r="J319" s="61">
        <v>4.66885060933E11</v>
      </c>
      <c r="K319" s="63"/>
      <c r="L319" s="63"/>
      <c r="M319" s="63"/>
      <c r="N319" s="63"/>
      <c r="O319" s="63"/>
      <c r="P319" s="63"/>
      <c r="Q319" s="63"/>
      <c r="R319" s="63"/>
      <c r="S319" s="63"/>
      <c r="U319" s="59">
        <v>-101.39</v>
      </c>
      <c r="V319" s="59">
        <v>-94.84</v>
      </c>
      <c r="W319" s="58">
        <v>-7.14</v>
      </c>
      <c r="X319" s="58">
        <v>0.0</v>
      </c>
      <c r="Y319" s="58">
        <v>0.0</v>
      </c>
      <c r="Z319" s="59">
        <v>-95.9</v>
      </c>
      <c r="AA319" s="58">
        <v>0.0</v>
      </c>
      <c r="AB319" s="58">
        <v>0.0</v>
      </c>
      <c r="AC319" s="58">
        <v>0.0</v>
      </c>
      <c r="AD319" s="58">
        <v>0.0</v>
      </c>
      <c r="AE319" s="58">
        <v>0.0</v>
      </c>
      <c r="AF319" s="58">
        <v>0.0</v>
      </c>
      <c r="AG319" s="58">
        <v>0.0</v>
      </c>
      <c r="AH319" s="58">
        <v>0.0</v>
      </c>
      <c r="AI319" s="58">
        <v>0.0</v>
      </c>
      <c r="AJ319" s="58">
        <v>0.0</v>
      </c>
      <c r="AK319" s="58">
        <v>0.0</v>
      </c>
      <c r="AL319" s="58">
        <v>0.0</v>
      </c>
      <c r="AM319" s="58">
        <v>0.0</v>
      </c>
      <c r="AN319" s="58">
        <v>0.0</v>
      </c>
      <c r="AO319" s="58">
        <v>0.0</v>
      </c>
      <c r="AP319" s="58">
        <v>0.0</v>
      </c>
      <c r="AQ319" s="58">
        <v>0.0</v>
      </c>
      <c r="AR319" s="58">
        <v>0.0</v>
      </c>
      <c r="AS319" s="58">
        <v>0.0</v>
      </c>
      <c r="AT319" s="58">
        <v>-5.49</v>
      </c>
      <c r="AU319" s="58">
        <v>0.0</v>
      </c>
      <c r="AV319" s="58">
        <v>0.0</v>
      </c>
      <c r="AW319" s="58">
        <v>0.0</v>
      </c>
      <c r="AX319" s="58">
        <v>0.0</v>
      </c>
      <c r="AY319" s="58">
        <v>0.0</v>
      </c>
      <c r="AZ319" s="58">
        <v>0.0</v>
      </c>
      <c r="BA319" s="58">
        <v>0.0</v>
      </c>
      <c r="BB319" s="58">
        <v>-5.49</v>
      </c>
      <c r="BC319" s="68" t="s">
        <v>106</v>
      </c>
      <c r="BD319" s="68" t="s">
        <v>156</v>
      </c>
      <c r="BE319" s="68">
        <v>5010.0</v>
      </c>
      <c r="BF319" s="68">
        <v>101.98</v>
      </c>
      <c r="BG319" s="68"/>
      <c r="BH319" s="70" t="s">
        <v>107</v>
      </c>
      <c r="BI319" s="68" t="s">
        <v>108</v>
      </c>
      <c r="BK319" s="68"/>
      <c r="BL319" s="70">
        <v>1016.0</v>
      </c>
      <c r="BM319" s="68" t="s">
        <v>258</v>
      </c>
      <c r="BN319" s="68" t="s">
        <v>111</v>
      </c>
      <c r="BO319" s="68" t="s">
        <v>112</v>
      </c>
      <c r="BQ319" s="68"/>
      <c r="BT319" s="70">
        <v>6.08</v>
      </c>
      <c r="BU319" s="68"/>
      <c r="BV319" s="72"/>
      <c r="BW319" s="64" t="str">
        <f>if(OR(F319="SALE",F319="REFUNDED"),IFERROR(Vlookup(I319,'Listing SKU - Fill SKU Mapping'!A:C,3,false),"Map"),"")</f>
        <v>Keystone</v>
      </c>
      <c r="BX319" s="64" t="str">
        <f>IF(OR(F319="SALE",F319="REFUNDED")=TRUE,iferror(Vlookup(I319,'Listing SKU - Fill SKU Mapping'!A:B,2,false),"Map"),"")</f>
        <v>41216CN</v>
      </c>
      <c r="BY319" s="64">
        <f>IF(OR(F319="SALE",F319="REFUNDED")=TRUE,iferror(Vlookup(I319,'Listing SKU - Fill SKU Mapping'!A:D,4,false),"Map"),"")</f>
        <v>43.39</v>
      </c>
      <c r="BZ319" s="66">
        <f t="shared" si="1"/>
        <v>11.5</v>
      </c>
      <c r="CA319" s="66">
        <f t="shared" si="2"/>
        <v>54.89</v>
      </c>
      <c r="CB319" s="64" t="str">
        <f t="shared" si="3"/>
        <v/>
      </c>
      <c r="CC319" s="64" t="str">
        <f>if(F319="REFUNDED",iferror(Vlookup(I319,'Listing SKU - Fill SKU Mapping'!A:B,2,false),"Map"),"")</f>
        <v>41216CN</v>
      </c>
      <c r="CD319" s="64" t="str">
        <f>if(F319="REFUNDED",iferror(Vlookup(I319,'Listing SKU - Fill SKU Mapping'!A:C,3,false),"Map"),"")</f>
        <v>Keystone</v>
      </c>
      <c r="CE319" s="64" t="str">
        <f t="shared" si="4"/>
        <v>2025</v>
      </c>
      <c r="CF319" s="64" t="str">
        <f t="shared" si="5"/>
        <v>September</v>
      </c>
      <c r="CG319" s="64" t="str">
        <f t="shared" si="6"/>
        <v/>
      </c>
    </row>
    <row r="320">
      <c r="A320" s="55">
        <v>2.0001E14</v>
      </c>
      <c r="B320" s="56">
        <v>1.0</v>
      </c>
      <c r="C320" s="57">
        <v>1.2902E14</v>
      </c>
      <c r="D320" s="58">
        <v>1.0</v>
      </c>
      <c r="F320" s="59" t="s">
        <v>158</v>
      </c>
      <c r="G320" s="60">
        <v>45921.0</v>
      </c>
      <c r="H320" s="58">
        <v>1.0</v>
      </c>
      <c r="I320" s="58" t="s">
        <v>360</v>
      </c>
      <c r="J320" s="61">
        <v>4.60776272498E11</v>
      </c>
      <c r="K320" s="63"/>
      <c r="L320" s="63"/>
      <c r="M320" s="63"/>
      <c r="N320" s="63"/>
      <c r="O320" s="63"/>
      <c r="P320" s="63"/>
      <c r="Q320" s="63"/>
      <c r="R320" s="63"/>
      <c r="S320" s="63"/>
      <c r="T320" s="58" t="s">
        <v>105</v>
      </c>
      <c r="U320" s="59">
        <v>0.0</v>
      </c>
      <c r="V320" s="59">
        <v>-10.81</v>
      </c>
      <c r="W320" s="58">
        <v>0.0</v>
      </c>
      <c r="X320" s="58">
        <v>0.0</v>
      </c>
      <c r="Y320" s="58">
        <v>0.0</v>
      </c>
      <c r="Z320" s="59">
        <v>0.0</v>
      </c>
      <c r="AA320" s="58">
        <v>0.0</v>
      </c>
      <c r="AB320" s="58">
        <v>0.0</v>
      </c>
      <c r="AC320" s="58">
        <v>0.0</v>
      </c>
      <c r="AD320" s="58">
        <v>0.0</v>
      </c>
      <c r="AE320" s="58">
        <v>0.0</v>
      </c>
      <c r="AF320" s="58">
        <v>0.0</v>
      </c>
      <c r="AG320" s="58">
        <v>0.0</v>
      </c>
      <c r="AH320" s="58">
        <v>0.0</v>
      </c>
      <c r="AI320" s="58">
        <v>0.0</v>
      </c>
      <c r="AJ320" s="58">
        <v>0.0</v>
      </c>
      <c r="AK320" s="58">
        <v>0.0</v>
      </c>
      <c r="AL320" s="58">
        <v>0.0</v>
      </c>
      <c r="AM320" s="58">
        <v>0.0</v>
      </c>
      <c r="AN320" s="58">
        <v>0.0</v>
      </c>
      <c r="AO320" s="58">
        <v>0.0</v>
      </c>
      <c r="AP320" s="58">
        <v>0.0</v>
      </c>
      <c r="AQ320" s="58">
        <v>0.0</v>
      </c>
      <c r="AR320" s="58">
        <v>0.0</v>
      </c>
      <c r="AS320" s="58">
        <v>0.0</v>
      </c>
      <c r="AT320" s="58">
        <v>0.0</v>
      </c>
      <c r="AU320" s="58">
        <v>0.0</v>
      </c>
      <c r="AV320" s="58">
        <v>0.0</v>
      </c>
      <c r="AW320" s="58">
        <v>0.0</v>
      </c>
      <c r="AX320" s="58">
        <v>0.0</v>
      </c>
      <c r="AY320" s="58">
        <v>0.0</v>
      </c>
      <c r="AZ320" s="58">
        <v>0.0</v>
      </c>
      <c r="BA320" s="58">
        <v>0.0</v>
      </c>
      <c r="BB320" s="58">
        <v>0.0</v>
      </c>
      <c r="BC320" s="70" t="s">
        <v>106</v>
      </c>
      <c r="BD320" s="68" t="s">
        <v>163</v>
      </c>
      <c r="BE320" s="68">
        <v>5013.0</v>
      </c>
      <c r="BF320" s="68">
        <v>119.98</v>
      </c>
      <c r="BG320" s="68"/>
      <c r="BH320" s="70" t="s">
        <v>107</v>
      </c>
      <c r="BI320" s="68" t="s">
        <v>108</v>
      </c>
      <c r="BK320" s="68"/>
      <c r="BN320" s="70" t="s">
        <v>111</v>
      </c>
      <c r="BO320" s="68" t="s">
        <v>112</v>
      </c>
      <c r="BQ320" s="68"/>
      <c r="BV320" s="72"/>
      <c r="BW320" s="64" t="str">
        <f>if(OR(F320="SALE",F320="REFUNDED"),IFERROR(Vlookup(I320,'Listing SKU - Fill SKU Mapping'!A:C,3,false),"Map"),"")</f>
        <v/>
      </c>
      <c r="BX320" s="64" t="str">
        <f>IF(OR(F320="SALE",F320="REFUNDED")=TRUE,iferror(Vlookup(I320,'Listing SKU - Fill SKU Mapping'!A:B,2,false),"Map"),"")</f>
        <v/>
      </c>
      <c r="BY320" s="64" t="str">
        <f>IF(OR(F320="SALE",F320="REFUNDED")=TRUE,iferror(Vlookup(I320,'Listing SKU - Fill SKU Mapping'!A:D,4,false),"Map"),"")</f>
        <v/>
      </c>
      <c r="BZ320" s="66" t="str">
        <f t="shared" si="1"/>
        <v/>
      </c>
      <c r="CA320" s="64" t="str">
        <f t="shared" si="2"/>
        <v/>
      </c>
      <c r="CB320" s="64" t="str">
        <f t="shared" si="3"/>
        <v/>
      </c>
      <c r="CC320" s="64" t="str">
        <f>if(F320="REFUNDED",iferror(Vlookup(I320,'Listing SKU - Fill SKU Mapping'!A:B,2,false),"Map"),"")</f>
        <v/>
      </c>
      <c r="CD320" s="64" t="str">
        <f>if(F320="REFUNDED",iferror(Vlookup(I320,'Listing SKU - Fill SKU Mapping'!A:C,3,false),"Map"),"")</f>
        <v/>
      </c>
      <c r="CE320" s="64" t="str">
        <f t="shared" si="4"/>
        <v>2025</v>
      </c>
      <c r="CF320" s="64" t="str">
        <f t="shared" si="5"/>
        <v>September</v>
      </c>
      <c r="CG320" s="64" t="str">
        <f t="shared" si="6"/>
        <v/>
      </c>
    </row>
    <row r="321">
      <c r="A321" s="55">
        <v>2.0001E14</v>
      </c>
      <c r="B321" s="56">
        <v>1.0</v>
      </c>
      <c r="C321" s="57">
        <v>1.2903E14</v>
      </c>
      <c r="D321" s="58">
        <v>1.0</v>
      </c>
      <c r="F321" s="59" t="s">
        <v>100</v>
      </c>
      <c r="G321" s="60">
        <v>45922.0</v>
      </c>
      <c r="H321" s="58">
        <v>1.0</v>
      </c>
      <c r="I321" s="58" t="s">
        <v>444</v>
      </c>
      <c r="J321" s="61">
        <v>4.6077623483E11</v>
      </c>
      <c r="K321" s="63"/>
      <c r="L321" s="63"/>
      <c r="M321" s="63"/>
      <c r="N321" s="63"/>
      <c r="O321" s="63"/>
      <c r="P321" s="63"/>
      <c r="Q321" s="63"/>
      <c r="R321" s="63"/>
      <c r="S321" s="63"/>
      <c r="T321" s="58" t="s">
        <v>105</v>
      </c>
      <c r="U321" s="59">
        <v>109.26</v>
      </c>
      <c r="V321" s="59">
        <v>99.49</v>
      </c>
      <c r="W321" s="58">
        <v>7.49</v>
      </c>
      <c r="X321" s="58">
        <v>7.0</v>
      </c>
      <c r="Y321" s="58">
        <v>100.93</v>
      </c>
      <c r="Z321" s="59">
        <v>0.0</v>
      </c>
      <c r="AA321" s="58">
        <v>0.0</v>
      </c>
      <c r="AB321" s="58">
        <v>0.0</v>
      </c>
      <c r="AC321" s="58">
        <v>0.0</v>
      </c>
      <c r="AD321" s="58">
        <v>0.0</v>
      </c>
      <c r="AE321" s="58">
        <v>0.0</v>
      </c>
      <c r="AF321" s="58">
        <v>0.0</v>
      </c>
      <c r="AG321" s="58">
        <v>0.0</v>
      </c>
      <c r="AH321" s="58">
        <v>0.0</v>
      </c>
      <c r="AI321" s="58">
        <v>0.0</v>
      </c>
      <c r="AJ321" s="58">
        <v>0.0</v>
      </c>
      <c r="AK321" s="58">
        <v>0.0</v>
      </c>
      <c r="AL321" s="58">
        <v>0.0</v>
      </c>
      <c r="AM321" s="58">
        <v>0.0</v>
      </c>
      <c r="AN321" s="58">
        <v>0.0</v>
      </c>
      <c r="AO321" s="58">
        <v>8.33</v>
      </c>
      <c r="AP321" s="58">
        <v>0.0</v>
      </c>
      <c r="AQ321" s="58">
        <v>0.0</v>
      </c>
      <c r="AR321" s="58">
        <v>0.0</v>
      </c>
      <c r="AS321" s="58">
        <v>0.0</v>
      </c>
      <c r="AT321" s="58">
        <v>0.0</v>
      </c>
      <c r="AU321" s="58">
        <v>0.0</v>
      </c>
      <c r="AV321" s="58">
        <v>0.0</v>
      </c>
      <c r="AW321" s="58">
        <v>0.0</v>
      </c>
      <c r="AX321" s="58">
        <v>0.0</v>
      </c>
      <c r="AY321" s="58">
        <v>0.0</v>
      </c>
      <c r="AZ321" s="58">
        <v>0.0</v>
      </c>
      <c r="BA321" s="58">
        <v>0.0</v>
      </c>
      <c r="BB321" s="58">
        <v>8.33</v>
      </c>
      <c r="BC321" s="70" t="s">
        <v>106</v>
      </c>
      <c r="BD321" s="68"/>
      <c r="BF321" s="70">
        <v>106.98</v>
      </c>
      <c r="BG321" s="68">
        <v>-10.7</v>
      </c>
      <c r="BH321" s="68" t="s">
        <v>107</v>
      </c>
      <c r="BI321" s="68" t="s">
        <v>108</v>
      </c>
      <c r="BJ321" s="68" t="s">
        <v>109</v>
      </c>
      <c r="BK321" s="68" t="s">
        <v>432</v>
      </c>
      <c r="BM321" s="68"/>
      <c r="BN321" s="70" t="s">
        <v>111</v>
      </c>
      <c r="BO321" s="68" t="s">
        <v>112</v>
      </c>
      <c r="BP321" s="68" t="s">
        <v>113</v>
      </c>
      <c r="BQ321" s="68" t="s">
        <v>317</v>
      </c>
      <c r="BR321" s="68">
        <v>3.21</v>
      </c>
      <c r="BS321" s="68"/>
      <c r="BT321" s="70">
        <v>-6.05</v>
      </c>
      <c r="BU321" s="68" t="s">
        <v>318</v>
      </c>
      <c r="BV321" s="73"/>
      <c r="BW321" s="64" t="str">
        <f>if(OR(F321="SALE",F321="REFUNDED"),IFERROR(Vlookup(I321,'Listing SKU - Fill SKU Mapping'!A:C,3,false),"Map"),"")</f>
        <v>Keystone</v>
      </c>
      <c r="BX321" s="64" t="str">
        <f>IF(OR(F321="SALE",F321="REFUNDED")=TRUE,iferror(Vlookup(I321,'Listing SKU - Fill SKU Mapping'!A:B,2,false),"Map"),"")</f>
        <v>IMP370BLK</v>
      </c>
      <c r="BY321" s="64">
        <f>IF(OR(F321="SALE",F321="REFUNDED")=TRUE,iferror(Vlookup(I321,'Listing SKU - Fill SKU Mapping'!A:D,4,false),"Map"),"")</f>
        <v>48.52</v>
      </c>
      <c r="BZ321" s="66">
        <f t="shared" si="1"/>
        <v>11.5</v>
      </c>
      <c r="CA321" s="66">
        <f t="shared" si="2"/>
        <v>60.02</v>
      </c>
      <c r="CB321" s="66">
        <f t="shared" si="3"/>
        <v>39.47</v>
      </c>
      <c r="CC321" s="64" t="str">
        <f>if(F321="REFUNDED",iferror(Vlookup(I321,'Listing SKU - Fill SKU Mapping'!A:B,2,false),"Map"),"")</f>
        <v/>
      </c>
      <c r="CD321" s="64" t="str">
        <f>if(F321="REFUNDED",iferror(Vlookup(I321,'Listing SKU - Fill SKU Mapping'!A:C,3,false),"Map"),"")</f>
        <v/>
      </c>
      <c r="CE321" s="64" t="str">
        <f t="shared" si="4"/>
        <v>2025</v>
      </c>
      <c r="CF321" s="64" t="str">
        <f t="shared" si="5"/>
        <v>September</v>
      </c>
      <c r="CG321" s="64" t="str">
        <f t="shared" si="6"/>
        <v/>
      </c>
    </row>
    <row r="322">
      <c r="A322" s="55">
        <v>2.0001E14</v>
      </c>
      <c r="B322" s="56">
        <v>1.0</v>
      </c>
      <c r="C322" s="57">
        <v>1.2902E14</v>
      </c>
      <c r="D322" s="58">
        <v>1.0</v>
      </c>
      <c r="F322" s="59" t="s">
        <v>158</v>
      </c>
      <c r="G322" s="60">
        <v>45928.0</v>
      </c>
      <c r="H322" s="58">
        <v>2.0</v>
      </c>
      <c r="I322" s="58" t="s">
        <v>386</v>
      </c>
      <c r="J322" s="61">
        <v>4.67620062427E11</v>
      </c>
      <c r="K322" s="63"/>
      <c r="L322" s="63"/>
      <c r="M322" s="63"/>
      <c r="N322" s="63"/>
      <c r="O322" s="63"/>
      <c r="P322" s="63"/>
      <c r="Q322" s="63"/>
      <c r="R322" s="63"/>
      <c r="S322" s="63"/>
      <c r="T322" s="58" t="s">
        <v>105</v>
      </c>
      <c r="U322" s="59">
        <v>0.0</v>
      </c>
      <c r="V322" s="59">
        <v>-12.7</v>
      </c>
      <c r="W322" s="58">
        <v>0.0</v>
      </c>
      <c r="X322" s="58">
        <v>0.0</v>
      </c>
      <c r="Y322" s="58">
        <v>0.0</v>
      </c>
      <c r="Z322" s="59">
        <v>0.0</v>
      </c>
      <c r="AA322" s="58">
        <v>0.0</v>
      </c>
      <c r="AB322" s="58">
        <v>0.0</v>
      </c>
      <c r="AC322" s="58">
        <v>0.0</v>
      </c>
      <c r="AD322" s="58">
        <v>0.0</v>
      </c>
      <c r="AE322" s="58">
        <v>0.0</v>
      </c>
      <c r="AF322" s="58">
        <v>0.0</v>
      </c>
      <c r="AG322" s="58">
        <v>0.0</v>
      </c>
      <c r="AH322" s="58">
        <v>0.0</v>
      </c>
      <c r="AI322" s="58">
        <v>0.0</v>
      </c>
      <c r="AJ322" s="58">
        <v>0.0</v>
      </c>
      <c r="AK322" s="58">
        <v>0.0</v>
      </c>
      <c r="AL322" s="58">
        <v>0.0</v>
      </c>
      <c r="AM322" s="58">
        <v>0.0</v>
      </c>
      <c r="AN322" s="58">
        <v>0.0</v>
      </c>
      <c r="AO322" s="58">
        <v>0.0</v>
      </c>
      <c r="AP322" s="58">
        <v>0.0</v>
      </c>
      <c r="AQ322" s="58">
        <v>0.0</v>
      </c>
      <c r="AR322" s="58">
        <v>0.0</v>
      </c>
      <c r="AS322" s="58">
        <v>0.0</v>
      </c>
      <c r="AT322" s="58">
        <v>0.0</v>
      </c>
      <c r="AU322" s="58">
        <v>0.0</v>
      </c>
      <c r="AV322" s="58">
        <v>0.0</v>
      </c>
      <c r="AW322" s="58">
        <v>0.0</v>
      </c>
      <c r="AX322" s="58">
        <v>0.0</v>
      </c>
      <c r="AY322" s="58">
        <v>0.0</v>
      </c>
      <c r="AZ322" s="58">
        <v>0.0</v>
      </c>
      <c r="BA322" s="58">
        <v>0.0</v>
      </c>
      <c r="BB322" s="58">
        <v>0.0</v>
      </c>
      <c r="BC322" s="70" t="s">
        <v>106</v>
      </c>
      <c r="BD322" s="68" t="s">
        <v>163</v>
      </c>
      <c r="BE322" s="68">
        <v>5013.0</v>
      </c>
      <c r="BF322" s="68"/>
      <c r="BH322" s="70" t="s">
        <v>107</v>
      </c>
      <c r="BI322" s="68" t="s">
        <v>108</v>
      </c>
      <c r="BK322" s="68"/>
      <c r="BN322" s="70" t="s">
        <v>111</v>
      </c>
      <c r="BO322" s="68" t="s">
        <v>112</v>
      </c>
      <c r="BQ322" s="68"/>
      <c r="BV322" s="72"/>
      <c r="BW322" s="64" t="str">
        <f>if(OR(F322="SALE",F322="REFUNDED"),IFERROR(Vlookup(I322,'Listing SKU - Fill SKU Mapping'!A:C,3,false),"Map"),"")</f>
        <v/>
      </c>
      <c r="BX322" s="64" t="str">
        <f>IF(OR(F322="SALE",F322="REFUNDED")=TRUE,iferror(Vlookup(I322,'Listing SKU - Fill SKU Mapping'!A:B,2,false),"Map"),"")</f>
        <v/>
      </c>
      <c r="BY322" s="64" t="str">
        <f>IF(OR(F322="SALE",F322="REFUNDED")=TRUE,iferror(Vlookup(I322,'Listing SKU - Fill SKU Mapping'!A:D,4,false),"Map"),"")</f>
        <v/>
      </c>
      <c r="BZ322" s="66" t="str">
        <f t="shared" si="1"/>
        <v/>
      </c>
      <c r="CA322" s="64" t="str">
        <f t="shared" si="2"/>
        <v/>
      </c>
      <c r="CB322" s="64" t="str">
        <f t="shared" si="3"/>
        <v/>
      </c>
      <c r="CC322" s="64" t="str">
        <f>if(F322="REFUNDED",iferror(Vlookup(I322,'Listing SKU - Fill SKU Mapping'!A:B,2,false),"Map"),"")</f>
        <v/>
      </c>
      <c r="CD322" s="64" t="str">
        <f>if(F322="REFUNDED",iferror(Vlookup(I322,'Listing SKU - Fill SKU Mapping'!A:C,3,false),"Map"),"")</f>
        <v/>
      </c>
      <c r="CE322" s="64" t="str">
        <f t="shared" si="4"/>
        <v>2025</v>
      </c>
      <c r="CF322" s="64" t="str">
        <f t="shared" si="5"/>
        <v>September</v>
      </c>
      <c r="CG322" s="64" t="str">
        <f t="shared" si="6"/>
        <v/>
      </c>
    </row>
    <row r="323">
      <c r="A323" s="55">
        <v>2.0001E14</v>
      </c>
      <c r="B323" s="56">
        <v>1.0</v>
      </c>
      <c r="C323" s="57">
        <v>1.2902E14</v>
      </c>
      <c r="D323" s="58">
        <v>1.0</v>
      </c>
      <c r="F323" s="59" t="s">
        <v>158</v>
      </c>
      <c r="G323" s="60">
        <v>45928.0</v>
      </c>
      <c r="H323" s="58">
        <v>1.0</v>
      </c>
      <c r="I323" s="58" t="s">
        <v>364</v>
      </c>
      <c r="J323" s="61">
        <v>4.60776231099E11</v>
      </c>
      <c r="K323" s="63"/>
      <c r="L323" s="63"/>
      <c r="M323" s="63"/>
      <c r="N323" s="63"/>
      <c r="O323" s="63"/>
      <c r="P323" s="63"/>
      <c r="Q323" s="63"/>
      <c r="R323" s="63"/>
      <c r="S323" s="63"/>
      <c r="T323" s="58" t="s">
        <v>105</v>
      </c>
      <c r="U323" s="59">
        <v>0.0</v>
      </c>
      <c r="V323" s="59">
        <v>-8.89</v>
      </c>
      <c r="W323" s="58">
        <v>0.0</v>
      </c>
      <c r="X323" s="58">
        <v>0.0</v>
      </c>
      <c r="Y323" s="58">
        <v>0.0</v>
      </c>
      <c r="Z323" s="59">
        <v>0.0</v>
      </c>
      <c r="AA323" s="58">
        <v>0.0</v>
      </c>
      <c r="AB323" s="58">
        <v>0.0</v>
      </c>
      <c r="AC323" s="58">
        <v>0.0</v>
      </c>
      <c r="AD323" s="58">
        <v>0.0</v>
      </c>
      <c r="AE323" s="58">
        <v>0.0</v>
      </c>
      <c r="AF323" s="58">
        <v>0.0</v>
      </c>
      <c r="AG323" s="58">
        <v>0.0</v>
      </c>
      <c r="AH323" s="58">
        <v>0.0</v>
      </c>
      <c r="AI323" s="58">
        <v>0.0</v>
      </c>
      <c r="AJ323" s="58">
        <v>0.0</v>
      </c>
      <c r="AK323" s="58">
        <v>0.0</v>
      </c>
      <c r="AL323" s="58">
        <v>0.0</v>
      </c>
      <c r="AM323" s="58">
        <v>0.0</v>
      </c>
      <c r="AN323" s="58">
        <v>0.0</v>
      </c>
      <c r="AO323" s="58">
        <v>0.0</v>
      </c>
      <c r="AP323" s="58">
        <v>0.0</v>
      </c>
      <c r="AQ323" s="58">
        <v>0.0</v>
      </c>
      <c r="AR323" s="58">
        <v>0.0</v>
      </c>
      <c r="AS323" s="58">
        <v>0.0</v>
      </c>
      <c r="AT323" s="58">
        <v>0.0</v>
      </c>
      <c r="AU323" s="58">
        <v>0.0</v>
      </c>
      <c r="AV323" s="58">
        <v>0.0</v>
      </c>
      <c r="AW323" s="58">
        <v>0.0</v>
      </c>
      <c r="AX323" s="58">
        <v>0.0</v>
      </c>
      <c r="AY323" s="58">
        <v>0.0</v>
      </c>
      <c r="AZ323" s="58">
        <v>0.0</v>
      </c>
      <c r="BA323" s="58">
        <v>0.0</v>
      </c>
      <c r="BB323" s="58">
        <v>0.0</v>
      </c>
      <c r="BC323" s="70" t="s">
        <v>106</v>
      </c>
      <c r="BD323" s="68" t="s">
        <v>163</v>
      </c>
      <c r="BE323" s="68">
        <v>5013.0</v>
      </c>
      <c r="BF323" s="68"/>
      <c r="BH323" s="70" t="s">
        <v>107</v>
      </c>
      <c r="BI323" s="68" t="s">
        <v>108</v>
      </c>
      <c r="BK323" s="68"/>
      <c r="BN323" s="70" t="s">
        <v>111</v>
      </c>
      <c r="BO323" s="68" t="s">
        <v>112</v>
      </c>
      <c r="BQ323" s="68"/>
      <c r="BV323" s="72"/>
      <c r="BW323" s="64" t="str">
        <f>if(OR(F323="SALE",F323="REFUNDED"),IFERROR(Vlookup(I323,'Listing SKU - Fill SKU Mapping'!A:C,3,false),"Map"),"")</f>
        <v/>
      </c>
      <c r="BX323" s="64" t="str">
        <f>IF(OR(F323="SALE",F323="REFUNDED")=TRUE,iferror(Vlookup(I323,'Listing SKU - Fill SKU Mapping'!A:B,2,false),"Map"),"")</f>
        <v/>
      </c>
      <c r="BY323" s="64" t="str">
        <f>IF(OR(F323="SALE",F323="REFUNDED")=TRUE,iferror(Vlookup(I323,'Listing SKU - Fill SKU Mapping'!A:D,4,false),"Map"),"")</f>
        <v/>
      </c>
      <c r="BZ323" s="66" t="str">
        <f t="shared" si="1"/>
        <v/>
      </c>
      <c r="CA323" s="64" t="str">
        <f t="shared" si="2"/>
        <v/>
      </c>
      <c r="CB323" s="64" t="str">
        <f t="shared" si="3"/>
        <v/>
      </c>
      <c r="CC323" s="64" t="str">
        <f>if(F323="REFUNDED",iferror(Vlookup(I323,'Listing SKU - Fill SKU Mapping'!A:B,2,false),"Map"),"")</f>
        <v/>
      </c>
      <c r="CD323" s="64" t="str">
        <f>if(F323="REFUNDED",iferror(Vlookup(I323,'Listing SKU - Fill SKU Mapping'!A:C,3,false),"Map"),"")</f>
        <v/>
      </c>
      <c r="CE323" s="64" t="str">
        <f t="shared" si="4"/>
        <v>2025</v>
      </c>
      <c r="CF323" s="64" t="str">
        <f t="shared" si="5"/>
        <v>September</v>
      </c>
      <c r="CG323" s="64" t="str">
        <f t="shared" si="6"/>
        <v/>
      </c>
    </row>
    <row r="324">
      <c r="A324" s="55">
        <v>2.0001E14</v>
      </c>
      <c r="B324" s="56">
        <v>1.0</v>
      </c>
      <c r="C324" s="57">
        <v>1.2902E14</v>
      </c>
      <c r="D324" s="58">
        <v>1.0</v>
      </c>
      <c r="F324" s="59" t="s">
        <v>158</v>
      </c>
      <c r="G324" s="60">
        <v>45928.0</v>
      </c>
      <c r="H324" s="58">
        <v>1.0</v>
      </c>
      <c r="I324" s="58" t="s">
        <v>135</v>
      </c>
      <c r="J324" s="61">
        <v>4.60776238333E11</v>
      </c>
      <c r="K324" s="63"/>
      <c r="L324" s="63"/>
      <c r="M324" s="63"/>
      <c r="N324" s="63"/>
      <c r="O324" s="63"/>
      <c r="P324" s="63"/>
      <c r="Q324" s="63"/>
      <c r="R324" s="63"/>
      <c r="S324" s="63"/>
      <c r="T324" s="58" t="s">
        <v>105</v>
      </c>
      <c r="U324" s="59">
        <v>0.0</v>
      </c>
      <c r="V324" s="59">
        <v>-8.89</v>
      </c>
      <c r="W324" s="58">
        <v>0.0</v>
      </c>
      <c r="X324" s="58">
        <v>0.0</v>
      </c>
      <c r="Y324" s="58">
        <v>0.0</v>
      </c>
      <c r="Z324" s="59">
        <v>0.0</v>
      </c>
      <c r="AA324" s="58">
        <v>0.0</v>
      </c>
      <c r="AB324" s="58">
        <v>0.0</v>
      </c>
      <c r="AC324" s="58">
        <v>0.0</v>
      </c>
      <c r="AD324" s="58">
        <v>0.0</v>
      </c>
      <c r="AE324" s="58">
        <v>0.0</v>
      </c>
      <c r="AF324" s="58">
        <v>0.0</v>
      </c>
      <c r="AG324" s="58">
        <v>0.0</v>
      </c>
      <c r="AH324" s="58">
        <v>0.0</v>
      </c>
      <c r="AI324" s="58">
        <v>0.0</v>
      </c>
      <c r="AJ324" s="58">
        <v>0.0</v>
      </c>
      <c r="AK324" s="58">
        <v>0.0</v>
      </c>
      <c r="AL324" s="58">
        <v>0.0</v>
      </c>
      <c r="AM324" s="58">
        <v>0.0</v>
      </c>
      <c r="AN324" s="58">
        <v>0.0</v>
      </c>
      <c r="AO324" s="58">
        <v>0.0</v>
      </c>
      <c r="AP324" s="58">
        <v>0.0</v>
      </c>
      <c r="AQ324" s="58">
        <v>0.0</v>
      </c>
      <c r="AR324" s="58">
        <v>0.0</v>
      </c>
      <c r="AS324" s="58">
        <v>0.0</v>
      </c>
      <c r="AT324" s="58">
        <v>0.0</v>
      </c>
      <c r="AU324" s="58">
        <v>0.0</v>
      </c>
      <c r="AV324" s="58">
        <v>0.0</v>
      </c>
      <c r="AW324" s="58">
        <v>0.0</v>
      </c>
      <c r="AX324" s="58">
        <v>0.0</v>
      </c>
      <c r="AY324" s="58">
        <v>0.0</v>
      </c>
      <c r="AZ324" s="58">
        <v>0.0</v>
      </c>
      <c r="BA324" s="58">
        <v>0.0</v>
      </c>
      <c r="BB324" s="58">
        <v>0.0</v>
      </c>
      <c r="BC324" s="70" t="s">
        <v>106</v>
      </c>
      <c r="BD324" s="68" t="s">
        <v>163</v>
      </c>
      <c r="BE324" s="68">
        <v>5013.0</v>
      </c>
      <c r="BF324" s="68"/>
      <c r="BH324" s="70" t="s">
        <v>107</v>
      </c>
      <c r="BI324" s="68" t="s">
        <v>108</v>
      </c>
      <c r="BK324" s="68"/>
      <c r="BN324" s="70" t="s">
        <v>111</v>
      </c>
      <c r="BO324" s="68" t="s">
        <v>112</v>
      </c>
      <c r="BQ324" s="68"/>
      <c r="BV324" s="72"/>
      <c r="BW324" s="64" t="str">
        <f>if(OR(F324="SALE",F324="REFUNDED"),IFERROR(Vlookup(I324,'Listing SKU - Fill SKU Mapping'!A:C,3,false),"Map"),"")</f>
        <v/>
      </c>
      <c r="BX324" s="64" t="str">
        <f>IF(OR(F324="SALE",F324="REFUNDED")=TRUE,iferror(Vlookup(I324,'Listing SKU - Fill SKU Mapping'!A:B,2,false),"Map"),"")</f>
        <v/>
      </c>
      <c r="BY324" s="64" t="str">
        <f>IF(OR(F324="SALE",F324="REFUNDED")=TRUE,iferror(Vlookup(I324,'Listing SKU - Fill SKU Mapping'!A:D,4,false),"Map"),"")</f>
        <v/>
      </c>
      <c r="BZ324" s="66" t="str">
        <f t="shared" si="1"/>
        <v/>
      </c>
      <c r="CA324" s="64" t="str">
        <f t="shared" si="2"/>
        <v/>
      </c>
      <c r="CB324" s="64" t="str">
        <f t="shared" si="3"/>
        <v/>
      </c>
      <c r="CC324" s="64" t="str">
        <f>if(F324="REFUNDED",iferror(Vlookup(I324,'Listing SKU - Fill SKU Mapping'!A:B,2,false),"Map"),"")</f>
        <v/>
      </c>
      <c r="CD324" s="64" t="str">
        <f>if(F324="REFUNDED",iferror(Vlookup(I324,'Listing SKU - Fill SKU Mapping'!A:C,3,false),"Map"),"")</f>
        <v/>
      </c>
      <c r="CE324" s="64" t="str">
        <f t="shared" si="4"/>
        <v>2025</v>
      </c>
      <c r="CF324" s="64" t="str">
        <f t="shared" si="5"/>
        <v>September</v>
      </c>
      <c r="CG324" s="64" t="str">
        <f t="shared" si="6"/>
        <v/>
      </c>
    </row>
    <row r="325">
      <c r="A325" s="55">
        <v>2.0001E14</v>
      </c>
      <c r="B325" s="56">
        <v>1.0</v>
      </c>
      <c r="C325" s="57">
        <v>1.2903E14</v>
      </c>
      <c r="D325" s="58">
        <v>1.0</v>
      </c>
      <c r="F325" s="59" t="s">
        <v>100</v>
      </c>
      <c r="G325" s="60">
        <v>45922.0</v>
      </c>
      <c r="H325" s="58">
        <v>1.0</v>
      </c>
      <c r="I325" s="58" t="s">
        <v>393</v>
      </c>
      <c r="J325" s="61">
        <v>4.67129958375E11</v>
      </c>
      <c r="K325" s="63"/>
      <c r="L325" s="63"/>
      <c r="M325" s="63"/>
      <c r="N325" s="63"/>
      <c r="O325" s="63"/>
      <c r="P325" s="63"/>
      <c r="Q325" s="63"/>
      <c r="R325" s="63"/>
      <c r="S325" s="63"/>
      <c r="T325" s="58" t="s">
        <v>105</v>
      </c>
      <c r="U325" s="59">
        <v>60.0</v>
      </c>
      <c r="V325" s="59">
        <v>52.99</v>
      </c>
      <c r="W325" s="58">
        <v>3.99</v>
      </c>
      <c r="X325" s="58">
        <v>7.0</v>
      </c>
      <c r="Y325" s="58">
        <v>56.98</v>
      </c>
      <c r="Z325" s="59">
        <v>0.0</v>
      </c>
      <c r="AA325" s="58">
        <v>0.0</v>
      </c>
      <c r="AB325" s="58">
        <v>0.0</v>
      </c>
      <c r="AC325" s="58">
        <v>0.0</v>
      </c>
      <c r="AD325" s="58">
        <v>0.0</v>
      </c>
      <c r="AE325" s="58">
        <v>0.0</v>
      </c>
      <c r="AF325" s="58">
        <v>0.0</v>
      </c>
      <c r="AG325" s="58">
        <v>0.0</v>
      </c>
      <c r="AH325" s="58">
        <v>0.0</v>
      </c>
      <c r="AI325" s="58">
        <v>0.0</v>
      </c>
      <c r="AJ325" s="58">
        <v>0.0</v>
      </c>
      <c r="AK325" s="58">
        <v>0.0</v>
      </c>
      <c r="AL325" s="58">
        <v>0.0</v>
      </c>
      <c r="AM325" s="58">
        <v>0.0</v>
      </c>
      <c r="AN325" s="58">
        <v>0.0</v>
      </c>
      <c r="AO325" s="58">
        <v>3.02</v>
      </c>
      <c r="AP325" s="58">
        <v>0.0</v>
      </c>
      <c r="AQ325" s="58">
        <v>0.0</v>
      </c>
      <c r="AR325" s="58">
        <v>0.0</v>
      </c>
      <c r="AS325" s="58">
        <v>0.0</v>
      </c>
      <c r="AT325" s="58">
        <v>0.0</v>
      </c>
      <c r="AU325" s="58">
        <v>0.0</v>
      </c>
      <c r="AV325" s="58">
        <v>0.0</v>
      </c>
      <c r="AW325" s="58">
        <v>0.0</v>
      </c>
      <c r="AX325" s="58">
        <v>0.0</v>
      </c>
      <c r="AY325" s="58">
        <v>0.0</v>
      </c>
      <c r="AZ325" s="58">
        <v>0.0</v>
      </c>
      <c r="BA325" s="58">
        <v>0.0</v>
      </c>
      <c r="BB325" s="58">
        <v>3.02</v>
      </c>
      <c r="BC325" s="70" t="s">
        <v>106</v>
      </c>
      <c r="BD325" s="68"/>
      <c r="BG325" s="70">
        <v>-5.7</v>
      </c>
      <c r="BH325" s="68" t="s">
        <v>107</v>
      </c>
      <c r="BI325" s="68" t="s">
        <v>108</v>
      </c>
      <c r="BJ325" s="68" t="s">
        <v>109</v>
      </c>
      <c r="BK325" s="68" t="s">
        <v>432</v>
      </c>
      <c r="BM325" s="68"/>
      <c r="BN325" s="70" t="s">
        <v>111</v>
      </c>
      <c r="BO325" s="68" t="s">
        <v>112</v>
      </c>
      <c r="BP325" s="68" t="s">
        <v>113</v>
      </c>
      <c r="BQ325" s="68" t="s">
        <v>114</v>
      </c>
      <c r="BR325" s="68">
        <v>1.71</v>
      </c>
      <c r="BS325" s="68"/>
      <c r="BV325" s="72"/>
      <c r="BW325" s="64" t="str">
        <f>if(OR(F325="SALE",F325="REFUNDED"),IFERROR(Vlookup(I325,'Listing SKU - Fill SKU Mapping'!A:C,3,false),"Map"),"")</f>
        <v>Keystone</v>
      </c>
      <c r="BX325" s="64" t="str">
        <f>IF(OR(F325="SALE",F325="REFUNDED")=TRUE,iferror(Vlookup(I325,'Listing SKU - Fill SKU Mapping'!A:B,2,false),"Map"),"")</f>
        <v>B811115S</v>
      </c>
      <c r="BY325" s="64">
        <f>IF(OR(F325="SALE",F325="REFUNDED")=TRUE,iferror(Vlookup(I325,'Listing SKU - Fill SKU Mapping'!A:D,4,false),"Map"),"")</f>
        <v>14.99</v>
      </c>
      <c r="BZ325" s="66">
        <f t="shared" si="1"/>
        <v>11.5</v>
      </c>
      <c r="CA325" s="66">
        <f t="shared" si="2"/>
        <v>26.49</v>
      </c>
      <c r="CB325" s="66">
        <f t="shared" si="3"/>
        <v>26.5</v>
      </c>
      <c r="CC325" s="64" t="str">
        <f>if(F325="REFUNDED",iferror(Vlookup(I325,'Listing SKU - Fill SKU Mapping'!A:B,2,false),"Map"),"")</f>
        <v/>
      </c>
      <c r="CD325" s="64" t="str">
        <f>if(F325="REFUNDED",iferror(Vlookup(I325,'Listing SKU - Fill SKU Mapping'!A:C,3,false),"Map"),"")</f>
        <v/>
      </c>
      <c r="CE325" s="64" t="str">
        <f t="shared" si="4"/>
        <v>2025</v>
      </c>
      <c r="CF325" s="64" t="str">
        <f t="shared" si="5"/>
        <v>September</v>
      </c>
      <c r="CG325" s="64" t="str">
        <f t="shared" si="6"/>
        <v/>
      </c>
    </row>
    <row r="326">
      <c r="A326" s="55">
        <v>2.0001E14</v>
      </c>
      <c r="B326" s="56">
        <v>1.0</v>
      </c>
      <c r="C326" s="57">
        <v>1.2903E14</v>
      </c>
      <c r="D326" s="58">
        <v>1.0</v>
      </c>
      <c r="F326" s="59" t="s">
        <v>128</v>
      </c>
      <c r="G326" s="60">
        <v>45925.0</v>
      </c>
      <c r="H326" s="58">
        <v>1.0</v>
      </c>
      <c r="I326" s="58" t="s">
        <v>393</v>
      </c>
      <c r="J326" s="61">
        <v>4.67129958375E11</v>
      </c>
      <c r="K326" s="63"/>
      <c r="L326" s="63"/>
      <c r="M326" s="63"/>
      <c r="N326" s="63"/>
      <c r="O326" s="63"/>
      <c r="P326" s="63"/>
      <c r="Q326" s="63"/>
      <c r="R326" s="63"/>
      <c r="S326" s="63"/>
      <c r="U326" s="59">
        <v>-60.0</v>
      </c>
      <c r="V326" s="59">
        <v>-52.99</v>
      </c>
      <c r="W326" s="58">
        <v>-3.99</v>
      </c>
      <c r="X326" s="58">
        <v>0.0</v>
      </c>
      <c r="Y326" s="58">
        <v>0.0</v>
      </c>
      <c r="Z326" s="59">
        <v>-56.98</v>
      </c>
      <c r="AA326" s="58">
        <v>0.0</v>
      </c>
      <c r="AB326" s="58">
        <v>0.0</v>
      </c>
      <c r="AC326" s="58">
        <v>0.0</v>
      </c>
      <c r="AD326" s="58">
        <v>0.0</v>
      </c>
      <c r="AE326" s="58">
        <v>0.0</v>
      </c>
      <c r="AF326" s="58">
        <v>0.0</v>
      </c>
      <c r="AG326" s="58">
        <v>0.0</v>
      </c>
      <c r="AH326" s="58">
        <v>0.0</v>
      </c>
      <c r="AI326" s="58">
        <v>0.0</v>
      </c>
      <c r="AJ326" s="58">
        <v>0.0</v>
      </c>
      <c r="AK326" s="58">
        <v>0.0</v>
      </c>
      <c r="AL326" s="58">
        <v>0.0</v>
      </c>
      <c r="AM326" s="58">
        <v>0.0</v>
      </c>
      <c r="AN326" s="58">
        <v>0.0</v>
      </c>
      <c r="AO326" s="58">
        <v>0.0</v>
      </c>
      <c r="AP326" s="58">
        <v>0.0</v>
      </c>
      <c r="AQ326" s="58">
        <v>0.0</v>
      </c>
      <c r="AR326" s="58">
        <v>0.0</v>
      </c>
      <c r="AS326" s="58">
        <v>0.0</v>
      </c>
      <c r="AT326" s="58">
        <v>-3.02</v>
      </c>
      <c r="AU326" s="58">
        <v>0.0</v>
      </c>
      <c r="AV326" s="58">
        <v>0.0</v>
      </c>
      <c r="AW326" s="58">
        <v>0.0</v>
      </c>
      <c r="AX326" s="58">
        <v>0.0</v>
      </c>
      <c r="AY326" s="58">
        <v>0.0</v>
      </c>
      <c r="AZ326" s="58">
        <v>0.0</v>
      </c>
      <c r="BA326" s="58">
        <v>0.0</v>
      </c>
      <c r="BB326" s="58">
        <v>-3.02</v>
      </c>
      <c r="BC326" s="68" t="s">
        <v>106</v>
      </c>
      <c r="BD326" s="68" t="s">
        <v>156</v>
      </c>
      <c r="BE326" s="68">
        <v>5010.0</v>
      </c>
      <c r="BF326" s="68"/>
      <c r="BH326" s="70" t="s">
        <v>107</v>
      </c>
      <c r="BI326" s="68" t="s">
        <v>108</v>
      </c>
      <c r="BK326" s="68"/>
      <c r="BL326" s="70">
        <v>1016.0</v>
      </c>
      <c r="BM326" s="68" t="s">
        <v>258</v>
      </c>
      <c r="BN326" s="68" t="s">
        <v>111</v>
      </c>
      <c r="BO326" s="68" t="s">
        <v>112</v>
      </c>
      <c r="BQ326" s="68"/>
      <c r="BV326" s="72"/>
      <c r="BW326" s="64" t="str">
        <f>if(OR(F326="SALE",F326="REFUNDED"),IFERROR(Vlookup(I326,'Listing SKU - Fill SKU Mapping'!A:C,3,false),"Map"),"")</f>
        <v>Keystone</v>
      </c>
      <c r="BX326" s="64" t="str">
        <f>IF(OR(F326="SALE",F326="REFUNDED")=TRUE,iferror(Vlookup(I326,'Listing SKU - Fill SKU Mapping'!A:B,2,false),"Map"),"")</f>
        <v>B811115S</v>
      </c>
      <c r="BY326" s="64">
        <f>IF(OR(F326="SALE",F326="REFUNDED")=TRUE,iferror(Vlookup(I326,'Listing SKU - Fill SKU Mapping'!A:D,4,false),"Map"),"")</f>
        <v>14.99</v>
      </c>
      <c r="BZ326" s="66">
        <f t="shared" si="1"/>
        <v>11.5</v>
      </c>
      <c r="CA326" s="66">
        <f t="shared" si="2"/>
        <v>26.49</v>
      </c>
      <c r="CB326" s="64" t="str">
        <f t="shared" si="3"/>
        <v/>
      </c>
      <c r="CC326" s="64" t="str">
        <f>if(F326="REFUNDED",iferror(Vlookup(I326,'Listing SKU - Fill SKU Mapping'!A:B,2,false),"Map"),"")</f>
        <v>B811115S</v>
      </c>
      <c r="CD326" s="64" t="str">
        <f>if(F326="REFUNDED",iferror(Vlookup(I326,'Listing SKU - Fill SKU Mapping'!A:C,3,false),"Map"),"")</f>
        <v>Keystone</v>
      </c>
      <c r="CE326" s="64" t="str">
        <f t="shared" si="4"/>
        <v>2025</v>
      </c>
      <c r="CF326" s="64" t="str">
        <f t="shared" si="5"/>
        <v>September</v>
      </c>
      <c r="CG326" s="64" t="str">
        <f t="shared" si="6"/>
        <v/>
      </c>
    </row>
    <row r="327">
      <c r="A327" s="55">
        <v>2.0001E14</v>
      </c>
      <c r="B327" s="56">
        <v>1.0</v>
      </c>
      <c r="C327" s="57">
        <v>1.2903E14</v>
      </c>
      <c r="D327" s="58">
        <v>1.0</v>
      </c>
      <c r="F327" s="59" t="s">
        <v>100</v>
      </c>
      <c r="G327" s="60">
        <v>45932.0</v>
      </c>
      <c r="H327" s="58">
        <v>1.0</v>
      </c>
      <c r="I327" s="58" t="s">
        <v>445</v>
      </c>
      <c r="J327" s="61">
        <v>4.60776241074E11</v>
      </c>
      <c r="K327" s="63"/>
      <c r="L327" s="63"/>
      <c r="M327" s="63"/>
      <c r="N327" s="63"/>
      <c r="O327" s="63"/>
      <c r="P327" s="63"/>
      <c r="Q327" s="63"/>
      <c r="R327" s="63"/>
      <c r="S327" s="63"/>
      <c r="T327" s="58" t="s">
        <v>105</v>
      </c>
      <c r="U327" s="59">
        <v>106.53</v>
      </c>
      <c r="V327" s="59">
        <v>93.91</v>
      </c>
      <c r="W327" s="58">
        <v>7.07</v>
      </c>
      <c r="X327" s="58">
        <v>7.0</v>
      </c>
      <c r="Y327" s="58">
        <v>100.98</v>
      </c>
      <c r="Z327" s="59">
        <v>0.0</v>
      </c>
      <c r="AA327" s="58">
        <v>0.0</v>
      </c>
      <c r="AB327" s="58">
        <v>0.0</v>
      </c>
      <c r="AC327" s="58">
        <v>0.0</v>
      </c>
      <c r="AD327" s="58">
        <v>0.0</v>
      </c>
      <c r="AE327" s="58">
        <v>0.0</v>
      </c>
      <c r="AF327" s="58">
        <v>0.0</v>
      </c>
      <c r="AG327" s="58">
        <v>0.0</v>
      </c>
      <c r="AH327" s="58">
        <v>0.0</v>
      </c>
      <c r="AI327" s="58">
        <v>0.0</v>
      </c>
      <c r="AJ327" s="58">
        <v>0.0</v>
      </c>
      <c r="AK327" s="58">
        <v>0.0</v>
      </c>
      <c r="AL327" s="58">
        <v>0.0</v>
      </c>
      <c r="AM327" s="58">
        <v>0.0</v>
      </c>
      <c r="AN327" s="58">
        <v>0.0</v>
      </c>
      <c r="AO327" s="58">
        <v>5.55</v>
      </c>
      <c r="AP327" s="58">
        <v>0.0</v>
      </c>
      <c r="AQ327" s="58">
        <v>0.0</v>
      </c>
      <c r="AR327" s="58">
        <v>0.0</v>
      </c>
      <c r="AS327" s="58">
        <v>0.0</v>
      </c>
      <c r="AT327" s="58">
        <v>0.0</v>
      </c>
      <c r="AU327" s="58">
        <v>0.0</v>
      </c>
      <c r="AV327" s="58">
        <v>0.0</v>
      </c>
      <c r="AW327" s="58">
        <v>0.0</v>
      </c>
      <c r="AX327" s="58">
        <v>0.0</v>
      </c>
      <c r="AY327" s="58">
        <v>0.0</v>
      </c>
      <c r="AZ327" s="58">
        <v>0.0</v>
      </c>
      <c r="BA327" s="58">
        <v>0.0</v>
      </c>
      <c r="BB327" s="58">
        <v>5.55</v>
      </c>
      <c r="BC327" s="70" t="s">
        <v>106</v>
      </c>
      <c r="BD327" s="68"/>
      <c r="BG327" s="70">
        <v>-10.1</v>
      </c>
      <c r="BH327" s="68" t="s">
        <v>107</v>
      </c>
      <c r="BI327" s="68" t="s">
        <v>108</v>
      </c>
      <c r="BJ327" s="68" t="s">
        <v>109</v>
      </c>
      <c r="BK327" s="68" t="s">
        <v>430</v>
      </c>
      <c r="BM327" s="68"/>
      <c r="BN327" s="70" t="s">
        <v>111</v>
      </c>
      <c r="BO327" s="68" t="s">
        <v>112</v>
      </c>
      <c r="BP327" s="68" t="s">
        <v>113</v>
      </c>
      <c r="BQ327" s="68" t="s">
        <v>114</v>
      </c>
      <c r="BR327" s="68">
        <v>3.03</v>
      </c>
      <c r="BS327" s="68"/>
      <c r="BV327" s="72"/>
      <c r="BW327" s="64" t="str">
        <f>if(OR(F327="SALE",F327="REFUNDED"),IFERROR(Vlookup(I327,'Listing SKU - Fill SKU Mapping'!A:C,3,false),"Map"),"")</f>
        <v>Keystone</v>
      </c>
      <c r="BX327" s="64" t="str">
        <f>IF(OR(F327="SALE",F327="REFUNDED")=TRUE,iferror(Vlookup(I327,'Listing SKU - Fill SKU Mapping'!A:B,2,false),"Map"),"")</f>
        <v>IMP82X</v>
      </c>
      <c r="BY327" s="64">
        <f>IF(OR(F327="SALE",F327="REFUNDED")=TRUE,iferror(Vlookup(I327,'Listing SKU - Fill SKU Mapping'!A:D,4,false),"Map"),"")</f>
        <v>44.97</v>
      </c>
      <c r="BZ327" s="66">
        <f t="shared" si="1"/>
        <v>11.5</v>
      </c>
      <c r="CA327" s="66">
        <f t="shared" si="2"/>
        <v>56.47</v>
      </c>
      <c r="CB327" s="66">
        <f t="shared" si="3"/>
        <v>37.44</v>
      </c>
      <c r="CC327" s="64" t="str">
        <f>if(F327="REFUNDED",iferror(Vlookup(I327,'Listing SKU - Fill SKU Mapping'!A:B,2,false),"Map"),"")</f>
        <v/>
      </c>
      <c r="CD327" s="64" t="str">
        <f>if(F327="REFUNDED",iferror(Vlookup(I327,'Listing SKU - Fill SKU Mapping'!A:C,3,false),"Map"),"")</f>
        <v/>
      </c>
      <c r="CE327" s="64" t="str">
        <f t="shared" si="4"/>
        <v>2025</v>
      </c>
      <c r="CF327" s="64" t="str">
        <f t="shared" si="5"/>
        <v>October</v>
      </c>
      <c r="CG327" s="64" t="str">
        <f t="shared" si="6"/>
        <v/>
      </c>
    </row>
    <row r="328">
      <c r="A328" s="55">
        <v>2.0001E14</v>
      </c>
      <c r="B328" s="56">
        <v>1.0</v>
      </c>
      <c r="C328" s="57">
        <v>1.2902E14</v>
      </c>
      <c r="D328" s="58">
        <v>1.0</v>
      </c>
      <c r="F328" s="59" t="s">
        <v>158</v>
      </c>
      <c r="G328" s="60">
        <v>45928.0</v>
      </c>
      <c r="H328" s="58">
        <v>1.0</v>
      </c>
      <c r="I328" s="58" t="s">
        <v>400</v>
      </c>
      <c r="J328" s="61">
        <v>4.60776238401E11</v>
      </c>
      <c r="K328" s="63"/>
      <c r="L328" s="63"/>
      <c r="M328" s="63"/>
      <c r="N328" s="63"/>
      <c r="O328" s="63"/>
      <c r="P328" s="63"/>
      <c r="Q328" s="63"/>
      <c r="R328" s="63"/>
      <c r="S328" s="63"/>
      <c r="T328" s="58" t="s">
        <v>105</v>
      </c>
      <c r="U328" s="59">
        <v>0.0</v>
      </c>
      <c r="V328" s="59">
        <v>-10.81</v>
      </c>
      <c r="W328" s="58">
        <v>0.0</v>
      </c>
      <c r="X328" s="58">
        <v>0.0</v>
      </c>
      <c r="Y328" s="58">
        <v>0.0</v>
      </c>
      <c r="Z328" s="59">
        <v>0.0</v>
      </c>
      <c r="AA328" s="58">
        <v>0.0</v>
      </c>
      <c r="AB328" s="58">
        <v>0.0</v>
      </c>
      <c r="AC328" s="58">
        <v>0.0</v>
      </c>
      <c r="AD328" s="58">
        <v>0.0</v>
      </c>
      <c r="AE328" s="58">
        <v>0.0</v>
      </c>
      <c r="AF328" s="58">
        <v>0.0</v>
      </c>
      <c r="AG328" s="58">
        <v>0.0</v>
      </c>
      <c r="AH328" s="58">
        <v>0.0</v>
      </c>
      <c r="AI328" s="58">
        <v>0.0</v>
      </c>
      <c r="AJ328" s="58">
        <v>0.0</v>
      </c>
      <c r="AK328" s="58">
        <v>0.0</v>
      </c>
      <c r="AL328" s="58">
        <v>0.0</v>
      </c>
      <c r="AM328" s="58">
        <v>0.0</v>
      </c>
      <c r="AN328" s="58">
        <v>0.0</v>
      </c>
      <c r="AO328" s="58">
        <v>0.0</v>
      </c>
      <c r="AP328" s="58">
        <v>0.0</v>
      </c>
      <c r="AQ328" s="58">
        <v>0.0</v>
      </c>
      <c r="AR328" s="58">
        <v>0.0</v>
      </c>
      <c r="AS328" s="58">
        <v>0.0</v>
      </c>
      <c r="AT328" s="58">
        <v>0.0</v>
      </c>
      <c r="AU328" s="58">
        <v>0.0</v>
      </c>
      <c r="AV328" s="58">
        <v>0.0</v>
      </c>
      <c r="AW328" s="58">
        <v>0.0</v>
      </c>
      <c r="AX328" s="58">
        <v>0.0</v>
      </c>
      <c r="AY328" s="58">
        <v>0.0</v>
      </c>
      <c r="AZ328" s="58">
        <v>0.0</v>
      </c>
      <c r="BA328" s="58">
        <v>0.0</v>
      </c>
      <c r="BB328" s="58">
        <v>0.0</v>
      </c>
      <c r="BC328" s="70" t="s">
        <v>106</v>
      </c>
      <c r="BD328" s="68" t="s">
        <v>163</v>
      </c>
      <c r="BE328" s="68">
        <v>5013.0</v>
      </c>
      <c r="BF328" s="68"/>
      <c r="BH328" s="70" t="s">
        <v>107</v>
      </c>
      <c r="BI328" s="68" t="s">
        <v>108</v>
      </c>
      <c r="BK328" s="68"/>
      <c r="BN328" s="70" t="s">
        <v>111</v>
      </c>
      <c r="BO328" s="68" t="s">
        <v>112</v>
      </c>
      <c r="BQ328" s="68"/>
      <c r="BV328" s="72"/>
      <c r="BW328" s="64" t="str">
        <f>if(OR(F328="SALE",F328="REFUNDED"),IFERROR(Vlookup(I328,'Listing SKU - Fill SKU Mapping'!A:C,3,false),"Map"),"")</f>
        <v/>
      </c>
      <c r="BX328" s="64" t="str">
        <f>IF(OR(F328="SALE",F328="REFUNDED")=TRUE,iferror(Vlookup(I328,'Listing SKU - Fill SKU Mapping'!A:B,2,false),"Map"),"")</f>
        <v/>
      </c>
      <c r="BY328" s="64" t="str">
        <f>IF(OR(F328="SALE",F328="REFUNDED")=TRUE,iferror(Vlookup(I328,'Listing SKU - Fill SKU Mapping'!A:D,4,false),"Map"),"")</f>
        <v/>
      </c>
      <c r="BZ328" s="66" t="str">
        <f t="shared" si="1"/>
        <v/>
      </c>
      <c r="CA328" s="64" t="str">
        <f t="shared" si="2"/>
        <v/>
      </c>
      <c r="CB328" s="64" t="str">
        <f t="shared" si="3"/>
        <v/>
      </c>
      <c r="CC328" s="64" t="str">
        <f>if(F328="REFUNDED",iferror(Vlookup(I328,'Listing SKU - Fill SKU Mapping'!A:B,2,false),"Map"),"")</f>
        <v/>
      </c>
      <c r="CD328" s="64" t="str">
        <f>if(F328="REFUNDED",iferror(Vlookup(I328,'Listing SKU - Fill SKU Mapping'!A:C,3,false),"Map"),"")</f>
        <v/>
      </c>
      <c r="CE328" s="64" t="str">
        <f t="shared" si="4"/>
        <v>2025</v>
      </c>
      <c r="CF328" s="64" t="str">
        <f t="shared" si="5"/>
        <v>September</v>
      </c>
      <c r="CG328" s="64" t="str">
        <f t="shared" si="6"/>
        <v/>
      </c>
    </row>
    <row r="329">
      <c r="A329" s="55">
        <v>2.0001E14</v>
      </c>
      <c r="B329" s="56">
        <v>1.0</v>
      </c>
      <c r="C329" s="57">
        <v>1.2902E14</v>
      </c>
      <c r="D329" s="58">
        <v>1.0</v>
      </c>
      <c r="F329" s="59" t="s">
        <v>158</v>
      </c>
      <c r="G329" s="60">
        <v>45928.0</v>
      </c>
      <c r="H329" s="58">
        <v>1.0</v>
      </c>
      <c r="I329" s="58" t="s">
        <v>402</v>
      </c>
      <c r="J329" s="61">
        <v>4.6077624019E11</v>
      </c>
      <c r="K329" s="63"/>
      <c r="L329" s="63"/>
      <c r="M329" s="63"/>
      <c r="N329" s="63"/>
      <c r="O329" s="63"/>
      <c r="P329" s="63"/>
      <c r="Q329" s="63"/>
      <c r="R329" s="63"/>
      <c r="S329" s="63"/>
      <c r="T329" s="58" t="s">
        <v>105</v>
      </c>
      <c r="U329" s="59">
        <v>0.0</v>
      </c>
      <c r="V329" s="59">
        <v>-10.81</v>
      </c>
      <c r="W329" s="58">
        <v>0.0</v>
      </c>
      <c r="X329" s="58">
        <v>0.0</v>
      </c>
      <c r="Y329" s="58">
        <v>0.0</v>
      </c>
      <c r="Z329" s="59">
        <v>0.0</v>
      </c>
      <c r="AA329" s="58">
        <v>0.0</v>
      </c>
      <c r="AB329" s="58">
        <v>0.0</v>
      </c>
      <c r="AC329" s="58">
        <v>0.0</v>
      </c>
      <c r="AD329" s="58">
        <v>0.0</v>
      </c>
      <c r="AE329" s="58">
        <v>0.0</v>
      </c>
      <c r="AF329" s="58">
        <v>0.0</v>
      </c>
      <c r="AG329" s="58">
        <v>0.0</v>
      </c>
      <c r="AH329" s="58">
        <v>0.0</v>
      </c>
      <c r="AI329" s="58">
        <v>0.0</v>
      </c>
      <c r="AJ329" s="58">
        <v>0.0</v>
      </c>
      <c r="AK329" s="58">
        <v>0.0</v>
      </c>
      <c r="AL329" s="58">
        <v>0.0</v>
      </c>
      <c r="AM329" s="58">
        <v>0.0</v>
      </c>
      <c r="AN329" s="58">
        <v>0.0</v>
      </c>
      <c r="AO329" s="58">
        <v>0.0</v>
      </c>
      <c r="AP329" s="58">
        <v>0.0</v>
      </c>
      <c r="AQ329" s="58">
        <v>0.0</v>
      </c>
      <c r="AR329" s="58">
        <v>0.0</v>
      </c>
      <c r="AS329" s="58">
        <v>0.0</v>
      </c>
      <c r="AT329" s="58">
        <v>0.0</v>
      </c>
      <c r="AU329" s="58">
        <v>0.0</v>
      </c>
      <c r="AV329" s="58">
        <v>0.0</v>
      </c>
      <c r="AW329" s="58">
        <v>0.0</v>
      </c>
      <c r="AX329" s="58">
        <v>0.0</v>
      </c>
      <c r="AY329" s="58">
        <v>0.0</v>
      </c>
      <c r="AZ329" s="58">
        <v>0.0</v>
      </c>
      <c r="BA329" s="58">
        <v>0.0</v>
      </c>
      <c r="BB329" s="58">
        <v>0.0</v>
      </c>
      <c r="BC329" s="70" t="s">
        <v>106</v>
      </c>
      <c r="BD329" s="68" t="s">
        <v>163</v>
      </c>
      <c r="BE329" s="68">
        <v>5013.0</v>
      </c>
      <c r="BF329" s="68"/>
      <c r="BH329" s="70" t="s">
        <v>107</v>
      </c>
      <c r="BI329" s="68" t="s">
        <v>108</v>
      </c>
      <c r="BK329" s="68"/>
      <c r="BN329" s="70" t="s">
        <v>111</v>
      </c>
      <c r="BO329" s="68" t="s">
        <v>112</v>
      </c>
      <c r="BQ329" s="68"/>
      <c r="BV329" s="72"/>
      <c r="BW329" s="64" t="str">
        <f>if(OR(F329="SALE",F329="REFUNDED"),IFERROR(Vlookup(I329,'Listing SKU - Fill SKU Mapping'!A:C,3,false),"Map"),"")</f>
        <v/>
      </c>
      <c r="BX329" s="64" t="str">
        <f>IF(OR(F329="SALE",F329="REFUNDED")=TRUE,iferror(Vlookup(I329,'Listing SKU - Fill SKU Mapping'!A:B,2,false),"Map"),"")</f>
        <v/>
      </c>
      <c r="BY329" s="64" t="str">
        <f>IF(OR(F329="SALE",F329="REFUNDED")=TRUE,iferror(Vlookup(I329,'Listing SKU - Fill SKU Mapping'!A:D,4,false),"Map"),"")</f>
        <v/>
      </c>
      <c r="BZ329" s="66" t="str">
        <f t="shared" si="1"/>
        <v/>
      </c>
      <c r="CA329" s="64" t="str">
        <f t="shared" si="2"/>
        <v/>
      </c>
      <c r="CB329" s="64" t="str">
        <f t="shared" si="3"/>
        <v/>
      </c>
      <c r="CC329" s="64" t="str">
        <f>if(F329="REFUNDED",iferror(Vlookup(I329,'Listing SKU - Fill SKU Mapping'!A:B,2,false),"Map"),"")</f>
        <v/>
      </c>
      <c r="CD329" s="64" t="str">
        <f>if(F329="REFUNDED",iferror(Vlookup(I329,'Listing SKU - Fill SKU Mapping'!A:C,3,false),"Map"),"")</f>
        <v/>
      </c>
      <c r="CE329" s="64" t="str">
        <f t="shared" si="4"/>
        <v>2025</v>
      </c>
      <c r="CF329" s="64" t="str">
        <f t="shared" si="5"/>
        <v>September</v>
      </c>
      <c r="CG329" s="64" t="str">
        <f t="shared" si="6"/>
        <v/>
      </c>
    </row>
    <row r="330">
      <c r="A330" s="55">
        <v>2.0001E14</v>
      </c>
      <c r="B330" s="56">
        <v>1.0</v>
      </c>
      <c r="C330" s="57">
        <v>1.2902E14</v>
      </c>
      <c r="D330" s="58">
        <v>1.0</v>
      </c>
      <c r="F330" s="59" t="s">
        <v>128</v>
      </c>
      <c r="G330" s="60">
        <v>45929.0</v>
      </c>
      <c r="H330" s="58">
        <v>1.0</v>
      </c>
      <c r="I330" s="58" t="s">
        <v>357</v>
      </c>
      <c r="J330" s="61">
        <v>4.66885096215E11</v>
      </c>
      <c r="K330" s="63"/>
      <c r="L330" s="63"/>
      <c r="M330" s="63"/>
      <c r="N330" s="63"/>
      <c r="O330" s="63"/>
      <c r="P330" s="63"/>
      <c r="Q330" s="63"/>
      <c r="R330" s="63"/>
      <c r="S330" s="63"/>
      <c r="U330" s="59">
        <v>-90.98</v>
      </c>
      <c r="V330" s="59">
        <v>-88.78</v>
      </c>
      <c r="W330" s="58">
        <v>-6.68</v>
      </c>
      <c r="X330" s="58">
        <v>0.0</v>
      </c>
      <c r="Y330" s="58">
        <v>0.0</v>
      </c>
      <c r="Z330" s="59">
        <v>-85.83</v>
      </c>
      <c r="AA330" s="58">
        <v>0.0</v>
      </c>
      <c r="AB330" s="58">
        <v>0.0</v>
      </c>
      <c r="AC330" s="58">
        <v>0.0</v>
      </c>
      <c r="AD330" s="58">
        <v>0.0</v>
      </c>
      <c r="AE330" s="58">
        <v>0.0</v>
      </c>
      <c r="AF330" s="58">
        <v>0.0</v>
      </c>
      <c r="AG330" s="58">
        <v>0.0</v>
      </c>
      <c r="AH330" s="58">
        <v>0.0</v>
      </c>
      <c r="AI330" s="58">
        <v>0.0</v>
      </c>
      <c r="AJ330" s="58">
        <v>0.0</v>
      </c>
      <c r="AK330" s="58">
        <v>0.0</v>
      </c>
      <c r="AL330" s="58">
        <v>0.0</v>
      </c>
      <c r="AM330" s="58">
        <v>0.0</v>
      </c>
      <c r="AN330" s="58">
        <v>0.0</v>
      </c>
      <c r="AO330" s="58">
        <v>0.0</v>
      </c>
      <c r="AP330" s="58">
        <v>0.0</v>
      </c>
      <c r="AQ330" s="58">
        <v>0.0</v>
      </c>
      <c r="AR330" s="58">
        <v>0.0</v>
      </c>
      <c r="AS330" s="58">
        <v>0.0</v>
      </c>
      <c r="AT330" s="58">
        <v>-5.15</v>
      </c>
      <c r="AU330" s="58">
        <v>0.0</v>
      </c>
      <c r="AV330" s="58">
        <v>0.0</v>
      </c>
      <c r="AW330" s="58">
        <v>0.0</v>
      </c>
      <c r="AX330" s="58">
        <v>0.0</v>
      </c>
      <c r="AY330" s="58">
        <v>0.0</v>
      </c>
      <c r="AZ330" s="58">
        <v>0.0</v>
      </c>
      <c r="BA330" s="58">
        <v>0.0</v>
      </c>
      <c r="BB330" s="58">
        <v>-5.15</v>
      </c>
      <c r="BC330" s="70" t="s">
        <v>106</v>
      </c>
      <c r="BD330" s="68" t="s">
        <v>446</v>
      </c>
      <c r="BE330" s="68">
        <v>5017.0</v>
      </c>
      <c r="BF330" s="68">
        <v>118.98</v>
      </c>
      <c r="BG330" s="68"/>
      <c r="BH330" s="70" t="s">
        <v>107</v>
      </c>
      <c r="BI330" s="68" t="s">
        <v>108</v>
      </c>
      <c r="BK330" s="68"/>
      <c r="BL330" s="70">
        <v>178.0</v>
      </c>
      <c r="BM330" s="68" t="s">
        <v>447</v>
      </c>
      <c r="BN330" s="68" t="s">
        <v>111</v>
      </c>
      <c r="BO330" s="68" t="s">
        <v>112</v>
      </c>
      <c r="BQ330" s="68"/>
      <c r="BT330" s="70">
        <v>-9.63</v>
      </c>
      <c r="BU330" s="68"/>
      <c r="BV330" s="72"/>
      <c r="BW330" s="64" t="str">
        <f>if(OR(F330="SALE",F330="REFUNDED"),IFERROR(Vlookup(I330,'Listing SKU - Fill SKU Mapping'!A:C,3,false),"Map"),"")</f>
        <v>Keystone</v>
      </c>
      <c r="BX330" s="64" t="str">
        <f>IF(OR(F330="SALE",F330="REFUNDED")=TRUE,iferror(Vlookup(I330,'Listing SKU - Fill SKU Mapping'!A:B,2,false),"Map"),"")</f>
        <v>55815C</v>
      </c>
      <c r="BY330" s="64">
        <f>IF(OR(F330="SALE",F330="REFUNDED")=TRUE,iferror(Vlookup(I330,'Listing SKU - Fill SKU Mapping'!A:D,4,false),"Map"),"")</f>
        <v>53.65</v>
      </c>
      <c r="BZ330" s="66">
        <f t="shared" si="1"/>
        <v>11.5</v>
      </c>
      <c r="CA330" s="66">
        <f t="shared" si="2"/>
        <v>65.15</v>
      </c>
      <c r="CB330" s="64" t="str">
        <f t="shared" si="3"/>
        <v/>
      </c>
      <c r="CC330" s="64" t="str">
        <f>if(F330="REFUNDED",iferror(Vlookup(I330,'Listing SKU - Fill SKU Mapping'!A:B,2,false),"Map"),"")</f>
        <v>55815C</v>
      </c>
      <c r="CD330" s="64" t="str">
        <f>if(F330="REFUNDED",iferror(Vlookup(I330,'Listing SKU - Fill SKU Mapping'!A:C,3,false),"Map"),"")</f>
        <v>Keystone</v>
      </c>
      <c r="CE330" s="64" t="str">
        <f t="shared" si="4"/>
        <v>2025</v>
      </c>
      <c r="CF330" s="64" t="str">
        <f t="shared" si="5"/>
        <v>September</v>
      </c>
      <c r="CG330" s="64" t="str">
        <f t="shared" si="6"/>
        <v/>
      </c>
    </row>
    <row r="331">
      <c r="A331" s="55">
        <v>2.0001E14</v>
      </c>
      <c r="B331" s="56">
        <v>1.0</v>
      </c>
      <c r="C331" s="57">
        <v>1.2902E14</v>
      </c>
      <c r="D331" s="58">
        <v>1.0</v>
      </c>
      <c r="F331" s="59" t="s">
        <v>158</v>
      </c>
      <c r="G331" s="60">
        <v>45921.0</v>
      </c>
      <c r="H331" s="58">
        <v>1.0</v>
      </c>
      <c r="I331" s="58" t="s">
        <v>279</v>
      </c>
      <c r="J331" s="61">
        <v>4.67129950768E11</v>
      </c>
      <c r="K331" s="63"/>
      <c r="L331" s="63"/>
      <c r="M331" s="63"/>
      <c r="N331" s="63"/>
      <c r="O331" s="63"/>
      <c r="P331" s="63"/>
      <c r="Q331" s="63"/>
      <c r="R331" s="63"/>
      <c r="S331" s="63"/>
      <c r="T331" s="58" t="s">
        <v>105</v>
      </c>
      <c r="U331" s="59">
        <v>0.0</v>
      </c>
      <c r="V331" s="59">
        <v>-8.89</v>
      </c>
      <c r="W331" s="58">
        <v>0.0</v>
      </c>
      <c r="X331" s="58">
        <v>0.0</v>
      </c>
      <c r="Y331" s="58">
        <v>0.0</v>
      </c>
      <c r="Z331" s="59">
        <v>0.0</v>
      </c>
      <c r="AA331" s="58">
        <v>0.0</v>
      </c>
      <c r="AB331" s="58">
        <v>0.0</v>
      </c>
      <c r="AC331" s="58">
        <v>0.0</v>
      </c>
      <c r="AD331" s="58">
        <v>0.0</v>
      </c>
      <c r="AE331" s="58">
        <v>0.0</v>
      </c>
      <c r="AF331" s="58">
        <v>0.0</v>
      </c>
      <c r="AG331" s="58">
        <v>0.0</v>
      </c>
      <c r="AH331" s="58">
        <v>0.0</v>
      </c>
      <c r="AI331" s="58">
        <v>0.0</v>
      </c>
      <c r="AJ331" s="58">
        <v>0.0</v>
      </c>
      <c r="AK331" s="58">
        <v>0.0</v>
      </c>
      <c r="AL331" s="58">
        <v>0.0</v>
      </c>
      <c r="AM331" s="58">
        <v>0.0</v>
      </c>
      <c r="AN331" s="58">
        <v>0.0</v>
      </c>
      <c r="AO331" s="58">
        <v>0.0</v>
      </c>
      <c r="AP331" s="58">
        <v>0.0</v>
      </c>
      <c r="AQ331" s="58">
        <v>0.0</v>
      </c>
      <c r="AR331" s="58">
        <v>0.0</v>
      </c>
      <c r="AS331" s="58">
        <v>0.0</v>
      </c>
      <c r="AT331" s="58">
        <v>0.0</v>
      </c>
      <c r="AU331" s="58">
        <v>0.0</v>
      </c>
      <c r="AV331" s="58">
        <v>0.0</v>
      </c>
      <c r="AW331" s="58">
        <v>0.0</v>
      </c>
      <c r="AX331" s="58">
        <v>0.0</v>
      </c>
      <c r="AY331" s="58">
        <v>0.0</v>
      </c>
      <c r="AZ331" s="58">
        <v>0.0</v>
      </c>
      <c r="BA331" s="58">
        <v>0.0</v>
      </c>
      <c r="BB331" s="58">
        <v>0.0</v>
      </c>
      <c r="BC331" s="70" t="s">
        <v>106</v>
      </c>
      <c r="BD331" s="68" t="s">
        <v>163</v>
      </c>
      <c r="BE331" s="68">
        <v>5013.0</v>
      </c>
      <c r="BF331" s="68"/>
      <c r="BH331" s="70" t="s">
        <v>107</v>
      </c>
      <c r="BI331" s="68" t="s">
        <v>108</v>
      </c>
      <c r="BK331" s="68"/>
      <c r="BN331" s="70" t="s">
        <v>111</v>
      </c>
      <c r="BO331" s="68" t="s">
        <v>112</v>
      </c>
      <c r="BQ331" s="68"/>
      <c r="BV331" s="72"/>
      <c r="BW331" s="64" t="str">
        <f>if(OR(F331="SALE",F331="REFUNDED"),IFERROR(Vlookup(I331,'Listing SKU - Fill SKU Mapping'!A:C,3,false),"Map"),"")</f>
        <v/>
      </c>
      <c r="BX331" s="64" t="str">
        <f>IF(OR(F331="SALE",F331="REFUNDED")=TRUE,iferror(Vlookup(I331,'Listing SKU - Fill SKU Mapping'!A:B,2,false),"Map"),"")</f>
        <v/>
      </c>
      <c r="BY331" s="64" t="str">
        <f>IF(OR(F331="SALE",F331="REFUNDED")=TRUE,iferror(Vlookup(I331,'Listing SKU - Fill SKU Mapping'!A:D,4,false),"Map"),"")</f>
        <v/>
      </c>
      <c r="BZ331" s="66" t="str">
        <f t="shared" si="1"/>
        <v/>
      </c>
      <c r="CA331" s="64" t="str">
        <f t="shared" si="2"/>
        <v/>
      </c>
      <c r="CB331" s="64" t="str">
        <f t="shared" si="3"/>
        <v/>
      </c>
      <c r="CC331" s="64" t="str">
        <f>if(F331="REFUNDED",iferror(Vlookup(I331,'Listing SKU - Fill SKU Mapping'!A:B,2,false),"Map"),"")</f>
        <v/>
      </c>
      <c r="CD331" s="64" t="str">
        <f>if(F331="REFUNDED",iferror(Vlookup(I331,'Listing SKU - Fill SKU Mapping'!A:C,3,false),"Map"),"")</f>
        <v/>
      </c>
      <c r="CE331" s="64" t="str">
        <f t="shared" si="4"/>
        <v>2025</v>
      </c>
      <c r="CF331" s="64" t="str">
        <f t="shared" si="5"/>
        <v>September</v>
      </c>
      <c r="CG331" s="64" t="str">
        <f t="shared" si="6"/>
        <v/>
      </c>
    </row>
    <row r="332">
      <c r="A332" s="55">
        <v>2.0001E14</v>
      </c>
      <c r="B332" s="56">
        <v>2.0</v>
      </c>
      <c r="C332" s="57">
        <v>1.0902E14</v>
      </c>
      <c r="D332" s="58">
        <v>2.0</v>
      </c>
      <c r="F332" s="59" t="s">
        <v>128</v>
      </c>
      <c r="G332" s="60">
        <v>45930.0</v>
      </c>
      <c r="H332" s="58">
        <v>1.0</v>
      </c>
      <c r="I332" s="58" t="s">
        <v>361</v>
      </c>
      <c r="J332" s="61">
        <v>4.65595347495E11</v>
      </c>
      <c r="K332" s="63"/>
      <c r="L332" s="63"/>
      <c r="M332" s="63"/>
      <c r="N332" s="63"/>
      <c r="O332" s="63"/>
      <c r="P332" s="63"/>
      <c r="Q332" s="63"/>
      <c r="R332" s="63"/>
      <c r="S332" s="63"/>
      <c r="U332" s="59">
        <v>-90.18</v>
      </c>
      <c r="V332" s="59">
        <v>-89.26</v>
      </c>
      <c r="W332" s="58">
        <v>-6.72</v>
      </c>
      <c r="X332" s="58">
        <v>0.0</v>
      </c>
      <c r="Y332" s="58">
        <v>0.0</v>
      </c>
      <c r="Z332" s="59">
        <v>-82.93</v>
      </c>
      <c r="AA332" s="58">
        <v>0.0</v>
      </c>
      <c r="AB332" s="58">
        <v>0.0</v>
      </c>
      <c r="AC332" s="58">
        <v>0.0</v>
      </c>
      <c r="AD332" s="58">
        <v>0.0</v>
      </c>
      <c r="AE332" s="58">
        <v>0.0</v>
      </c>
      <c r="AF332" s="58">
        <v>0.0</v>
      </c>
      <c r="AG332" s="58">
        <v>0.0</v>
      </c>
      <c r="AH332" s="58">
        <v>0.0</v>
      </c>
      <c r="AI332" s="58">
        <v>0.0</v>
      </c>
      <c r="AJ332" s="58">
        <v>0.0</v>
      </c>
      <c r="AK332" s="58">
        <v>0.0</v>
      </c>
      <c r="AL332" s="58">
        <v>0.0</v>
      </c>
      <c r="AM332" s="58">
        <v>0.0</v>
      </c>
      <c r="AN332" s="58">
        <v>0.0</v>
      </c>
      <c r="AO332" s="58">
        <v>0.0</v>
      </c>
      <c r="AP332" s="58">
        <v>0.0</v>
      </c>
      <c r="AQ332" s="58">
        <v>0.0</v>
      </c>
      <c r="AR332" s="58">
        <v>0.0</v>
      </c>
      <c r="AS332" s="58">
        <v>0.0</v>
      </c>
      <c r="AT332" s="58">
        <v>-7.25</v>
      </c>
      <c r="AU332" s="58">
        <v>0.0</v>
      </c>
      <c r="AV332" s="58">
        <v>0.0</v>
      </c>
      <c r="AW332" s="58">
        <v>0.0</v>
      </c>
      <c r="AX332" s="58">
        <v>0.0</v>
      </c>
      <c r="AY332" s="58">
        <v>0.0</v>
      </c>
      <c r="AZ332" s="58">
        <v>0.0</v>
      </c>
      <c r="BA332" s="58">
        <v>0.0</v>
      </c>
      <c r="BB332" s="58">
        <v>-7.25</v>
      </c>
      <c r="BC332" s="68" t="s">
        <v>106</v>
      </c>
      <c r="BD332" s="68" t="s">
        <v>156</v>
      </c>
      <c r="BE332" s="68">
        <v>5010.0</v>
      </c>
      <c r="BF332" s="68">
        <v>95.98</v>
      </c>
      <c r="BG332" s="68"/>
      <c r="BH332" s="70" t="s">
        <v>107</v>
      </c>
      <c r="BI332" s="68" t="s">
        <v>108</v>
      </c>
      <c r="BK332" s="68"/>
      <c r="BL332" s="70">
        <v>1016.0</v>
      </c>
      <c r="BM332" s="68" t="s">
        <v>258</v>
      </c>
      <c r="BN332" s="68" t="s">
        <v>111</v>
      </c>
      <c r="BO332" s="68" t="s">
        <v>112</v>
      </c>
      <c r="BQ332" s="68"/>
      <c r="BT332" s="70">
        <v>13.05</v>
      </c>
      <c r="BU332" s="68"/>
      <c r="BV332" s="72"/>
      <c r="BW332" s="64" t="str">
        <f>if(OR(F332="SALE",F332="REFUNDED"),IFERROR(Vlookup(I332,'Listing SKU - Fill SKU Mapping'!A:C,3,false),"Map"),"")</f>
        <v>Keystone</v>
      </c>
      <c r="BX332" s="64" t="str">
        <f>IF(OR(F332="SALE",F332="REFUNDED")=TRUE,iferror(Vlookup(I332,'Listing SKU - Fill SKU Mapping'!A:B,2,false),"Map"),"")</f>
        <v>IMP468BLK</v>
      </c>
      <c r="BY332" s="64">
        <f>IF(OR(F332="SALE",F332="REFUNDED")=TRUE,iferror(Vlookup(I332,'Listing SKU - Fill SKU Mapping'!A:D,4,false),"Map"),"")</f>
        <v>46.16</v>
      </c>
      <c r="BZ332" s="66">
        <f t="shared" si="1"/>
        <v>11.5</v>
      </c>
      <c r="CA332" s="66">
        <f t="shared" si="2"/>
        <v>57.66</v>
      </c>
      <c r="CB332" s="64" t="str">
        <f t="shared" si="3"/>
        <v/>
      </c>
      <c r="CC332" s="64" t="str">
        <f>if(F332="REFUNDED",iferror(Vlookup(I332,'Listing SKU - Fill SKU Mapping'!A:B,2,false),"Map"),"")</f>
        <v>IMP468BLK</v>
      </c>
      <c r="CD332" s="64" t="str">
        <f>if(F332="REFUNDED",iferror(Vlookup(I332,'Listing SKU - Fill SKU Mapping'!A:C,3,false),"Map"),"")</f>
        <v>Keystone</v>
      </c>
      <c r="CE332" s="64" t="str">
        <f t="shared" si="4"/>
        <v>2025</v>
      </c>
      <c r="CF332" s="64" t="str">
        <f t="shared" si="5"/>
        <v>September</v>
      </c>
      <c r="CG332" s="64" t="str">
        <f t="shared" si="6"/>
        <v/>
      </c>
    </row>
    <row r="333">
      <c r="A333" s="55">
        <v>2.0001E14</v>
      </c>
      <c r="B333" s="56">
        <v>1.0</v>
      </c>
      <c r="C333" s="57">
        <v>1.2902E14</v>
      </c>
      <c r="D333" s="58">
        <v>1.0</v>
      </c>
      <c r="F333" s="59" t="s">
        <v>158</v>
      </c>
      <c r="G333" s="60">
        <v>45921.0</v>
      </c>
      <c r="H333" s="58">
        <v>1.0</v>
      </c>
      <c r="I333" s="58" t="s">
        <v>390</v>
      </c>
      <c r="J333" s="61">
        <v>4.60776230733E11</v>
      </c>
      <c r="K333" s="63"/>
      <c r="L333" s="63"/>
      <c r="M333" s="63"/>
      <c r="N333" s="63"/>
      <c r="O333" s="63"/>
      <c r="P333" s="63"/>
      <c r="Q333" s="63"/>
      <c r="R333" s="63"/>
      <c r="S333" s="63"/>
      <c r="T333" s="58" t="s">
        <v>105</v>
      </c>
      <c r="U333" s="59">
        <v>0.0</v>
      </c>
      <c r="V333" s="59">
        <v>-8.89</v>
      </c>
      <c r="W333" s="58">
        <v>0.0</v>
      </c>
      <c r="X333" s="58">
        <v>0.0</v>
      </c>
      <c r="Y333" s="58">
        <v>0.0</v>
      </c>
      <c r="Z333" s="59">
        <v>0.0</v>
      </c>
      <c r="AA333" s="58">
        <v>0.0</v>
      </c>
      <c r="AB333" s="58">
        <v>0.0</v>
      </c>
      <c r="AC333" s="58">
        <v>0.0</v>
      </c>
      <c r="AD333" s="58">
        <v>0.0</v>
      </c>
      <c r="AE333" s="58">
        <v>0.0</v>
      </c>
      <c r="AF333" s="58">
        <v>0.0</v>
      </c>
      <c r="AG333" s="58">
        <v>0.0</v>
      </c>
      <c r="AH333" s="58">
        <v>0.0</v>
      </c>
      <c r="AI333" s="58">
        <v>0.0</v>
      </c>
      <c r="AJ333" s="58">
        <v>0.0</v>
      </c>
      <c r="AK333" s="58">
        <v>0.0</v>
      </c>
      <c r="AL333" s="58">
        <v>0.0</v>
      </c>
      <c r="AM333" s="58">
        <v>0.0</v>
      </c>
      <c r="AN333" s="58">
        <v>0.0</v>
      </c>
      <c r="AO333" s="58">
        <v>0.0</v>
      </c>
      <c r="AP333" s="58">
        <v>0.0</v>
      </c>
      <c r="AQ333" s="58">
        <v>0.0</v>
      </c>
      <c r="AR333" s="58">
        <v>0.0</v>
      </c>
      <c r="AS333" s="58">
        <v>0.0</v>
      </c>
      <c r="AT333" s="58">
        <v>0.0</v>
      </c>
      <c r="AU333" s="58">
        <v>0.0</v>
      </c>
      <c r="AV333" s="58">
        <v>0.0</v>
      </c>
      <c r="AW333" s="58">
        <v>0.0</v>
      </c>
      <c r="AX333" s="58">
        <v>0.0</v>
      </c>
      <c r="AY333" s="58">
        <v>0.0</v>
      </c>
      <c r="AZ333" s="58">
        <v>0.0</v>
      </c>
      <c r="BA333" s="58">
        <v>0.0</v>
      </c>
      <c r="BB333" s="58">
        <v>0.0</v>
      </c>
      <c r="BC333" s="70" t="s">
        <v>106</v>
      </c>
      <c r="BD333" s="68" t="s">
        <v>163</v>
      </c>
      <c r="BE333" s="68">
        <v>5013.0</v>
      </c>
      <c r="BF333" s="68">
        <v>107.98</v>
      </c>
      <c r="BG333" s="68"/>
      <c r="BH333" s="70" t="s">
        <v>107</v>
      </c>
      <c r="BI333" s="68" t="s">
        <v>108</v>
      </c>
      <c r="BK333" s="68"/>
      <c r="BN333" s="70" t="s">
        <v>111</v>
      </c>
      <c r="BO333" s="68" t="s">
        <v>112</v>
      </c>
      <c r="BQ333" s="68"/>
      <c r="BV333" s="72"/>
      <c r="BW333" s="64" t="str">
        <f>if(OR(F333="SALE",F333="REFUNDED"),IFERROR(Vlookup(I333,'Listing SKU - Fill SKU Mapping'!A:C,3,false),"Map"),"")</f>
        <v/>
      </c>
      <c r="BX333" s="64" t="str">
        <f>IF(OR(F333="SALE",F333="REFUNDED")=TRUE,iferror(Vlookup(I333,'Listing SKU - Fill SKU Mapping'!A:B,2,false),"Map"),"")</f>
        <v/>
      </c>
      <c r="BY333" s="64" t="str">
        <f>IF(OR(F333="SALE",F333="REFUNDED")=TRUE,iferror(Vlookup(I333,'Listing SKU - Fill SKU Mapping'!A:D,4,false),"Map"),"")</f>
        <v/>
      </c>
      <c r="BZ333" s="66" t="str">
        <f t="shared" si="1"/>
        <v/>
      </c>
      <c r="CA333" s="64" t="str">
        <f t="shared" si="2"/>
        <v/>
      </c>
      <c r="CB333" s="64" t="str">
        <f t="shared" si="3"/>
        <v/>
      </c>
      <c r="CC333" s="64" t="str">
        <f>if(F333="REFUNDED",iferror(Vlookup(I333,'Listing SKU - Fill SKU Mapping'!A:B,2,false),"Map"),"")</f>
        <v/>
      </c>
      <c r="CD333" s="64" t="str">
        <f>if(F333="REFUNDED",iferror(Vlookup(I333,'Listing SKU - Fill SKU Mapping'!A:C,3,false),"Map"),"")</f>
        <v/>
      </c>
      <c r="CE333" s="64" t="str">
        <f t="shared" si="4"/>
        <v>2025</v>
      </c>
      <c r="CF333" s="64" t="str">
        <f t="shared" si="5"/>
        <v>September</v>
      </c>
      <c r="CG333" s="64" t="str">
        <f t="shared" si="6"/>
        <v/>
      </c>
    </row>
    <row r="334">
      <c r="A334" s="55">
        <v>2.0001E14</v>
      </c>
      <c r="B334" s="56">
        <v>1.0</v>
      </c>
      <c r="C334" s="57">
        <v>1.2903E14</v>
      </c>
      <c r="D334" s="58">
        <v>1.0</v>
      </c>
      <c r="F334" s="59" t="s">
        <v>100</v>
      </c>
      <c r="G334" s="60">
        <v>45938.0</v>
      </c>
      <c r="H334" s="58">
        <v>1.0</v>
      </c>
      <c r="I334" s="58" t="s">
        <v>367</v>
      </c>
      <c r="J334" s="61">
        <v>4.67129937981E11</v>
      </c>
      <c r="K334" s="62" t="s">
        <v>448</v>
      </c>
      <c r="L334" s="62">
        <v>2038710.0</v>
      </c>
      <c r="M334" s="63"/>
      <c r="N334" s="63"/>
      <c r="O334" s="62" t="s">
        <v>103</v>
      </c>
      <c r="P334" s="63"/>
      <c r="Q334" s="63"/>
      <c r="R334" s="62" t="s">
        <v>449</v>
      </c>
      <c r="S334" s="62">
        <v>33770.0</v>
      </c>
      <c r="T334" s="58" t="s">
        <v>105</v>
      </c>
      <c r="U334" s="59">
        <v>92.98</v>
      </c>
      <c r="V334" s="59">
        <v>90.19</v>
      </c>
      <c r="W334" s="58">
        <v>6.79</v>
      </c>
      <c r="X334" s="58">
        <v>7.0</v>
      </c>
      <c r="Y334" s="58">
        <v>10.0</v>
      </c>
      <c r="Z334" s="59">
        <v>86.9</v>
      </c>
      <c r="AA334" s="58">
        <v>0.0</v>
      </c>
      <c r="AB334" s="58">
        <v>0.0</v>
      </c>
      <c r="AC334" s="58">
        <v>0.0</v>
      </c>
      <c r="AD334" s="58">
        <v>0.0</v>
      </c>
      <c r="AE334" s="58">
        <v>0.0</v>
      </c>
      <c r="AF334" s="58">
        <v>0.0</v>
      </c>
      <c r="AG334" s="58">
        <v>0.0</v>
      </c>
      <c r="AH334" s="58">
        <v>0.0</v>
      </c>
      <c r="AI334" s="58">
        <v>0.0</v>
      </c>
      <c r="AJ334" s="58">
        <v>0.0</v>
      </c>
      <c r="AK334" s="58">
        <v>0.0</v>
      </c>
      <c r="AL334" s="58">
        <v>0.0</v>
      </c>
      <c r="AM334" s="58">
        <v>0.0</v>
      </c>
      <c r="AN334" s="58">
        <v>0.0</v>
      </c>
      <c r="AO334" s="68">
        <v>6.08</v>
      </c>
      <c r="AP334" s="68">
        <v>0.0</v>
      </c>
      <c r="AQ334" s="68">
        <v>0.0</v>
      </c>
      <c r="AR334" s="68">
        <v>0.0</v>
      </c>
      <c r="AS334" s="68">
        <v>0.0</v>
      </c>
      <c r="AT334" s="68">
        <v>0.0</v>
      </c>
      <c r="AU334" s="68">
        <v>0.0</v>
      </c>
      <c r="AV334" s="68">
        <v>0.0</v>
      </c>
      <c r="AW334" s="68">
        <v>0.0</v>
      </c>
      <c r="AX334" s="68">
        <v>0.0</v>
      </c>
      <c r="AY334" s="68">
        <v>0.0</v>
      </c>
      <c r="AZ334" s="68">
        <v>0.0</v>
      </c>
      <c r="BA334" s="68">
        <v>0.0</v>
      </c>
      <c r="BB334" s="68">
        <v>6.08</v>
      </c>
      <c r="BC334" s="68" t="s">
        <v>106</v>
      </c>
      <c r="BE334" s="68"/>
      <c r="BF334" s="70">
        <v>96.98</v>
      </c>
      <c r="BG334" s="70">
        <v>-9.7</v>
      </c>
      <c r="BH334" s="68" t="s">
        <v>107</v>
      </c>
      <c r="BI334" s="68" t="s">
        <v>108</v>
      </c>
      <c r="BJ334" s="68" t="s">
        <v>109</v>
      </c>
      <c r="BK334" s="68" t="s">
        <v>450</v>
      </c>
      <c r="BM334" s="68"/>
      <c r="BN334" s="68" t="s">
        <v>111</v>
      </c>
      <c r="BO334" s="70" t="s">
        <v>112</v>
      </c>
      <c r="BP334" s="68" t="s">
        <v>113</v>
      </c>
      <c r="BQ334" s="68" t="s">
        <v>317</v>
      </c>
      <c r="BR334" s="68">
        <v>2.91</v>
      </c>
      <c r="BS334" s="68"/>
      <c r="BT334" s="68">
        <v>-10.08</v>
      </c>
      <c r="BU334" s="70" t="s">
        <v>318</v>
      </c>
      <c r="BV334" s="68" t="s">
        <v>318</v>
      </c>
      <c r="BW334" s="64" t="str">
        <f>if(OR(F334="SALE",F334="REFUNDED"),IFERROR(Vlookup(I334,'Listing SKU - Fill SKU Mapping'!A:C,3,false),"Map"),"")</f>
        <v>Keystone</v>
      </c>
      <c r="BX334" s="64" t="str">
        <f>IF(OR(F334="SALE",F334="REFUNDED")=TRUE,iferror(Vlookup(I334,'Listing SKU - Fill SKU Mapping'!A:B,2,false),"Map"),"")</f>
        <v>53917BLK</v>
      </c>
      <c r="BY334" s="64">
        <f>IF(OR(F334="SALE",F334="REFUNDED")=TRUE,iferror(Vlookup(I334,'Listing SKU - Fill SKU Mapping'!A:D,4,false),"Map"),"")</f>
        <v>40.4</v>
      </c>
      <c r="BZ334" s="66">
        <f t="shared" si="1"/>
        <v>11.5</v>
      </c>
      <c r="CA334" s="66">
        <f t="shared" si="2"/>
        <v>51.9</v>
      </c>
      <c r="CB334" s="66">
        <f t="shared" si="3"/>
        <v>38.29</v>
      </c>
      <c r="CC334" s="64" t="str">
        <f>if(F334="REFUNDED",iferror(Vlookup(I334,'Listing SKU - Fill SKU Mapping'!A:B,2,false),"Map"),"")</f>
        <v/>
      </c>
      <c r="CD334" s="64" t="str">
        <f>if(F334="REFUNDED",iferror(Vlookup(I334,'Listing SKU - Fill SKU Mapping'!A:C,3,false),"Map"),"")</f>
        <v/>
      </c>
      <c r="CE334" s="64" t="str">
        <f t="shared" si="4"/>
        <v>2025</v>
      </c>
      <c r="CF334" s="64" t="str">
        <f t="shared" si="5"/>
        <v>October</v>
      </c>
      <c r="CG334" s="64" t="str">
        <f t="shared" si="6"/>
        <v/>
      </c>
    </row>
    <row r="335">
      <c r="A335" s="55">
        <v>2.0001E14</v>
      </c>
      <c r="B335" s="56">
        <v>1.0</v>
      </c>
      <c r="C335" s="57">
        <v>1.2903E14</v>
      </c>
      <c r="D335" s="58">
        <v>1.0</v>
      </c>
      <c r="F335" s="59" t="s">
        <v>100</v>
      </c>
      <c r="G335" s="60">
        <v>45936.0</v>
      </c>
      <c r="H335" s="58">
        <v>1.0</v>
      </c>
      <c r="I335" s="58" t="s">
        <v>451</v>
      </c>
      <c r="J335" s="61">
        <v>4.68102658305E11</v>
      </c>
      <c r="K335" s="62" t="s">
        <v>452</v>
      </c>
      <c r="L335" s="62">
        <v>2038710.0</v>
      </c>
      <c r="M335" s="63"/>
      <c r="N335" s="63"/>
      <c r="O335" s="62" t="s">
        <v>174</v>
      </c>
      <c r="P335" s="63"/>
      <c r="Q335" s="63"/>
      <c r="R335" s="62" t="s">
        <v>175</v>
      </c>
      <c r="S335" s="62">
        <v>77053.0</v>
      </c>
      <c r="T335" s="58" t="s">
        <v>105</v>
      </c>
      <c r="U335" s="59">
        <v>55.15</v>
      </c>
      <c r="V335" s="59">
        <v>47.38</v>
      </c>
      <c r="W335" s="58">
        <v>3.57</v>
      </c>
      <c r="X335" s="58">
        <v>7.0</v>
      </c>
      <c r="Y335" s="58">
        <v>10.0</v>
      </c>
      <c r="Z335" s="59">
        <v>50.95</v>
      </c>
      <c r="AA335" s="58">
        <v>0.0</v>
      </c>
      <c r="AB335" s="58">
        <v>0.0</v>
      </c>
      <c r="AC335" s="58">
        <v>0.0</v>
      </c>
      <c r="AD335" s="58">
        <v>0.0</v>
      </c>
      <c r="AE335" s="58">
        <v>0.0</v>
      </c>
      <c r="AF335" s="58">
        <v>0.0</v>
      </c>
      <c r="AG335" s="58">
        <v>0.0</v>
      </c>
      <c r="AH335" s="58">
        <v>0.0</v>
      </c>
      <c r="AI335" s="58">
        <v>0.0</v>
      </c>
      <c r="AJ335" s="58">
        <v>0.0</v>
      </c>
      <c r="AK335" s="58">
        <v>0.0</v>
      </c>
      <c r="AL335" s="58">
        <v>0.0</v>
      </c>
      <c r="AM335" s="58">
        <v>0.0</v>
      </c>
      <c r="AN335" s="58">
        <v>0.0</v>
      </c>
      <c r="AO335" s="68">
        <v>4.2</v>
      </c>
      <c r="AP335" s="68">
        <v>0.0</v>
      </c>
      <c r="AQ335" s="68">
        <v>0.0</v>
      </c>
      <c r="AR335" s="68">
        <v>0.0</v>
      </c>
      <c r="AS335" s="68">
        <v>0.0</v>
      </c>
      <c r="AT335" s="68">
        <v>0.0</v>
      </c>
      <c r="AU335" s="68">
        <v>0.0</v>
      </c>
      <c r="AV335" s="68">
        <v>0.0</v>
      </c>
      <c r="AW335" s="68">
        <v>0.0</v>
      </c>
      <c r="AX335" s="68">
        <v>0.0</v>
      </c>
      <c r="AY335" s="68">
        <v>0.0</v>
      </c>
      <c r="AZ335" s="68">
        <v>0.0</v>
      </c>
      <c r="BA335" s="68">
        <v>0.0</v>
      </c>
      <c r="BB335" s="68">
        <v>4.2</v>
      </c>
      <c r="BC335" s="68" t="s">
        <v>106</v>
      </c>
      <c r="BE335" s="68"/>
      <c r="BG335" s="70">
        <v>-5.1</v>
      </c>
      <c r="BH335" s="70" t="s">
        <v>107</v>
      </c>
      <c r="BI335" s="68" t="s">
        <v>108</v>
      </c>
      <c r="BJ335" s="68" t="s">
        <v>109</v>
      </c>
      <c r="BK335" s="68" t="s">
        <v>450</v>
      </c>
      <c r="BM335" s="68"/>
      <c r="BN335" s="68" t="s">
        <v>111</v>
      </c>
      <c r="BO335" s="70" t="s">
        <v>112</v>
      </c>
      <c r="BP335" s="68" t="s">
        <v>113</v>
      </c>
      <c r="BQ335" s="68" t="s">
        <v>114</v>
      </c>
      <c r="BR335" s="68">
        <v>1.53</v>
      </c>
      <c r="BS335" s="68"/>
      <c r="BT335" s="68"/>
      <c r="BW335" s="64" t="str">
        <f>if(OR(F335="SALE",F335="REFUNDED"),IFERROR(Vlookup(I335,'Listing SKU - Fill SKU Mapping'!A:C,3,false),"Map"),"")</f>
        <v>Keystone</v>
      </c>
      <c r="BX335" s="64" t="str">
        <f>IF(OR(F335="SALE",F335="REFUNDED")=TRUE,iferror(Vlookup(I335,'Listing SKU - Fill SKU Mapping'!A:B,2,false),"Map"),"")</f>
        <v>C5646</v>
      </c>
      <c r="BY335" s="64">
        <f>IF(OR(F335="SALE",F335="REFUNDED")=TRUE,iferror(Vlookup(I335,'Listing SKU - Fill SKU Mapping'!A:D,4,false),"Map"),"")</f>
        <v>18.54</v>
      </c>
      <c r="BZ335" s="66">
        <f t="shared" si="1"/>
        <v>11.5</v>
      </c>
      <c r="CA335" s="66">
        <f t="shared" si="2"/>
        <v>30.04</v>
      </c>
      <c r="CB335" s="66">
        <f t="shared" si="3"/>
        <v>17.34</v>
      </c>
      <c r="CC335" s="64" t="str">
        <f>if(F335="REFUNDED",iferror(Vlookup(I335,'Listing SKU - Fill SKU Mapping'!A:B,2,false),"Map"),"")</f>
        <v/>
      </c>
      <c r="CD335" s="64" t="str">
        <f>if(F335="REFUNDED",iferror(Vlookup(I335,'Listing SKU - Fill SKU Mapping'!A:C,3,false),"Map"),"")</f>
        <v/>
      </c>
      <c r="CE335" s="64" t="str">
        <f t="shared" si="4"/>
        <v>2025</v>
      </c>
      <c r="CF335" s="64" t="str">
        <f t="shared" si="5"/>
        <v>October</v>
      </c>
      <c r="CG335" s="64" t="str">
        <f t="shared" si="6"/>
        <v/>
      </c>
    </row>
    <row r="336">
      <c r="A336" s="55">
        <v>2.0001E14</v>
      </c>
      <c r="B336" s="56">
        <v>2.0</v>
      </c>
      <c r="C336" s="57">
        <v>1.2903E14</v>
      </c>
      <c r="D336" s="58">
        <v>2.0</v>
      </c>
      <c r="F336" s="59" t="s">
        <v>100</v>
      </c>
      <c r="G336" s="60">
        <v>45939.0</v>
      </c>
      <c r="H336" s="58">
        <v>1.0</v>
      </c>
      <c r="I336" s="58" t="s">
        <v>453</v>
      </c>
      <c r="J336" s="61">
        <v>4.67129937684E11</v>
      </c>
      <c r="K336" s="62" t="s">
        <v>454</v>
      </c>
      <c r="L336" s="62">
        <v>2038710.0</v>
      </c>
      <c r="M336" s="63"/>
      <c r="N336" s="63"/>
      <c r="O336" s="62" t="s">
        <v>145</v>
      </c>
      <c r="P336" s="63"/>
      <c r="Q336" s="63"/>
      <c r="R336" s="62" t="s">
        <v>455</v>
      </c>
      <c r="S336" s="62">
        <v>30755.0</v>
      </c>
      <c r="T336" s="58" t="s">
        <v>105</v>
      </c>
      <c r="U336" s="59">
        <v>79.15</v>
      </c>
      <c r="V336" s="59">
        <v>68.8</v>
      </c>
      <c r="W336" s="58">
        <v>5.18</v>
      </c>
      <c r="X336" s="58">
        <v>7.0</v>
      </c>
      <c r="Y336" s="58">
        <v>10.0</v>
      </c>
      <c r="Z336" s="59">
        <v>73.98</v>
      </c>
      <c r="AA336" s="58">
        <v>0.0</v>
      </c>
      <c r="AB336" s="58">
        <v>0.0</v>
      </c>
      <c r="AC336" s="58">
        <v>0.0</v>
      </c>
      <c r="AD336" s="58">
        <v>0.0</v>
      </c>
      <c r="AE336" s="58">
        <v>0.0</v>
      </c>
      <c r="AF336" s="58">
        <v>0.0</v>
      </c>
      <c r="AG336" s="58">
        <v>0.0</v>
      </c>
      <c r="AH336" s="58">
        <v>0.0</v>
      </c>
      <c r="AI336" s="58">
        <v>0.0</v>
      </c>
      <c r="AJ336" s="58">
        <v>0.0</v>
      </c>
      <c r="AK336" s="58">
        <v>0.0</v>
      </c>
      <c r="AL336" s="58">
        <v>0.0</v>
      </c>
      <c r="AM336" s="58">
        <v>0.0</v>
      </c>
      <c r="AN336" s="58">
        <v>0.0</v>
      </c>
      <c r="AO336" s="68">
        <v>5.17</v>
      </c>
      <c r="AP336" s="68">
        <v>0.0</v>
      </c>
      <c r="AQ336" s="68">
        <v>0.0</v>
      </c>
      <c r="AR336" s="68">
        <v>0.0</v>
      </c>
      <c r="AS336" s="68">
        <v>0.0</v>
      </c>
      <c r="AT336" s="68">
        <v>0.0</v>
      </c>
      <c r="AU336" s="68">
        <v>0.0</v>
      </c>
      <c r="AV336" s="68">
        <v>0.0</v>
      </c>
      <c r="AW336" s="68">
        <v>0.0</v>
      </c>
      <c r="AX336" s="68">
        <v>0.0</v>
      </c>
      <c r="AY336" s="68">
        <v>0.0</v>
      </c>
      <c r="AZ336" s="68">
        <v>0.0</v>
      </c>
      <c r="BA336" s="68">
        <v>0.0</v>
      </c>
      <c r="BB336" s="68">
        <v>5.17</v>
      </c>
      <c r="BC336" s="68" t="s">
        <v>106</v>
      </c>
      <c r="BE336" s="68"/>
      <c r="BG336" s="70">
        <v>-7.4</v>
      </c>
      <c r="BH336" s="70" t="s">
        <v>107</v>
      </c>
      <c r="BI336" s="68" t="s">
        <v>108</v>
      </c>
      <c r="BJ336" s="68" t="s">
        <v>109</v>
      </c>
      <c r="BK336" s="68" t="s">
        <v>450</v>
      </c>
      <c r="BM336" s="68"/>
      <c r="BN336" s="68" t="s">
        <v>111</v>
      </c>
      <c r="BO336" s="70" t="s">
        <v>112</v>
      </c>
      <c r="BP336" s="68" t="s">
        <v>113</v>
      </c>
      <c r="BQ336" s="68" t="s">
        <v>114</v>
      </c>
      <c r="BR336" s="68">
        <v>2.22</v>
      </c>
      <c r="BS336" s="68"/>
      <c r="BT336" s="68"/>
      <c r="BW336" s="64" t="str">
        <f>if(OR(F336="SALE",F336="REFUNDED"),IFERROR(Vlookup(I336,'Listing SKU - Fill SKU Mapping'!A:C,3,false),"Map"),"")</f>
        <v>Keystone</v>
      </c>
      <c r="BX336" s="64" t="str">
        <f>IF(OR(F336="SALE",F336="REFUNDED")=TRUE,iferror(Vlookup(I336,'Listing SKU - Fill SKU Mapping'!A:B,2,false),"Map"),"")</f>
        <v>42315S</v>
      </c>
      <c r="BY336" s="64">
        <f>IF(OR(F336="SALE",F336="REFUNDED")=TRUE,iferror(Vlookup(I336,'Listing SKU - Fill SKU Mapping'!A:D,4,false),"Map"),"")</f>
        <v>26.04</v>
      </c>
      <c r="BZ336" s="66">
        <f t="shared" si="1"/>
        <v>11.5</v>
      </c>
      <c r="CA336" s="66">
        <f t="shared" si="2"/>
        <v>37.54</v>
      </c>
      <c r="CB336" s="66">
        <f t="shared" si="3"/>
        <v>31.26</v>
      </c>
      <c r="CC336" s="64" t="str">
        <f>if(F336="REFUNDED",iferror(Vlookup(I336,'Listing SKU - Fill SKU Mapping'!A:B,2,false),"Map"),"")</f>
        <v/>
      </c>
      <c r="CD336" s="64" t="str">
        <f>if(F336="REFUNDED",iferror(Vlookup(I336,'Listing SKU - Fill SKU Mapping'!A:C,3,false),"Map"),"")</f>
        <v/>
      </c>
      <c r="CE336" s="64" t="str">
        <f t="shared" si="4"/>
        <v>2025</v>
      </c>
      <c r="CF336" s="64" t="str">
        <f t="shared" si="5"/>
        <v>October</v>
      </c>
      <c r="CG336" s="64" t="str">
        <f t="shared" si="6"/>
        <v/>
      </c>
    </row>
    <row r="337">
      <c r="A337" s="55">
        <v>2.0001E14</v>
      </c>
      <c r="B337" s="56">
        <v>1.0</v>
      </c>
      <c r="C337" s="57">
        <v>1.1903E14</v>
      </c>
      <c r="D337" s="58">
        <v>1.0</v>
      </c>
      <c r="F337" s="59" t="s">
        <v>100</v>
      </c>
      <c r="G337" s="60">
        <v>45946.0</v>
      </c>
      <c r="H337" s="58">
        <v>1.0</v>
      </c>
      <c r="I337" s="58" t="s">
        <v>436</v>
      </c>
      <c r="J337" s="61">
        <v>4.67129938025E11</v>
      </c>
      <c r="K337" s="62" t="s">
        <v>456</v>
      </c>
      <c r="L337" s="62">
        <v>2038710.0</v>
      </c>
      <c r="M337" s="63"/>
      <c r="N337" s="63"/>
      <c r="O337" s="62" t="s">
        <v>457</v>
      </c>
      <c r="P337" s="63"/>
      <c r="Q337" s="63"/>
      <c r="R337" s="62" t="s">
        <v>458</v>
      </c>
      <c r="S337" s="62">
        <v>42276.0</v>
      </c>
      <c r="T337" s="58" t="s">
        <v>105</v>
      </c>
      <c r="U337" s="59">
        <v>84.78</v>
      </c>
      <c r="V337" s="59">
        <v>74.38</v>
      </c>
      <c r="W337" s="58">
        <v>5.6</v>
      </c>
      <c r="X337" s="58">
        <v>7.0</v>
      </c>
      <c r="Y337" s="58">
        <v>10.0</v>
      </c>
      <c r="Z337" s="59">
        <v>79.98</v>
      </c>
      <c r="AA337" s="58">
        <v>0.0</v>
      </c>
      <c r="AB337" s="58">
        <v>0.0</v>
      </c>
      <c r="AC337" s="58">
        <v>0.0</v>
      </c>
      <c r="AD337" s="58">
        <v>0.0</v>
      </c>
      <c r="AE337" s="58">
        <v>0.0</v>
      </c>
      <c r="AF337" s="58">
        <v>0.0</v>
      </c>
      <c r="AG337" s="58">
        <v>0.0</v>
      </c>
      <c r="AH337" s="58">
        <v>0.0</v>
      </c>
      <c r="AI337" s="58">
        <v>0.0</v>
      </c>
      <c r="AJ337" s="58">
        <v>0.0</v>
      </c>
      <c r="AK337" s="58">
        <v>0.0</v>
      </c>
      <c r="AL337" s="58">
        <v>0.0</v>
      </c>
      <c r="AM337" s="58">
        <v>0.0</v>
      </c>
      <c r="AN337" s="58">
        <v>0.0</v>
      </c>
      <c r="AO337" s="68">
        <v>4.8</v>
      </c>
      <c r="AP337" s="68">
        <v>0.0</v>
      </c>
      <c r="AQ337" s="68">
        <v>0.0</v>
      </c>
      <c r="AR337" s="68">
        <v>0.0</v>
      </c>
      <c r="AS337" s="68">
        <v>0.0</v>
      </c>
      <c r="AT337" s="68">
        <v>0.0</v>
      </c>
      <c r="AU337" s="68">
        <v>0.0</v>
      </c>
      <c r="AV337" s="68">
        <v>0.0</v>
      </c>
      <c r="AW337" s="68">
        <v>0.0</v>
      </c>
      <c r="AX337" s="68">
        <v>0.0</v>
      </c>
      <c r="AY337" s="68">
        <v>0.0</v>
      </c>
      <c r="AZ337" s="68">
        <v>0.0</v>
      </c>
      <c r="BA337" s="68">
        <v>0.0</v>
      </c>
      <c r="BB337" s="68">
        <v>4.8</v>
      </c>
      <c r="BC337" s="68" t="s">
        <v>106</v>
      </c>
      <c r="BE337" s="68"/>
      <c r="BG337" s="70">
        <v>-8.0</v>
      </c>
      <c r="BH337" s="70" t="s">
        <v>107</v>
      </c>
      <c r="BI337" s="68" t="s">
        <v>108</v>
      </c>
      <c r="BJ337" s="68" t="s">
        <v>109</v>
      </c>
      <c r="BK337" s="68" t="s">
        <v>459</v>
      </c>
      <c r="BM337" s="68"/>
      <c r="BN337" s="68" t="s">
        <v>111</v>
      </c>
      <c r="BO337" s="70" t="s">
        <v>112</v>
      </c>
      <c r="BP337" s="68" t="s">
        <v>113</v>
      </c>
      <c r="BQ337" s="68" t="s">
        <v>348</v>
      </c>
      <c r="BR337" s="68">
        <v>2.4</v>
      </c>
      <c r="BS337" s="68"/>
      <c r="BT337" s="68"/>
      <c r="BW337" s="64" t="str">
        <f>if(OR(F337="SALE",F337="REFUNDED"),IFERROR(Vlookup(I337,'Listing SKU - Fill SKU Mapping'!A:C,3,false),"Map"),"")</f>
        <v>Keystone</v>
      </c>
      <c r="BX337" s="64" t="str">
        <f>IF(OR(F337="SALE",F337="REFUNDED")=TRUE,iferror(Vlookup(I337,'Listing SKU - Fill SKU Mapping'!A:B,2,false),"Map"),"")</f>
        <v>51917BLK</v>
      </c>
      <c r="BY337" s="64">
        <f>IF(OR(F337="SALE",F337="REFUNDED")=TRUE,iferror(Vlookup(I337,'Listing SKU - Fill SKU Mapping'!A:D,4,false),"Map"),"")</f>
        <v>29.58</v>
      </c>
      <c r="BZ337" s="66">
        <f t="shared" si="1"/>
        <v>11.5</v>
      </c>
      <c r="CA337" s="66">
        <f t="shared" si="2"/>
        <v>41.08</v>
      </c>
      <c r="CB337" s="66">
        <f t="shared" si="3"/>
        <v>33.3</v>
      </c>
      <c r="CC337" s="64" t="str">
        <f>if(F337="REFUNDED",iferror(Vlookup(I337,'Listing SKU - Fill SKU Mapping'!A:B,2,false),"Map"),"")</f>
        <v/>
      </c>
      <c r="CD337" s="64" t="str">
        <f>if(F337="REFUNDED",iferror(Vlookup(I337,'Listing SKU - Fill SKU Mapping'!A:C,3,false),"Map"),"")</f>
        <v/>
      </c>
      <c r="CE337" s="64" t="str">
        <f t="shared" si="4"/>
        <v>2025</v>
      </c>
      <c r="CF337" s="64" t="str">
        <f t="shared" si="5"/>
        <v>October</v>
      </c>
      <c r="CG337" s="64" t="str">
        <f t="shared" si="6"/>
        <v/>
      </c>
    </row>
    <row r="338">
      <c r="A338" s="55">
        <v>2.0001E14</v>
      </c>
      <c r="B338" s="56">
        <v>1.0</v>
      </c>
      <c r="C338" s="57">
        <v>1.2903E14</v>
      </c>
      <c r="D338" s="58">
        <v>1.0</v>
      </c>
      <c r="F338" s="59" t="s">
        <v>100</v>
      </c>
      <c r="G338" s="60">
        <v>45936.0</v>
      </c>
      <c r="H338" s="58">
        <v>1.0</v>
      </c>
      <c r="I338" s="58" t="s">
        <v>345</v>
      </c>
      <c r="J338" s="61">
        <v>4.67129928385E11</v>
      </c>
      <c r="K338" s="62" t="s">
        <v>460</v>
      </c>
      <c r="L338" s="62">
        <v>2038710.0</v>
      </c>
      <c r="M338" s="63"/>
      <c r="N338" s="63"/>
      <c r="O338" s="62" t="s">
        <v>137</v>
      </c>
      <c r="P338" s="63"/>
      <c r="Q338" s="63"/>
      <c r="R338" s="62" t="s">
        <v>461</v>
      </c>
      <c r="S338" s="62">
        <v>43123.0</v>
      </c>
      <c r="T338" s="58" t="s">
        <v>105</v>
      </c>
      <c r="U338" s="59">
        <v>90.7</v>
      </c>
      <c r="V338" s="59">
        <v>78.1</v>
      </c>
      <c r="W338" s="58">
        <v>5.88</v>
      </c>
      <c r="X338" s="58">
        <v>7.0</v>
      </c>
      <c r="Y338" s="58">
        <v>10.0</v>
      </c>
      <c r="Z338" s="59">
        <v>83.98</v>
      </c>
      <c r="AA338" s="58">
        <v>0.0</v>
      </c>
      <c r="AB338" s="58">
        <v>0.0</v>
      </c>
      <c r="AC338" s="58">
        <v>0.0</v>
      </c>
      <c r="AD338" s="58">
        <v>0.0</v>
      </c>
      <c r="AE338" s="58">
        <v>0.0</v>
      </c>
      <c r="AF338" s="58">
        <v>0.0</v>
      </c>
      <c r="AG338" s="58">
        <v>0.0</v>
      </c>
      <c r="AH338" s="58">
        <v>0.0</v>
      </c>
      <c r="AI338" s="58">
        <v>0.0</v>
      </c>
      <c r="AJ338" s="58">
        <v>0.0</v>
      </c>
      <c r="AK338" s="58">
        <v>0.0</v>
      </c>
      <c r="AL338" s="58">
        <v>0.0</v>
      </c>
      <c r="AM338" s="58">
        <v>0.0</v>
      </c>
      <c r="AN338" s="58">
        <v>0.0</v>
      </c>
      <c r="AO338" s="68">
        <v>6.72</v>
      </c>
      <c r="AP338" s="68">
        <v>0.0</v>
      </c>
      <c r="AQ338" s="68">
        <v>0.0</v>
      </c>
      <c r="AR338" s="68">
        <v>0.0</v>
      </c>
      <c r="AS338" s="68">
        <v>0.0</v>
      </c>
      <c r="AT338" s="68">
        <v>0.0</v>
      </c>
      <c r="AU338" s="68">
        <v>0.0</v>
      </c>
      <c r="AV338" s="68">
        <v>0.0</v>
      </c>
      <c r="AW338" s="68">
        <v>0.0</v>
      </c>
      <c r="AX338" s="68">
        <v>0.0</v>
      </c>
      <c r="AY338" s="68">
        <v>0.0</v>
      </c>
      <c r="AZ338" s="68">
        <v>0.0</v>
      </c>
      <c r="BA338" s="68">
        <v>0.0</v>
      </c>
      <c r="BB338" s="68">
        <v>6.72</v>
      </c>
      <c r="BC338" s="68" t="s">
        <v>106</v>
      </c>
      <c r="BE338" s="68"/>
      <c r="BG338" s="70">
        <v>-8.4</v>
      </c>
      <c r="BH338" s="70" t="s">
        <v>107</v>
      </c>
      <c r="BI338" s="68" t="s">
        <v>108</v>
      </c>
      <c r="BJ338" s="68" t="s">
        <v>109</v>
      </c>
      <c r="BK338" s="68" t="s">
        <v>450</v>
      </c>
      <c r="BM338" s="68"/>
      <c r="BN338" s="68" t="s">
        <v>111</v>
      </c>
      <c r="BO338" s="70" t="s">
        <v>112</v>
      </c>
      <c r="BP338" s="68" t="s">
        <v>113</v>
      </c>
      <c r="BQ338" s="68" t="s">
        <v>114</v>
      </c>
      <c r="BR338" s="68">
        <v>2.52</v>
      </c>
      <c r="BS338" s="68"/>
      <c r="BT338" s="68"/>
      <c r="BW338" s="64" t="str">
        <f>if(OR(F338="SALE",F338="REFUNDED"),IFERROR(Vlookup(I338,'Listing SKU - Fill SKU Mapping'!A:C,3,false),"Map"),"")</f>
        <v>Keystone</v>
      </c>
      <c r="BX338" s="64" t="str">
        <f>IF(OR(F338="SALE",F338="REFUNDED")=TRUE,iferror(Vlookup(I338,'Listing SKU - Fill SKU Mapping'!A:B,2,false),"Map"),"")</f>
        <v>52116S</v>
      </c>
      <c r="BY338" s="64">
        <f>IF(OR(F338="SALE",F338="REFUNDED")=TRUE,iferror(Vlookup(I338,'Listing SKU - Fill SKU Mapping'!A:D,4,false),"Map"),"")</f>
        <v>32.35</v>
      </c>
      <c r="BZ338" s="66">
        <f t="shared" si="1"/>
        <v>11.5</v>
      </c>
      <c r="CA338" s="66">
        <f t="shared" si="2"/>
        <v>43.85</v>
      </c>
      <c r="CB338" s="66">
        <f t="shared" si="3"/>
        <v>34.25</v>
      </c>
      <c r="CC338" s="64" t="str">
        <f>if(F338="REFUNDED",iferror(Vlookup(I338,'Listing SKU - Fill SKU Mapping'!A:B,2,false),"Map"),"")</f>
        <v/>
      </c>
      <c r="CD338" s="64" t="str">
        <f>if(F338="REFUNDED",iferror(Vlookup(I338,'Listing SKU - Fill SKU Mapping'!A:C,3,false),"Map"),"")</f>
        <v/>
      </c>
      <c r="CE338" s="64" t="str">
        <f t="shared" si="4"/>
        <v>2025</v>
      </c>
      <c r="CF338" s="64" t="str">
        <f t="shared" si="5"/>
        <v>October</v>
      </c>
      <c r="CG338" s="64" t="str">
        <f t="shared" si="6"/>
        <v/>
      </c>
    </row>
    <row r="339">
      <c r="A339" s="55">
        <v>2.0001E14</v>
      </c>
      <c r="B339" s="56">
        <v>1.0</v>
      </c>
      <c r="C339" s="57">
        <v>1.2903E14</v>
      </c>
      <c r="D339" s="58">
        <v>1.0</v>
      </c>
      <c r="F339" s="59" t="s">
        <v>100</v>
      </c>
      <c r="G339" s="60">
        <v>45937.0</v>
      </c>
      <c r="H339" s="58">
        <v>1.0</v>
      </c>
      <c r="I339" s="58" t="s">
        <v>462</v>
      </c>
      <c r="J339" s="61">
        <v>4.60776229072E11</v>
      </c>
      <c r="K339" s="62" t="s">
        <v>463</v>
      </c>
      <c r="L339" s="62">
        <v>2038710.0</v>
      </c>
      <c r="M339" s="63"/>
      <c r="N339" s="63"/>
      <c r="O339" s="62" t="s">
        <v>153</v>
      </c>
      <c r="P339" s="63"/>
      <c r="Q339" s="63"/>
      <c r="R339" s="62" t="s">
        <v>464</v>
      </c>
      <c r="S339" s="62">
        <v>73115.0</v>
      </c>
      <c r="T339" s="58" t="s">
        <v>105</v>
      </c>
      <c r="U339" s="59">
        <v>112.25</v>
      </c>
      <c r="V339" s="59">
        <v>95.77</v>
      </c>
      <c r="W339" s="58">
        <v>7.21</v>
      </c>
      <c r="X339" s="58">
        <v>7.0</v>
      </c>
      <c r="Y339" s="58">
        <v>10.0</v>
      </c>
      <c r="Z339" s="59">
        <v>102.98</v>
      </c>
      <c r="AA339" s="58">
        <v>0.0</v>
      </c>
      <c r="AB339" s="58">
        <v>0.0</v>
      </c>
      <c r="AC339" s="58">
        <v>0.0</v>
      </c>
      <c r="AD339" s="58">
        <v>0.0</v>
      </c>
      <c r="AE339" s="58">
        <v>0.0</v>
      </c>
      <c r="AF339" s="58">
        <v>0.0</v>
      </c>
      <c r="AG339" s="58">
        <v>0.0</v>
      </c>
      <c r="AH339" s="58">
        <v>0.0</v>
      </c>
      <c r="AI339" s="58">
        <v>0.0</v>
      </c>
      <c r="AJ339" s="58">
        <v>0.0</v>
      </c>
      <c r="AK339" s="58">
        <v>0.0</v>
      </c>
      <c r="AL339" s="58">
        <v>0.0</v>
      </c>
      <c r="AM339" s="58">
        <v>0.0</v>
      </c>
      <c r="AN339" s="58">
        <v>0.0</v>
      </c>
      <c r="AO339" s="68">
        <v>9.27</v>
      </c>
      <c r="AP339" s="68">
        <v>0.0</v>
      </c>
      <c r="AQ339" s="68">
        <v>0.0</v>
      </c>
      <c r="AR339" s="68">
        <v>0.0</v>
      </c>
      <c r="AS339" s="68">
        <v>0.0</v>
      </c>
      <c r="AT339" s="68">
        <v>0.0</v>
      </c>
      <c r="AU339" s="68">
        <v>0.0</v>
      </c>
      <c r="AV339" s="68">
        <v>0.0</v>
      </c>
      <c r="AW339" s="68">
        <v>0.0</v>
      </c>
      <c r="AX339" s="68">
        <v>0.0</v>
      </c>
      <c r="AY339" s="68">
        <v>0.0</v>
      </c>
      <c r="AZ339" s="68">
        <v>0.0</v>
      </c>
      <c r="BA339" s="68">
        <v>0.0</v>
      </c>
      <c r="BB339" s="68">
        <v>9.27</v>
      </c>
      <c r="BC339" s="68" t="s">
        <v>106</v>
      </c>
      <c r="BE339" s="68"/>
      <c r="BG339" s="70">
        <v>-10.3</v>
      </c>
      <c r="BH339" s="70" t="s">
        <v>107</v>
      </c>
      <c r="BI339" s="68" t="s">
        <v>108</v>
      </c>
      <c r="BJ339" s="68" t="s">
        <v>109</v>
      </c>
      <c r="BK339" s="68" t="s">
        <v>450</v>
      </c>
      <c r="BM339" s="68"/>
      <c r="BN339" s="68" t="s">
        <v>106</v>
      </c>
      <c r="BO339" s="70" t="s">
        <v>112</v>
      </c>
      <c r="BP339" s="68" t="s">
        <v>113</v>
      </c>
      <c r="BQ339" s="68" t="s">
        <v>114</v>
      </c>
      <c r="BR339" s="68">
        <v>3.09</v>
      </c>
      <c r="BS339" s="68"/>
      <c r="BT339" s="68"/>
      <c r="BW339" s="64" t="str">
        <f>if(OR(F339="SALE",F339="REFUNDED"),IFERROR(Vlookup(I339,'Listing SKU - Fill SKU Mapping'!A:C,3,false),"Map"),"")</f>
        <v>Keystone</v>
      </c>
      <c r="BX339" s="64" t="str">
        <f>IF(OR(F339="SALE",F339="REFUNDED")=TRUE,iferror(Vlookup(I339,'Listing SKU - Fill SKU Mapping'!A:B,2,false),"Map"),"")</f>
        <v>IMP399BLK</v>
      </c>
      <c r="BY339" s="64">
        <f>IF(OR(F339="SALE",F339="REFUNDED")=TRUE,iferror(Vlookup(I339,'Listing SKU - Fill SKU Mapping'!A:D,4,false),"Map"),"")</f>
        <v>46.16</v>
      </c>
      <c r="BZ339" s="66">
        <f t="shared" si="1"/>
        <v>11.5</v>
      </c>
      <c r="CA339" s="66">
        <f t="shared" si="2"/>
        <v>57.66</v>
      </c>
      <c r="CB339" s="66">
        <f t="shared" si="3"/>
        <v>38.11</v>
      </c>
      <c r="CC339" s="64" t="str">
        <f>if(F339="REFUNDED",iferror(Vlookup(I339,'Listing SKU - Fill SKU Mapping'!A:B,2,false),"Map"),"")</f>
        <v/>
      </c>
      <c r="CD339" s="64" t="str">
        <f>if(F339="REFUNDED",iferror(Vlookup(I339,'Listing SKU - Fill SKU Mapping'!A:C,3,false),"Map"),"")</f>
        <v/>
      </c>
      <c r="CE339" s="64" t="str">
        <f t="shared" si="4"/>
        <v>2025</v>
      </c>
      <c r="CF339" s="64" t="str">
        <f t="shared" si="5"/>
        <v>October</v>
      </c>
      <c r="CG339" s="64" t="str">
        <f t="shared" si="6"/>
        <v/>
      </c>
    </row>
    <row r="340">
      <c r="A340" s="55">
        <v>2.0001E14</v>
      </c>
      <c r="B340" s="56">
        <v>1.0</v>
      </c>
      <c r="C340" s="57">
        <v>1.2903E14</v>
      </c>
      <c r="D340" s="58">
        <v>1.0</v>
      </c>
      <c r="F340" s="59" t="s">
        <v>100</v>
      </c>
      <c r="G340" s="60">
        <v>45939.0</v>
      </c>
      <c r="H340" s="58">
        <v>1.0</v>
      </c>
      <c r="I340" s="58" t="s">
        <v>373</v>
      </c>
      <c r="J340" s="61">
        <v>4.68102663606E11</v>
      </c>
      <c r="K340" s="62" t="s">
        <v>465</v>
      </c>
      <c r="L340" s="62">
        <v>2038710.0</v>
      </c>
      <c r="M340" s="63"/>
      <c r="N340" s="63"/>
      <c r="O340" s="62" t="s">
        <v>232</v>
      </c>
      <c r="P340" s="63"/>
      <c r="Q340" s="63"/>
      <c r="R340" s="62" t="s">
        <v>466</v>
      </c>
      <c r="S340" s="62">
        <v>18076.0</v>
      </c>
      <c r="T340" s="58" t="s">
        <v>105</v>
      </c>
      <c r="U340" s="59">
        <v>40.23</v>
      </c>
      <c r="V340" s="59">
        <v>35.29</v>
      </c>
      <c r="W340" s="58">
        <v>2.66</v>
      </c>
      <c r="X340" s="58">
        <v>7.0</v>
      </c>
      <c r="Y340" s="58">
        <v>10.0</v>
      </c>
      <c r="Z340" s="59">
        <v>37.95</v>
      </c>
      <c r="AA340" s="58">
        <v>0.0</v>
      </c>
      <c r="AB340" s="58">
        <v>0.0</v>
      </c>
      <c r="AC340" s="58">
        <v>0.0</v>
      </c>
      <c r="AD340" s="58">
        <v>0.0</v>
      </c>
      <c r="AE340" s="58">
        <v>0.0</v>
      </c>
      <c r="AF340" s="58">
        <v>0.0</v>
      </c>
      <c r="AG340" s="58">
        <v>0.0</v>
      </c>
      <c r="AH340" s="58">
        <v>0.0</v>
      </c>
      <c r="AI340" s="58">
        <v>0.0</v>
      </c>
      <c r="AJ340" s="58">
        <v>0.0</v>
      </c>
      <c r="AK340" s="58">
        <v>0.0</v>
      </c>
      <c r="AL340" s="58">
        <v>0.0</v>
      </c>
      <c r="AM340" s="58">
        <v>0.0</v>
      </c>
      <c r="AN340" s="58">
        <v>0.0</v>
      </c>
      <c r="AO340" s="68">
        <v>2.28</v>
      </c>
      <c r="AP340" s="68">
        <v>0.0</v>
      </c>
      <c r="AQ340" s="68">
        <v>0.0</v>
      </c>
      <c r="AR340" s="68">
        <v>0.0</v>
      </c>
      <c r="AS340" s="68">
        <v>0.0</v>
      </c>
      <c r="AT340" s="68">
        <v>0.0</v>
      </c>
      <c r="AU340" s="68">
        <v>0.0</v>
      </c>
      <c r="AV340" s="68">
        <v>0.0</v>
      </c>
      <c r="AW340" s="68">
        <v>0.0</v>
      </c>
      <c r="AX340" s="68">
        <v>0.0</v>
      </c>
      <c r="AY340" s="68">
        <v>0.0</v>
      </c>
      <c r="AZ340" s="68">
        <v>0.0</v>
      </c>
      <c r="BA340" s="68">
        <v>0.0</v>
      </c>
      <c r="BB340" s="68">
        <v>2.28</v>
      </c>
      <c r="BC340" s="68" t="s">
        <v>106</v>
      </c>
      <c r="BE340" s="68"/>
      <c r="BG340" s="70">
        <v>-3.8</v>
      </c>
      <c r="BH340" s="70" t="s">
        <v>107</v>
      </c>
      <c r="BI340" s="68" t="s">
        <v>108</v>
      </c>
      <c r="BJ340" s="68" t="s">
        <v>109</v>
      </c>
      <c r="BK340" s="68" t="s">
        <v>450</v>
      </c>
      <c r="BM340" s="68"/>
      <c r="BN340" s="68" t="s">
        <v>111</v>
      </c>
      <c r="BO340" s="70" t="s">
        <v>112</v>
      </c>
      <c r="BP340" s="68" t="s">
        <v>113</v>
      </c>
      <c r="BQ340" s="68" t="s">
        <v>114</v>
      </c>
      <c r="BR340" s="68">
        <v>1.14</v>
      </c>
      <c r="BS340" s="68"/>
      <c r="BT340" s="68"/>
      <c r="BW340" s="64" t="str">
        <f>if(OR(F340="SALE",F340="REFUNDED"),IFERROR(Vlookup(I340,'Listing SKU - Fill SKU Mapping'!A:C,3,false),"Map"),"")</f>
        <v>Keystone</v>
      </c>
      <c r="BX340" s="64" t="str">
        <f>IF(OR(F340="SALE",F340="REFUNDED")=TRUE,iferror(Vlookup(I340,'Listing SKU - Fill SKU Mapping'!A:B,2,false),"Map"),"")</f>
        <v>C5712BLK</v>
      </c>
      <c r="BY340" s="64">
        <f>IF(OR(F340="SALE",F340="REFUNDED")=TRUE,iferror(Vlookup(I340,'Listing SKU - Fill SKU Mapping'!A:D,4,false),"Map"),"")</f>
        <v>9.47</v>
      </c>
      <c r="BZ340" s="66">
        <f t="shared" si="1"/>
        <v>11.5</v>
      </c>
      <c r="CA340" s="66">
        <f t="shared" si="2"/>
        <v>20.97</v>
      </c>
      <c r="CB340" s="66">
        <f t="shared" si="3"/>
        <v>14.32</v>
      </c>
      <c r="CC340" s="64" t="str">
        <f>if(F340="REFUNDED",iferror(Vlookup(I340,'Listing SKU - Fill SKU Mapping'!A:B,2,false),"Map"),"")</f>
        <v/>
      </c>
      <c r="CD340" s="64" t="str">
        <f>if(F340="REFUNDED",iferror(Vlookup(I340,'Listing SKU - Fill SKU Mapping'!A:C,3,false),"Map"),"")</f>
        <v/>
      </c>
      <c r="CE340" s="64" t="str">
        <f t="shared" si="4"/>
        <v>2025</v>
      </c>
      <c r="CF340" s="64" t="str">
        <f t="shared" si="5"/>
        <v>October</v>
      </c>
      <c r="CG340" s="64" t="str">
        <f t="shared" si="6"/>
        <v/>
      </c>
    </row>
    <row r="341">
      <c r="A341" s="55">
        <v>2.0001E14</v>
      </c>
      <c r="B341" s="56">
        <v>1.0</v>
      </c>
      <c r="C341" s="57">
        <v>1.2903E14</v>
      </c>
      <c r="D341" s="58">
        <v>1.0</v>
      </c>
      <c r="F341" s="59" t="s">
        <v>100</v>
      </c>
      <c r="G341" s="60">
        <v>45944.0</v>
      </c>
      <c r="H341" s="58">
        <v>1.0</v>
      </c>
      <c r="I341" s="58" t="s">
        <v>347</v>
      </c>
      <c r="J341" s="61">
        <v>4.67129950577E11</v>
      </c>
      <c r="K341" s="62" t="s">
        <v>467</v>
      </c>
      <c r="L341" s="62">
        <v>2038710.0</v>
      </c>
      <c r="M341" s="63"/>
      <c r="N341" s="63"/>
      <c r="O341" s="62" t="s">
        <v>126</v>
      </c>
      <c r="P341" s="63"/>
      <c r="Q341" s="63"/>
      <c r="R341" s="62" t="s">
        <v>468</v>
      </c>
      <c r="S341" s="62">
        <v>27215.0</v>
      </c>
      <c r="T341" s="58" t="s">
        <v>105</v>
      </c>
      <c r="U341" s="59">
        <v>84.31</v>
      </c>
      <c r="V341" s="59">
        <v>73.45</v>
      </c>
      <c r="W341" s="58">
        <v>5.53</v>
      </c>
      <c r="X341" s="58">
        <v>7.0</v>
      </c>
      <c r="Y341" s="58">
        <v>10.0</v>
      </c>
      <c r="Z341" s="59">
        <v>78.98</v>
      </c>
      <c r="AA341" s="58">
        <v>0.0</v>
      </c>
      <c r="AB341" s="58">
        <v>0.0</v>
      </c>
      <c r="AC341" s="58">
        <v>0.0</v>
      </c>
      <c r="AD341" s="58">
        <v>0.0</v>
      </c>
      <c r="AE341" s="58">
        <v>0.0</v>
      </c>
      <c r="AF341" s="58">
        <v>0.0</v>
      </c>
      <c r="AG341" s="58">
        <v>0.0</v>
      </c>
      <c r="AH341" s="58">
        <v>0.0</v>
      </c>
      <c r="AI341" s="58">
        <v>0.0</v>
      </c>
      <c r="AJ341" s="58">
        <v>0.0</v>
      </c>
      <c r="AK341" s="58">
        <v>0.0</v>
      </c>
      <c r="AL341" s="58">
        <v>0.0</v>
      </c>
      <c r="AM341" s="58">
        <v>0.0</v>
      </c>
      <c r="AN341" s="58">
        <v>0.0</v>
      </c>
      <c r="AO341" s="68">
        <v>5.33</v>
      </c>
      <c r="AP341" s="68">
        <v>0.0</v>
      </c>
      <c r="AQ341" s="68">
        <v>0.0</v>
      </c>
      <c r="AR341" s="68">
        <v>0.0</v>
      </c>
      <c r="AS341" s="68">
        <v>0.0</v>
      </c>
      <c r="AT341" s="68">
        <v>0.0</v>
      </c>
      <c r="AU341" s="68">
        <v>0.0</v>
      </c>
      <c r="AV341" s="68">
        <v>0.0</v>
      </c>
      <c r="AW341" s="68">
        <v>0.0</v>
      </c>
      <c r="AX341" s="68">
        <v>0.0</v>
      </c>
      <c r="AY341" s="68">
        <v>0.0</v>
      </c>
      <c r="AZ341" s="68">
        <v>0.0</v>
      </c>
      <c r="BA341" s="68">
        <v>0.0</v>
      </c>
      <c r="BB341" s="68">
        <v>5.33</v>
      </c>
      <c r="BC341" s="68" t="s">
        <v>106</v>
      </c>
      <c r="BE341" s="68"/>
      <c r="BG341" s="70">
        <v>-7.9</v>
      </c>
      <c r="BH341" s="70" t="s">
        <v>107</v>
      </c>
      <c r="BI341" s="68" t="s">
        <v>108</v>
      </c>
      <c r="BJ341" s="68" t="s">
        <v>109</v>
      </c>
      <c r="BK341" s="68" t="s">
        <v>459</v>
      </c>
      <c r="BM341" s="68"/>
      <c r="BN341" s="68" t="s">
        <v>111</v>
      </c>
      <c r="BO341" s="70" t="s">
        <v>112</v>
      </c>
      <c r="BP341" s="68" t="s">
        <v>113</v>
      </c>
      <c r="BQ341" s="68" t="s">
        <v>348</v>
      </c>
      <c r="BR341" s="68">
        <v>2.37</v>
      </c>
      <c r="BS341" s="68"/>
      <c r="BT341" s="68"/>
      <c r="BW341" s="64" t="str">
        <f>if(OR(F341="SALE",F341="REFUNDED"),IFERROR(Vlookup(I341,'Listing SKU - Fill SKU Mapping'!A:C,3,false),"Map"),"")</f>
        <v>Keystone</v>
      </c>
      <c r="BX341" s="64" t="str">
        <f>IF(OR(F341="SALE",F341="REFUNDED")=TRUE,iferror(Vlookup(I341,'Listing SKU - Fill SKU Mapping'!A:B,2,false),"Map"),"")</f>
        <v>51015S</v>
      </c>
      <c r="BY341" s="64">
        <f>IF(OR(F341="SALE",F341="REFUNDED")=TRUE,iferror(Vlookup(I341,'Listing SKU - Fill SKU Mapping'!A:D,4,false),"Map"),"")</f>
        <v>28.8</v>
      </c>
      <c r="BZ341" s="66">
        <f t="shared" si="1"/>
        <v>11.5</v>
      </c>
      <c r="CA341" s="66">
        <f t="shared" si="2"/>
        <v>40.3</v>
      </c>
      <c r="CB341" s="66">
        <f t="shared" si="3"/>
        <v>33.15</v>
      </c>
      <c r="CC341" s="64" t="str">
        <f>if(F341="REFUNDED",iferror(Vlookup(I341,'Listing SKU - Fill SKU Mapping'!A:B,2,false),"Map"),"")</f>
        <v/>
      </c>
      <c r="CD341" s="64" t="str">
        <f>if(F341="REFUNDED",iferror(Vlookup(I341,'Listing SKU - Fill SKU Mapping'!A:C,3,false),"Map"),"")</f>
        <v/>
      </c>
      <c r="CE341" s="64" t="str">
        <f t="shared" si="4"/>
        <v>2025</v>
      </c>
      <c r="CF341" s="64" t="str">
        <f t="shared" si="5"/>
        <v>October</v>
      </c>
      <c r="CG341" s="64" t="str">
        <f t="shared" si="6"/>
        <v/>
      </c>
    </row>
    <row r="342">
      <c r="A342" s="55">
        <v>2.0001E14</v>
      </c>
      <c r="B342" s="56">
        <v>1.0</v>
      </c>
      <c r="C342" s="57">
        <v>1.2903E14</v>
      </c>
      <c r="D342" s="58">
        <v>1.0</v>
      </c>
      <c r="F342" s="59" t="s">
        <v>100</v>
      </c>
      <c r="G342" s="60">
        <v>45945.0</v>
      </c>
      <c r="H342" s="58">
        <v>1.0</v>
      </c>
      <c r="I342" s="58" t="s">
        <v>342</v>
      </c>
      <c r="J342" s="61">
        <v>4.67129958634E11</v>
      </c>
      <c r="K342" s="62" t="s">
        <v>469</v>
      </c>
      <c r="L342" s="62">
        <v>2038710.0</v>
      </c>
      <c r="M342" s="63"/>
      <c r="N342" s="63"/>
      <c r="O342" s="62" t="s">
        <v>297</v>
      </c>
      <c r="P342" s="63"/>
      <c r="Q342" s="63"/>
      <c r="R342" s="62" t="s">
        <v>470</v>
      </c>
      <c r="S342" s="62">
        <v>80239.0</v>
      </c>
      <c r="T342" s="58" t="s">
        <v>105</v>
      </c>
      <c r="U342" s="59">
        <v>93.85</v>
      </c>
      <c r="V342" s="59">
        <v>79.96</v>
      </c>
      <c r="W342" s="58">
        <v>6.02</v>
      </c>
      <c r="X342" s="58">
        <v>7.0</v>
      </c>
      <c r="Y342" s="58">
        <v>10.0</v>
      </c>
      <c r="Z342" s="59">
        <v>85.98</v>
      </c>
      <c r="AA342" s="58">
        <v>0.0</v>
      </c>
      <c r="AB342" s="58">
        <v>0.0</v>
      </c>
      <c r="AC342" s="58">
        <v>0.0</v>
      </c>
      <c r="AD342" s="58">
        <v>0.0</v>
      </c>
      <c r="AE342" s="58">
        <v>0.0</v>
      </c>
      <c r="AF342" s="58">
        <v>0.0</v>
      </c>
      <c r="AG342" s="58">
        <v>0.0</v>
      </c>
      <c r="AH342" s="58">
        <v>0.0</v>
      </c>
      <c r="AI342" s="58">
        <v>0.0</v>
      </c>
      <c r="AJ342" s="58">
        <v>0.0</v>
      </c>
      <c r="AK342" s="58">
        <v>0.0</v>
      </c>
      <c r="AL342" s="58">
        <v>0.0</v>
      </c>
      <c r="AM342" s="58">
        <v>0.0</v>
      </c>
      <c r="AN342" s="58">
        <v>0.0</v>
      </c>
      <c r="AO342" s="68">
        <v>7.87</v>
      </c>
      <c r="AP342" s="68">
        <v>0.0</v>
      </c>
      <c r="AQ342" s="68">
        <v>0.0</v>
      </c>
      <c r="AR342" s="68">
        <v>0.0</v>
      </c>
      <c r="AS342" s="68">
        <v>0.0</v>
      </c>
      <c r="AT342" s="68">
        <v>0.0</v>
      </c>
      <c r="AU342" s="68">
        <v>0.0</v>
      </c>
      <c r="AV342" s="68">
        <v>0.0</v>
      </c>
      <c r="AW342" s="68">
        <v>0.0</v>
      </c>
      <c r="AX342" s="68">
        <v>0.0</v>
      </c>
      <c r="AY342" s="68">
        <v>0.0</v>
      </c>
      <c r="AZ342" s="68">
        <v>0.0</v>
      </c>
      <c r="BA342" s="68">
        <v>0.0</v>
      </c>
      <c r="BB342" s="68">
        <v>7.87</v>
      </c>
      <c r="BC342" s="68" t="s">
        <v>106</v>
      </c>
      <c r="BE342" s="68"/>
      <c r="BG342" s="70">
        <v>-8.6</v>
      </c>
      <c r="BH342" s="70" t="s">
        <v>107</v>
      </c>
      <c r="BI342" s="68" t="s">
        <v>108</v>
      </c>
      <c r="BJ342" s="68" t="s">
        <v>109</v>
      </c>
      <c r="BK342" s="68" t="s">
        <v>459</v>
      </c>
      <c r="BM342" s="68"/>
      <c r="BN342" s="68" t="s">
        <v>111</v>
      </c>
      <c r="BO342" s="70" t="s">
        <v>112</v>
      </c>
      <c r="BP342" s="68" t="s">
        <v>113</v>
      </c>
      <c r="BQ342" s="68" t="s">
        <v>348</v>
      </c>
      <c r="BR342" s="68">
        <v>2.58</v>
      </c>
      <c r="BS342" s="68"/>
      <c r="BT342" s="68"/>
      <c r="BW342" s="64" t="str">
        <f>if(OR(F342="SALE",F342="REFUNDED"),IFERROR(Vlookup(I342,'Listing SKU - Fill SKU Mapping'!A:C,3,false),"Map"),"")</f>
        <v>Keystone</v>
      </c>
      <c r="BX342" s="64" t="str">
        <f>IF(OR(F342="SALE",F342="REFUNDED")=TRUE,iferror(Vlookup(I342,'Listing SKU - Fill SKU Mapping'!A:B,2,false),"Map"),"")</f>
        <v>47016S</v>
      </c>
      <c r="BY342" s="64">
        <f>IF(OR(F342="SALE",F342="REFUNDED")=TRUE,iferror(Vlookup(I342,'Listing SKU - Fill SKU Mapping'!A:D,4,false),"Map"),"")</f>
        <v>33.53</v>
      </c>
      <c r="BZ342" s="66">
        <f t="shared" si="1"/>
        <v>11.5</v>
      </c>
      <c r="CA342" s="66">
        <f t="shared" si="2"/>
        <v>45.03</v>
      </c>
      <c r="CB342" s="66">
        <f t="shared" si="3"/>
        <v>34.93</v>
      </c>
      <c r="CC342" s="64" t="str">
        <f>if(F342="REFUNDED",iferror(Vlookup(I342,'Listing SKU - Fill SKU Mapping'!A:B,2,false),"Map"),"")</f>
        <v/>
      </c>
      <c r="CD342" s="64" t="str">
        <f>if(F342="REFUNDED",iferror(Vlookup(I342,'Listing SKU - Fill SKU Mapping'!A:C,3,false),"Map"),"")</f>
        <v/>
      </c>
      <c r="CE342" s="64" t="str">
        <f t="shared" si="4"/>
        <v>2025</v>
      </c>
      <c r="CF342" s="64" t="str">
        <f t="shared" si="5"/>
        <v>October</v>
      </c>
      <c r="CG342" s="64" t="str">
        <f t="shared" si="6"/>
        <v/>
      </c>
    </row>
    <row r="343">
      <c r="A343" s="55">
        <v>2.0001E14</v>
      </c>
      <c r="B343" s="56">
        <v>1.0</v>
      </c>
      <c r="C343" s="57">
        <v>1.2903E14</v>
      </c>
      <c r="D343" s="58">
        <v>1.0</v>
      </c>
      <c r="F343" s="59" t="s">
        <v>100</v>
      </c>
      <c r="G343" s="60">
        <v>45940.0</v>
      </c>
      <c r="H343" s="58">
        <v>1.0</v>
      </c>
      <c r="I343" s="58" t="s">
        <v>371</v>
      </c>
      <c r="J343" s="61">
        <v>4.67129923199E11</v>
      </c>
      <c r="K343" s="62" t="s">
        <v>471</v>
      </c>
      <c r="L343" s="62">
        <v>2038710.0</v>
      </c>
      <c r="M343" s="63"/>
      <c r="N343" s="63"/>
      <c r="O343" s="62" t="s">
        <v>166</v>
      </c>
      <c r="P343" s="63"/>
      <c r="Q343" s="63"/>
      <c r="R343" s="62" t="s">
        <v>472</v>
      </c>
      <c r="S343" s="62">
        <v>23320.0</v>
      </c>
      <c r="T343" s="58" t="s">
        <v>105</v>
      </c>
      <c r="U343" s="59">
        <v>68.79</v>
      </c>
      <c r="V343" s="59">
        <v>68.8</v>
      </c>
      <c r="W343" s="58">
        <v>5.18</v>
      </c>
      <c r="X343" s="58">
        <v>7.0</v>
      </c>
      <c r="Y343" s="58">
        <v>10.0</v>
      </c>
      <c r="Z343" s="59">
        <v>64.9</v>
      </c>
      <c r="AA343" s="58">
        <v>0.0</v>
      </c>
      <c r="AB343" s="58">
        <v>0.0</v>
      </c>
      <c r="AC343" s="58">
        <v>0.0</v>
      </c>
      <c r="AD343" s="58">
        <v>0.0</v>
      </c>
      <c r="AE343" s="58">
        <v>0.0</v>
      </c>
      <c r="AF343" s="58">
        <v>0.0</v>
      </c>
      <c r="AG343" s="58">
        <v>0.0</v>
      </c>
      <c r="AH343" s="58">
        <v>0.0</v>
      </c>
      <c r="AI343" s="58">
        <v>0.0</v>
      </c>
      <c r="AJ343" s="58">
        <v>0.0</v>
      </c>
      <c r="AK343" s="58">
        <v>0.0</v>
      </c>
      <c r="AL343" s="58">
        <v>0.0</v>
      </c>
      <c r="AM343" s="58">
        <v>0.0</v>
      </c>
      <c r="AN343" s="58">
        <v>0.0</v>
      </c>
      <c r="AO343" s="68">
        <v>3.89</v>
      </c>
      <c r="AP343" s="68">
        <v>0.0</v>
      </c>
      <c r="AQ343" s="68">
        <v>0.0</v>
      </c>
      <c r="AR343" s="68">
        <v>0.0</v>
      </c>
      <c r="AS343" s="68">
        <v>0.0</v>
      </c>
      <c r="AT343" s="68">
        <v>0.0</v>
      </c>
      <c r="AU343" s="68">
        <v>0.0</v>
      </c>
      <c r="AV343" s="68">
        <v>0.0</v>
      </c>
      <c r="AW343" s="68">
        <v>0.0</v>
      </c>
      <c r="AX343" s="68">
        <v>0.0</v>
      </c>
      <c r="AY343" s="68">
        <v>0.0</v>
      </c>
      <c r="AZ343" s="68">
        <v>0.0</v>
      </c>
      <c r="BA343" s="68">
        <v>0.0</v>
      </c>
      <c r="BB343" s="68">
        <v>3.89</v>
      </c>
      <c r="BC343" s="68" t="s">
        <v>106</v>
      </c>
      <c r="BE343" s="68"/>
      <c r="BF343" s="70">
        <v>73.98</v>
      </c>
      <c r="BG343" s="70">
        <v>-7.4</v>
      </c>
      <c r="BH343" s="68" t="s">
        <v>107</v>
      </c>
      <c r="BI343" s="68" t="s">
        <v>108</v>
      </c>
      <c r="BJ343" s="68" t="s">
        <v>109</v>
      </c>
      <c r="BK343" s="68" t="s">
        <v>473</v>
      </c>
      <c r="BM343" s="68"/>
      <c r="BN343" s="68" t="s">
        <v>111</v>
      </c>
      <c r="BO343" s="70" t="s">
        <v>112</v>
      </c>
      <c r="BP343" s="68" t="s">
        <v>113</v>
      </c>
      <c r="BQ343" s="68" t="s">
        <v>317</v>
      </c>
      <c r="BR343" s="68">
        <v>2.22</v>
      </c>
      <c r="BS343" s="68"/>
      <c r="BT343" s="68">
        <v>-9.08</v>
      </c>
      <c r="BU343" s="70" t="s">
        <v>318</v>
      </c>
      <c r="BV343" s="68" t="s">
        <v>318</v>
      </c>
      <c r="BW343" s="64" t="str">
        <f>if(OR(F343="SALE",F343="REFUNDED"),IFERROR(Vlookup(I343,'Listing SKU - Fill SKU Mapping'!A:C,3,false),"Map"),"")</f>
        <v>Keystone</v>
      </c>
      <c r="BX343" s="64" t="str">
        <f>IF(OR(F343="SALE",F343="REFUNDED")=TRUE,iferror(Vlookup(I343,'Listing SKU - Fill SKU Mapping'!A:B,2,false),"Map"),"")</f>
        <v>52816BLK</v>
      </c>
      <c r="BY343" s="64">
        <f>IF(OR(F343="SALE",F343="REFUNDED")=TRUE,iferror(Vlookup(I343,'Listing SKU - Fill SKU Mapping'!A:D,4,false),"Map"),"")</f>
        <v>25.64</v>
      </c>
      <c r="BZ343" s="66">
        <f t="shared" si="1"/>
        <v>11.5</v>
      </c>
      <c r="CA343" s="66">
        <f t="shared" si="2"/>
        <v>37.14</v>
      </c>
      <c r="CB343" s="66">
        <f t="shared" si="3"/>
        <v>31.66</v>
      </c>
      <c r="CC343" s="64" t="str">
        <f>if(F343="REFUNDED",iferror(Vlookup(I343,'Listing SKU - Fill SKU Mapping'!A:B,2,false),"Map"),"")</f>
        <v/>
      </c>
      <c r="CD343" s="64" t="str">
        <f>if(F343="REFUNDED",iferror(Vlookup(I343,'Listing SKU - Fill SKU Mapping'!A:C,3,false),"Map"),"")</f>
        <v/>
      </c>
      <c r="CE343" s="64" t="str">
        <f t="shared" si="4"/>
        <v>2025</v>
      </c>
      <c r="CF343" s="64" t="str">
        <f t="shared" si="5"/>
        <v>October</v>
      </c>
      <c r="CG343" s="64" t="str">
        <f t="shared" si="6"/>
        <v/>
      </c>
    </row>
    <row r="344">
      <c r="A344" s="55">
        <v>2.0001E14</v>
      </c>
      <c r="B344" s="56">
        <v>1.0</v>
      </c>
      <c r="C344" s="57">
        <v>1.1903E14</v>
      </c>
      <c r="D344" s="58">
        <v>1.0</v>
      </c>
      <c r="F344" s="59" t="s">
        <v>100</v>
      </c>
      <c r="G344" s="60">
        <v>45947.0</v>
      </c>
      <c r="H344" s="58">
        <v>1.0</v>
      </c>
      <c r="I344" s="58" t="s">
        <v>350</v>
      </c>
      <c r="J344" s="61">
        <v>4.671299282E11</v>
      </c>
      <c r="K344" s="62" t="s">
        <v>474</v>
      </c>
      <c r="L344" s="62">
        <v>2038710.0</v>
      </c>
      <c r="M344" s="63"/>
      <c r="N344" s="63"/>
      <c r="O344" s="62" t="s">
        <v>232</v>
      </c>
      <c r="P344" s="63"/>
      <c r="Q344" s="63"/>
      <c r="R344" s="62" t="s">
        <v>475</v>
      </c>
      <c r="S344" s="62">
        <v>17345.0</v>
      </c>
      <c r="T344" s="58" t="s">
        <v>105</v>
      </c>
      <c r="U344" s="59">
        <v>110.22</v>
      </c>
      <c r="V344" s="59">
        <v>96.7</v>
      </c>
      <c r="W344" s="58">
        <v>7.28</v>
      </c>
      <c r="X344" s="58">
        <v>7.0</v>
      </c>
      <c r="Y344" s="58">
        <v>10.0</v>
      </c>
      <c r="Z344" s="59">
        <v>103.98</v>
      </c>
      <c r="AA344" s="58">
        <v>0.0</v>
      </c>
      <c r="AB344" s="58">
        <v>0.0</v>
      </c>
      <c r="AC344" s="58">
        <v>0.0</v>
      </c>
      <c r="AD344" s="58">
        <v>0.0</v>
      </c>
      <c r="AE344" s="58">
        <v>0.0</v>
      </c>
      <c r="AF344" s="58">
        <v>0.0</v>
      </c>
      <c r="AG344" s="58">
        <v>0.0</v>
      </c>
      <c r="AH344" s="58">
        <v>0.0</v>
      </c>
      <c r="AI344" s="58">
        <v>0.0</v>
      </c>
      <c r="AJ344" s="58">
        <v>0.0</v>
      </c>
      <c r="AK344" s="58">
        <v>0.0</v>
      </c>
      <c r="AL344" s="58">
        <v>0.0</v>
      </c>
      <c r="AM344" s="58">
        <v>0.0</v>
      </c>
      <c r="AN344" s="58">
        <v>0.0</v>
      </c>
      <c r="AO344" s="68">
        <v>6.24</v>
      </c>
      <c r="AP344" s="68">
        <v>0.0</v>
      </c>
      <c r="AQ344" s="68">
        <v>0.0</v>
      </c>
      <c r="AR344" s="68">
        <v>0.0</v>
      </c>
      <c r="AS344" s="68">
        <v>0.0</v>
      </c>
      <c r="AT344" s="68">
        <v>0.0</v>
      </c>
      <c r="AU344" s="68">
        <v>0.0</v>
      </c>
      <c r="AV344" s="68">
        <v>0.0</v>
      </c>
      <c r="AW344" s="68">
        <v>0.0</v>
      </c>
      <c r="AX344" s="68">
        <v>0.0</v>
      </c>
      <c r="AY344" s="68">
        <v>0.0</v>
      </c>
      <c r="AZ344" s="68">
        <v>0.0</v>
      </c>
      <c r="BA344" s="68">
        <v>0.0</v>
      </c>
      <c r="BB344" s="68">
        <v>6.24</v>
      </c>
      <c r="BC344" s="68" t="s">
        <v>106</v>
      </c>
      <c r="BE344" s="68"/>
      <c r="BG344" s="70">
        <v>-10.4</v>
      </c>
      <c r="BH344" s="70" t="s">
        <v>107</v>
      </c>
      <c r="BI344" s="68" t="s">
        <v>108</v>
      </c>
      <c r="BJ344" s="68" t="s">
        <v>109</v>
      </c>
      <c r="BK344" s="68" t="s">
        <v>459</v>
      </c>
      <c r="BM344" s="68"/>
      <c r="BN344" s="68" t="s">
        <v>111</v>
      </c>
      <c r="BO344" s="70" t="s">
        <v>112</v>
      </c>
      <c r="BP344" s="68" t="s">
        <v>113</v>
      </c>
      <c r="BQ344" s="68" t="s">
        <v>348</v>
      </c>
      <c r="BR344" s="68">
        <v>3.12</v>
      </c>
      <c r="BS344" s="68"/>
      <c r="BT344" s="68"/>
      <c r="BW344" s="64" t="str">
        <f>if(OR(F344="SALE",F344="REFUNDED"),IFERROR(Vlookup(I344,'Listing SKU - Fill SKU Mapping'!A:C,3,false),"Map"),"")</f>
        <v>Keystone</v>
      </c>
      <c r="BX344" s="64" t="str">
        <f>IF(OR(F344="SALE",F344="REFUNDED")=TRUE,iferror(Vlookup(I344,'Listing SKU - Fill SKU Mapping'!A:B,2,false),"Map"),"")</f>
        <v>47117C</v>
      </c>
      <c r="BY344" s="64">
        <f>IF(OR(F344="SALE",F344="REFUNDED")=TRUE,iferror(Vlookup(I344,'Listing SKU - Fill SKU Mapping'!A:D,4,false),"Map"),"")</f>
        <v>44.18</v>
      </c>
      <c r="BZ344" s="66">
        <f t="shared" si="1"/>
        <v>11.5</v>
      </c>
      <c r="CA344" s="66">
        <f t="shared" si="2"/>
        <v>55.68</v>
      </c>
      <c r="CB344" s="66">
        <f t="shared" si="3"/>
        <v>41.02</v>
      </c>
      <c r="CC344" s="64" t="str">
        <f>if(F344="REFUNDED",iferror(Vlookup(I344,'Listing SKU - Fill SKU Mapping'!A:B,2,false),"Map"),"")</f>
        <v/>
      </c>
      <c r="CD344" s="64" t="str">
        <f>if(F344="REFUNDED",iferror(Vlookup(I344,'Listing SKU - Fill SKU Mapping'!A:C,3,false),"Map"),"")</f>
        <v/>
      </c>
      <c r="CE344" s="64" t="str">
        <f t="shared" si="4"/>
        <v>2025</v>
      </c>
      <c r="CF344" s="64" t="str">
        <f t="shared" si="5"/>
        <v>October</v>
      </c>
      <c r="CG344" s="64" t="str">
        <f t="shared" si="6"/>
        <v/>
      </c>
    </row>
    <row r="345">
      <c r="A345" s="55">
        <v>2.0001E14</v>
      </c>
      <c r="B345" s="56">
        <v>2.0</v>
      </c>
      <c r="C345" s="57">
        <v>1.2903E14</v>
      </c>
      <c r="D345" s="58">
        <v>2.0</v>
      </c>
      <c r="F345" s="59" t="s">
        <v>100</v>
      </c>
      <c r="G345" s="60">
        <v>45936.0</v>
      </c>
      <c r="H345" s="58">
        <v>1.0</v>
      </c>
      <c r="I345" s="58" t="s">
        <v>453</v>
      </c>
      <c r="J345" s="61">
        <v>4.67129937684E11</v>
      </c>
      <c r="K345" s="62" t="s">
        <v>454</v>
      </c>
      <c r="L345" s="62">
        <v>2038710.0</v>
      </c>
      <c r="M345" s="63"/>
      <c r="N345" s="63"/>
      <c r="O345" s="62" t="s">
        <v>126</v>
      </c>
      <c r="P345" s="63"/>
      <c r="Q345" s="63"/>
      <c r="R345" s="62" t="s">
        <v>476</v>
      </c>
      <c r="S345" s="62">
        <v>28806.0</v>
      </c>
      <c r="T345" s="58" t="s">
        <v>105</v>
      </c>
      <c r="U345" s="59">
        <v>79.16</v>
      </c>
      <c r="V345" s="59">
        <v>68.8</v>
      </c>
      <c r="W345" s="58">
        <v>5.18</v>
      </c>
      <c r="X345" s="58">
        <v>7.0</v>
      </c>
      <c r="Y345" s="58">
        <v>10.0</v>
      </c>
      <c r="Z345" s="59">
        <v>73.98</v>
      </c>
      <c r="AA345" s="58">
        <v>0.0</v>
      </c>
      <c r="AB345" s="58">
        <v>0.0</v>
      </c>
      <c r="AC345" s="58">
        <v>0.0</v>
      </c>
      <c r="AD345" s="58">
        <v>0.0</v>
      </c>
      <c r="AE345" s="58">
        <v>0.0</v>
      </c>
      <c r="AF345" s="58">
        <v>0.0</v>
      </c>
      <c r="AG345" s="58">
        <v>0.0</v>
      </c>
      <c r="AH345" s="58">
        <v>0.0</v>
      </c>
      <c r="AI345" s="58">
        <v>0.0</v>
      </c>
      <c r="AJ345" s="58">
        <v>0.0</v>
      </c>
      <c r="AK345" s="58">
        <v>0.0</v>
      </c>
      <c r="AL345" s="58">
        <v>0.0</v>
      </c>
      <c r="AM345" s="58">
        <v>0.0</v>
      </c>
      <c r="AN345" s="58">
        <v>0.0</v>
      </c>
      <c r="AO345" s="68">
        <v>5.18</v>
      </c>
      <c r="AP345" s="68">
        <v>0.0</v>
      </c>
      <c r="AQ345" s="68">
        <v>0.0</v>
      </c>
      <c r="AR345" s="68">
        <v>0.0</v>
      </c>
      <c r="AS345" s="68">
        <v>0.0</v>
      </c>
      <c r="AT345" s="68">
        <v>0.0</v>
      </c>
      <c r="AU345" s="68">
        <v>0.0</v>
      </c>
      <c r="AV345" s="68">
        <v>0.0</v>
      </c>
      <c r="AW345" s="68">
        <v>0.0</v>
      </c>
      <c r="AX345" s="68">
        <v>0.0</v>
      </c>
      <c r="AY345" s="68">
        <v>0.0</v>
      </c>
      <c r="AZ345" s="68">
        <v>0.0</v>
      </c>
      <c r="BA345" s="68">
        <v>0.0</v>
      </c>
      <c r="BB345" s="68">
        <v>5.18</v>
      </c>
      <c r="BC345" s="68" t="s">
        <v>106</v>
      </c>
      <c r="BE345" s="68"/>
      <c r="BG345" s="70">
        <v>-7.4</v>
      </c>
      <c r="BH345" s="70" t="s">
        <v>107</v>
      </c>
      <c r="BI345" s="68" t="s">
        <v>108</v>
      </c>
      <c r="BJ345" s="68" t="s">
        <v>109</v>
      </c>
      <c r="BK345" s="68" t="s">
        <v>450</v>
      </c>
      <c r="BM345" s="68"/>
      <c r="BN345" s="68" t="s">
        <v>111</v>
      </c>
      <c r="BO345" s="70" t="s">
        <v>112</v>
      </c>
      <c r="BP345" s="68" t="s">
        <v>113</v>
      </c>
      <c r="BQ345" s="68" t="s">
        <v>114</v>
      </c>
      <c r="BR345" s="68">
        <v>2.22</v>
      </c>
      <c r="BS345" s="68"/>
      <c r="BT345" s="68"/>
      <c r="BW345" s="64" t="str">
        <f>if(OR(F345="SALE",F345="REFUNDED"),IFERROR(Vlookup(I345,'Listing SKU - Fill SKU Mapping'!A:C,3,false),"Map"),"")</f>
        <v>Keystone</v>
      </c>
      <c r="BX345" s="64" t="str">
        <f>IF(OR(F345="SALE",F345="REFUNDED")=TRUE,iferror(Vlookup(I345,'Listing SKU - Fill SKU Mapping'!A:B,2,false),"Map"),"")</f>
        <v>42315S</v>
      </c>
      <c r="BY345" s="64">
        <f>IF(OR(F345="SALE",F345="REFUNDED")=TRUE,iferror(Vlookup(I345,'Listing SKU - Fill SKU Mapping'!A:D,4,false),"Map"),"")</f>
        <v>26.04</v>
      </c>
      <c r="BZ345" s="66">
        <f t="shared" si="1"/>
        <v>11.5</v>
      </c>
      <c r="CA345" s="66">
        <f t="shared" si="2"/>
        <v>37.54</v>
      </c>
      <c r="CB345" s="66">
        <f t="shared" si="3"/>
        <v>31.26</v>
      </c>
      <c r="CC345" s="64" t="str">
        <f>if(F345="REFUNDED",iferror(Vlookup(I345,'Listing SKU - Fill SKU Mapping'!A:B,2,false),"Map"),"")</f>
        <v/>
      </c>
      <c r="CD345" s="64" t="str">
        <f>if(F345="REFUNDED",iferror(Vlookup(I345,'Listing SKU - Fill SKU Mapping'!A:C,3,false),"Map"),"")</f>
        <v/>
      </c>
      <c r="CE345" s="64" t="str">
        <f t="shared" si="4"/>
        <v>2025</v>
      </c>
      <c r="CF345" s="64" t="str">
        <f t="shared" si="5"/>
        <v>October</v>
      </c>
      <c r="CG345" s="64" t="str">
        <f t="shared" si="6"/>
        <v/>
      </c>
    </row>
    <row r="346">
      <c r="A346" s="55">
        <v>2.0001E14</v>
      </c>
      <c r="B346" s="56">
        <v>1.0</v>
      </c>
      <c r="C346" s="57">
        <v>1.1903E14</v>
      </c>
      <c r="D346" s="58">
        <v>1.0</v>
      </c>
      <c r="F346" s="59" t="s">
        <v>100</v>
      </c>
      <c r="G346" s="60">
        <v>45947.0</v>
      </c>
      <c r="H346" s="58">
        <v>1.0</v>
      </c>
      <c r="I346" s="58" t="s">
        <v>291</v>
      </c>
      <c r="J346" s="61">
        <v>4.67129915064E11</v>
      </c>
      <c r="K346" s="62" t="s">
        <v>292</v>
      </c>
      <c r="L346" s="62">
        <v>2038710.0</v>
      </c>
      <c r="M346" s="63"/>
      <c r="N346" s="63"/>
      <c r="O346" s="62" t="s">
        <v>457</v>
      </c>
      <c r="P346" s="63"/>
      <c r="Q346" s="63"/>
      <c r="R346" s="62" t="s">
        <v>477</v>
      </c>
      <c r="S346" s="62">
        <v>42256.0</v>
      </c>
      <c r="T346" s="58" t="s">
        <v>105</v>
      </c>
      <c r="U346" s="59">
        <v>93.26</v>
      </c>
      <c r="V346" s="59">
        <v>81.82</v>
      </c>
      <c r="W346" s="58">
        <v>6.16</v>
      </c>
      <c r="X346" s="58">
        <v>7.0</v>
      </c>
      <c r="Y346" s="58">
        <v>10.0</v>
      </c>
      <c r="Z346" s="59">
        <v>87.98</v>
      </c>
      <c r="AA346" s="58">
        <v>0.0</v>
      </c>
      <c r="AB346" s="58">
        <v>0.0</v>
      </c>
      <c r="AC346" s="58">
        <v>0.0</v>
      </c>
      <c r="AD346" s="58">
        <v>0.0</v>
      </c>
      <c r="AE346" s="58">
        <v>0.0</v>
      </c>
      <c r="AF346" s="58">
        <v>0.0</v>
      </c>
      <c r="AG346" s="58">
        <v>0.0</v>
      </c>
      <c r="AH346" s="58">
        <v>0.0</v>
      </c>
      <c r="AI346" s="58">
        <v>0.0</v>
      </c>
      <c r="AJ346" s="58">
        <v>0.0</v>
      </c>
      <c r="AK346" s="58">
        <v>0.0</v>
      </c>
      <c r="AL346" s="58">
        <v>0.0</v>
      </c>
      <c r="AM346" s="58">
        <v>0.0</v>
      </c>
      <c r="AN346" s="58">
        <v>0.0</v>
      </c>
      <c r="AO346" s="68">
        <v>5.28</v>
      </c>
      <c r="AP346" s="68">
        <v>0.0</v>
      </c>
      <c r="AQ346" s="68">
        <v>0.0</v>
      </c>
      <c r="AR346" s="68">
        <v>0.0</v>
      </c>
      <c r="AS346" s="68">
        <v>0.0</v>
      </c>
      <c r="AT346" s="68">
        <v>0.0</v>
      </c>
      <c r="AU346" s="68">
        <v>0.0</v>
      </c>
      <c r="AV346" s="68">
        <v>0.0</v>
      </c>
      <c r="AW346" s="68">
        <v>0.0</v>
      </c>
      <c r="AX346" s="68">
        <v>0.0</v>
      </c>
      <c r="AY346" s="68">
        <v>0.0</v>
      </c>
      <c r="AZ346" s="68">
        <v>0.0</v>
      </c>
      <c r="BA346" s="68">
        <v>0.0</v>
      </c>
      <c r="BB346" s="68">
        <v>5.28</v>
      </c>
      <c r="BC346" s="68" t="s">
        <v>106</v>
      </c>
      <c r="BE346" s="68"/>
      <c r="BG346" s="70">
        <v>-8.8</v>
      </c>
      <c r="BH346" s="70" t="s">
        <v>107</v>
      </c>
      <c r="BI346" s="68" t="s">
        <v>108</v>
      </c>
      <c r="BJ346" s="68" t="s">
        <v>109</v>
      </c>
      <c r="BK346" s="68" t="s">
        <v>459</v>
      </c>
      <c r="BM346" s="68"/>
      <c r="BN346" s="68" t="s">
        <v>111</v>
      </c>
      <c r="BO346" s="70" t="s">
        <v>112</v>
      </c>
      <c r="BP346" s="68" t="s">
        <v>113</v>
      </c>
      <c r="BQ346" s="68" t="s">
        <v>348</v>
      </c>
      <c r="BR346" s="68">
        <v>2.64</v>
      </c>
      <c r="BS346" s="68"/>
      <c r="BT346" s="68"/>
      <c r="BW346" s="64" t="str">
        <f>if(OR(F346="SALE",F346="REFUNDED"),IFERROR(Vlookup(I346,'Listing SKU - Fill SKU Mapping'!A:C,3,false),"Map"),"")</f>
        <v>Keystone</v>
      </c>
      <c r="BX346" s="64" t="str">
        <f>IF(OR(F346="SALE",F346="REFUNDED")=TRUE,iferror(Vlookup(I346,'Listing SKU - Fill SKU Mapping'!A:B,2,false),"Map"),"")</f>
        <v>47218S</v>
      </c>
      <c r="BY346" s="64">
        <f>IF(OR(F346="SALE",F346="REFUNDED")=TRUE,iferror(Vlookup(I346,'Listing SKU - Fill SKU Mapping'!A:D,4,false),"Map"),"")</f>
        <v>34.71</v>
      </c>
      <c r="BZ346" s="66">
        <f t="shared" si="1"/>
        <v>11.5</v>
      </c>
      <c r="CA346" s="66">
        <f t="shared" si="2"/>
        <v>46.21</v>
      </c>
      <c r="CB346" s="66">
        <f t="shared" si="3"/>
        <v>35.61</v>
      </c>
      <c r="CC346" s="64" t="str">
        <f>if(F346="REFUNDED",iferror(Vlookup(I346,'Listing SKU - Fill SKU Mapping'!A:B,2,false),"Map"),"")</f>
        <v/>
      </c>
      <c r="CD346" s="64" t="str">
        <f>if(F346="REFUNDED",iferror(Vlookup(I346,'Listing SKU - Fill SKU Mapping'!A:C,3,false),"Map"),"")</f>
        <v/>
      </c>
      <c r="CE346" s="64" t="str">
        <f t="shared" si="4"/>
        <v>2025</v>
      </c>
      <c r="CF346" s="64" t="str">
        <f t="shared" si="5"/>
        <v>October</v>
      </c>
      <c r="CG346" s="64" t="str">
        <f t="shared" si="6"/>
        <v/>
      </c>
    </row>
    <row r="347">
      <c r="A347" s="55">
        <v>2.0001E14</v>
      </c>
      <c r="B347" s="56">
        <v>1.0</v>
      </c>
      <c r="C347" s="57">
        <v>1.2903E14</v>
      </c>
      <c r="D347" s="58">
        <v>1.0</v>
      </c>
      <c r="F347" s="59" t="s">
        <v>100</v>
      </c>
      <c r="G347" s="60">
        <v>45936.0</v>
      </c>
      <c r="H347" s="58">
        <v>1.0</v>
      </c>
      <c r="I347" s="58" t="s">
        <v>334</v>
      </c>
      <c r="J347" s="61">
        <v>4.67129950386E11</v>
      </c>
      <c r="K347" s="62" t="s">
        <v>478</v>
      </c>
      <c r="L347" s="62">
        <v>2038710.0</v>
      </c>
      <c r="M347" s="63"/>
      <c r="N347" s="63"/>
      <c r="O347" s="62" t="s">
        <v>274</v>
      </c>
      <c r="P347" s="63"/>
      <c r="Q347" s="63"/>
      <c r="R347" s="62" t="s">
        <v>479</v>
      </c>
      <c r="S347" s="62">
        <v>64050.0</v>
      </c>
      <c r="T347" s="58" t="s">
        <v>105</v>
      </c>
      <c r="U347" s="59">
        <v>76.02</v>
      </c>
      <c r="V347" s="59">
        <v>66.01</v>
      </c>
      <c r="W347" s="58">
        <v>4.97</v>
      </c>
      <c r="X347" s="58">
        <v>7.0</v>
      </c>
      <c r="Y347" s="58">
        <v>10.0</v>
      </c>
      <c r="Z347" s="59">
        <v>70.98</v>
      </c>
      <c r="AA347" s="58">
        <v>0.0</v>
      </c>
      <c r="AB347" s="58">
        <v>0.0</v>
      </c>
      <c r="AC347" s="58">
        <v>0.0</v>
      </c>
      <c r="AD347" s="58">
        <v>0.0</v>
      </c>
      <c r="AE347" s="58">
        <v>0.0</v>
      </c>
      <c r="AF347" s="58">
        <v>0.0</v>
      </c>
      <c r="AG347" s="58">
        <v>0.0</v>
      </c>
      <c r="AH347" s="58">
        <v>0.0</v>
      </c>
      <c r="AI347" s="58">
        <v>0.0</v>
      </c>
      <c r="AJ347" s="58">
        <v>0.0</v>
      </c>
      <c r="AK347" s="58">
        <v>0.0</v>
      </c>
      <c r="AL347" s="58">
        <v>0.0</v>
      </c>
      <c r="AM347" s="58">
        <v>0.0</v>
      </c>
      <c r="AN347" s="58">
        <v>0.0</v>
      </c>
      <c r="AO347" s="68">
        <v>5.04</v>
      </c>
      <c r="AP347" s="68">
        <v>0.0</v>
      </c>
      <c r="AQ347" s="68">
        <v>0.0</v>
      </c>
      <c r="AR347" s="68">
        <v>0.0</v>
      </c>
      <c r="AS347" s="68">
        <v>0.0</v>
      </c>
      <c r="AT347" s="68">
        <v>0.0</v>
      </c>
      <c r="AU347" s="68">
        <v>0.0</v>
      </c>
      <c r="AV347" s="68">
        <v>0.0</v>
      </c>
      <c r="AW347" s="68">
        <v>0.0</v>
      </c>
      <c r="AX347" s="68">
        <v>0.0</v>
      </c>
      <c r="AY347" s="68">
        <v>0.0</v>
      </c>
      <c r="AZ347" s="68">
        <v>0.0</v>
      </c>
      <c r="BA347" s="68">
        <v>0.0</v>
      </c>
      <c r="BB347" s="68">
        <v>5.04</v>
      </c>
      <c r="BC347" s="68" t="s">
        <v>106</v>
      </c>
      <c r="BE347" s="68"/>
      <c r="BG347" s="70">
        <v>-7.1</v>
      </c>
      <c r="BH347" s="70" t="s">
        <v>107</v>
      </c>
      <c r="BI347" s="68" t="s">
        <v>108</v>
      </c>
      <c r="BJ347" s="68" t="s">
        <v>109</v>
      </c>
      <c r="BK347" s="68" t="s">
        <v>450</v>
      </c>
      <c r="BM347" s="68"/>
      <c r="BN347" s="68" t="s">
        <v>111</v>
      </c>
      <c r="BO347" s="70" t="s">
        <v>112</v>
      </c>
      <c r="BP347" s="68" t="s">
        <v>113</v>
      </c>
      <c r="BQ347" s="68" t="s">
        <v>114</v>
      </c>
      <c r="BR347" s="68">
        <v>2.13</v>
      </c>
      <c r="BS347" s="68"/>
      <c r="BT347" s="68"/>
      <c r="BW347" s="64" t="str">
        <f>if(OR(F347="SALE",F347="REFUNDED"),IFERROR(Vlookup(I347,'Listing SKU - Fill SKU Mapping'!A:C,3,false),"Map"),"")</f>
        <v>Keystone</v>
      </c>
      <c r="BX347" s="64" t="str">
        <f>IF(OR(F347="SALE",F347="REFUNDED")=TRUE,iferror(Vlookup(I347,'Listing SKU - Fill SKU Mapping'!A:B,2,false),"Map"),"")</f>
        <v>45315S</v>
      </c>
      <c r="BY347" s="64">
        <f>IF(OR(F347="SALE",F347="REFUNDED")=TRUE,iferror(Vlookup(I347,'Listing SKU - Fill SKU Mapping'!A:D,4,false),"Map"),"")</f>
        <v>23.67</v>
      </c>
      <c r="BZ347" s="66">
        <f t="shared" si="1"/>
        <v>11.5</v>
      </c>
      <c r="CA347" s="66">
        <f t="shared" si="2"/>
        <v>35.17</v>
      </c>
      <c r="CB347" s="66">
        <f t="shared" si="3"/>
        <v>30.84</v>
      </c>
      <c r="CC347" s="64" t="str">
        <f>if(F347="REFUNDED",iferror(Vlookup(I347,'Listing SKU - Fill SKU Mapping'!A:B,2,false),"Map"),"")</f>
        <v/>
      </c>
      <c r="CD347" s="64" t="str">
        <f>if(F347="REFUNDED",iferror(Vlookup(I347,'Listing SKU - Fill SKU Mapping'!A:C,3,false),"Map"),"")</f>
        <v/>
      </c>
      <c r="CE347" s="64" t="str">
        <f t="shared" si="4"/>
        <v>2025</v>
      </c>
      <c r="CF347" s="64" t="str">
        <f t="shared" si="5"/>
        <v>October</v>
      </c>
      <c r="CG347" s="64" t="str">
        <f t="shared" si="6"/>
        <v/>
      </c>
    </row>
    <row r="348">
      <c r="A348" s="55">
        <v>2.0001E14</v>
      </c>
      <c r="B348" s="56">
        <v>1.0</v>
      </c>
      <c r="C348" s="57">
        <v>1.1903E14</v>
      </c>
      <c r="D348" s="58">
        <v>1.0</v>
      </c>
      <c r="F348" s="59" t="s">
        <v>100</v>
      </c>
      <c r="G348" s="60">
        <v>45947.0</v>
      </c>
      <c r="H348" s="58">
        <v>1.0</v>
      </c>
      <c r="I348" s="58" t="s">
        <v>338</v>
      </c>
      <c r="J348" s="61">
        <v>4.6712993485E11</v>
      </c>
      <c r="K348" s="62" t="s">
        <v>480</v>
      </c>
      <c r="L348" s="62">
        <v>2038710.0</v>
      </c>
      <c r="M348" s="63"/>
      <c r="N348" s="63"/>
      <c r="O348" s="62" t="s">
        <v>481</v>
      </c>
      <c r="P348" s="63"/>
      <c r="Q348" s="63"/>
      <c r="R348" s="62" t="s">
        <v>482</v>
      </c>
      <c r="S348" s="62">
        <v>6340.0</v>
      </c>
      <c r="T348" s="58" t="s">
        <v>105</v>
      </c>
      <c r="U348" s="59">
        <v>91.44</v>
      </c>
      <c r="V348" s="59">
        <v>79.96</v>
      </c>
      <c r="W348" s="58">
        <v>6.02</v>
      </c>
      <c r="X348" s="58">
        <v>7.0</v>
      </c>
      <c r="Y348" s="58">
        <v>10.0</v>
      </c>
      <c r="Z348" s="59">
        <v>85.98</v>
      </c>
      <c r="AA348" s="58">
        <v>0.0</v>
      </c>
      <c r="AB348" s="58">
        <v>0.0</v>
      </c>
      <c r="AC348" s="58">
        <v>0.0</v>
      </c>
      <c r="AD348" s="58">
        <v>0.0</v>
      </c>
      <c r="AE348" s="58">
        <v>0.0</v>
      </c>
      <c r="AF348" s="58">
        <v>0.0</v>
      </c>
      <c r="AG348" s="58">
        <v>0.0</v>
      </c>
      <c r="AH348" s="58">
        <v>0.0</v>
      </c>
      <c r="AI348" s="58">
        <v>0.0</v>
      </c>
      <c r="AJ348" s="58">
        <v>0.0</v>
      </c>
      <c r="AK348" s="58">
        <v>0.0</v>
      </c>
      <c r="AL348" s="58">
        <v>0.0</v>
      </c>
      <c r="AM348" s="58">
        <v>0.0</v>
      </c>
      <c r="AN348" s="58">
        <v>0.0</v>
      </c>
      <c r="AO348" s="68">
        <v>5.46</v>
      </c>
      <c r="AP348" s="68">
        <v>0.0</v>
      </c>
      <c r="AQ348" s="68">
        <v>0.0</v>
      </c>
      <c r="AR348" s="68">
        <v>0.0</v>
      </c>
      <c r="AS348" s="68">
        <v>0.0</v>
      </c>
      <c r="AT348" s="68">
        <v>0.0</v>
      </c>
      <c r="AU348" s="68">
        <v>0.0</v>
      </c>
      <c r="AV348" s="68">
        <v>0.0</v>
      </c>
      <c r="AW348" s="68">
        <v>0.0</v>
      </c>
      <c r="AX348" s="68">
        <v>0.0</v>
      </c>
      <c r="AY348" s="68">
        <v>0.0</v>
      </c>
      <c r="AZ348" s="68">
        <v>0.0</v>
      </c>
      <c r="BA348" s="68">
        <v>0.0</v>
      </c>
      <c r="BB348" s="68">
        <v>5.46</v>
      </c>
      <c r="BC348" s="68" t="s">
        <v>106</v>
      </c>
      <c r="BE348" s="68"/>
      <c r="BG348" s="70">
        <v>-8.6</v>
      </c>
      <c r="BH348" s="70" t="s">
        <v>107</v>
      </c>
      <c r="BI348" s="68" t="s">
        <v>108</v>
      </c>
      <c r="BJ348" s="68" t="s">
        <v>109</v>
      </c>
      <c r="BK348" s="68" t="s">
        <v>459</v>
      </c>
      <c r="BM348" s="68"/>
      <c r="BN348" s="68" t="s">
        <v>111</v>
      </c>
      <c r="BO348" s="70" t="s">
        <v>112</v>
      </c>
      <c r="BP348" s="68" t="s">
        <v>113</v>
      </c>
      <c r="BQ348" s="68" t="s">
        <v>348</v>
      </c>
      <c r="BR348" s="68">
        <v>2.58</v>
      </c>
      <c r="BS348" s="68"/>
      <c r="BT348" s="68"/>
      <c r="BW348" s="64" t="str">
        <f>if(OR(F348="SALE",F348="REFUNDED"),IFERROR(Vlookup(I348,'Listing SKU - Fill SKU Mapping'!A:C,3,false),"Map"),"")</f>
        <v>Keystone</v>
      </c>
      <c r="BX348" s="64" t="str">
        <f>IF(OR(F348="SALE",F348="REFUNDED")=TRUE,iferror(Vlookup(I348,'Listing SKU - Fill SKU Mapping'!A:B,2,false),"Map"),"")</f>
        <v>54216BLK</v>
      </c>
      <c r="BY348" s="64">
        <f>IF(OR(F348="SALE",F348="REFUNDED")=TRUE,iferror(Vlookup(I348,'Listing SKU - Fill SKU Mapping'!A:D,4,false),"Map"),"")</f>
        <v>33.14</v>
      </c>
      <c r="BZ348" s="66">
        <f t="shared" si="1"/>
        <v>11.5</v>
      </c>
      <c r="CA348" s="66">
        <f t="shared" si="2"/>
        <v>44.64</v>
      </c>
      <c r="CB348" s="66">
        <f t="shared" si="3"/>
        <v>35.32</v>
      </c>
      <c r="CC348" s="64" t="str">
        <f>if(F348="REFUNDED",iferror(Vlookup(I348,'Listing SKU - Fill SKU Mapping'!A:B,2,false),"Map"),"")</f>
        <v/>
      </c>
      <c r="CD348" s="64" t="str">
        <f>if(F348="REFUNDED",iferror(Vlookup(I348,'Listing SKU - Fill SKU Mapping'!A:C,3,false),"Map"),"")</f>
        <v/>
      </c>
      <c r="CE348" s="64" t="str">
        <f t="shared" si="4"/>
        <v>2025</v>
      </c>
      <c r="CF348" s="64" t="str">
        <f t="shared" si="5"/>
        <v>October</v>
      </c>
      <c r="CG348" s="64" t="str">
        <f t="shared" si="6"/>
        <v/>
      </c>
    </row>
    <row r="349">
      <c r="A349" s="55">
        <v>2.0001E14</v>
      </c>
      <c r="B349" s="56">
        <v>1.0</v>
      </c>
      <c r="C349" s="57">
        <v>1.2903E14</v>
      </c>
      <c r="D349" s="58">
        <v>1.0</v>
      </c>
      <c r="F349" s="59" t="s">
        <v>100</v>
      </c>
      <c r="G349" s="60">
        <v>45941.0</v>
      </c>
      <c r="H349" s="58">
        <v>1.0</v>
      </c>
      <c r="I349" s="58" t="s">
        <v>420</v>
      </c>
      <c r="J349" s="61">
        <v>4.50400888287E11</v>
      </c>
      <c r="K349" s="62" t="s">
        <v>483</v>
      </c>
      <c r="L349" s="62">
        <v>2038710.0</v>
      </c>
      <c r="M349" s="63"/>
      <c r="N349" s="63"/>
      <c r="O349" s="62" t="s">
        <v>207</v>
      </c>
      <c r="P349" s="63"/>
      <c r="Q349" s="63"/>
      <c r="R349" s="62" t="s">
        <v>484</v>
      </c>
      <c r="S349" s="62">
        <v>72081.0</v>
      </c>
      <c r="T349" s="58" t="s">
        <v>437</v>
      </c>
      <c r="U349" s="59">
        <v>21.63</v>
      </c>
      <c r="V349" s="59">
        <v>21.05</v>
      </c>
      <c r="W349" s="58">
        <v>1.93</v>
      </c>
      <c r="X349" s="58">
        <v>8.4</v>
      </c>
      <c r="Y349" s="58">
        <v>12.0</v>
      </c>
      <c r="Z349" s="59">
        <v>19.98</v>
      </c>
      <c r="AA349" s="58">
        <v>0.0</v>
      </c>
      <c r="AB349" s="58">
        <v>0.0</v>
      </c>
      <c r="AC349" s="58">
        <v>0.0</v>
      </c>
      <c r="AD349" s="58">
        <v>0.0</v>
      </c>
      <c r="AE349" s="58">
        <v>0.0</v>
      </c>
      <c r="AF349" s="58">
        <v>0.0</v>
      </c>
      <c r="AG349" s="58">
        <v>0.0</v>
      </c>
      <c r="AH349" s="58">
        <v>0.0</v>
      </c>
      <c r="AI349" s="58">
        <v>0.0</v>
      </c>
      <c r="AJ349" s="58">
        <v>0.0</v>
      </c>
      <c r="AK349" s="58">
        <v>0.0</v>
      </c>
      <c r="AL349" s="58">
        <v>0.0</v>
      </c>
      <c r="AM349" s="58">
        <v>0.0</v>
      </c>
      <c r="AN349" s="58">
        <v>0.0</v>
      </c>
      <c r="AO349" s="68">
        <v>1.65</v>
      </c>
      <c r="AP349" s="68">
        <v>0.0</v>
      </c>
      <c r="AQ349" s="68">
        <v>0.0</v>
      </c>
      <c r="AR349" s="68">
        <v>0.0</v>
      </c>
      <c r="AS349" s="68">
        <v>0.0</v>
      </c>
      <c r="AT349" s="68">
        <v>0.0</v>
      </c>
      <c r="AU349" s="68">
        <v>0.0</v>
      </c>
      <c r="AV349" s="68">
        <v>0.0</v>
      </c>
      <c r="AW349" s="68">
        <v>0.0</v>
      </c>
      <c r="AX349" s="68">
        <v>0.0</v>
      </c>
      <c r="AY349" s="68">
        <v>0.0</v>
      </c>
      <c r="AZ349" s="68">
        <v>0.0</v>
      </c>
      <c r="BA349" s="68">
        <v>0.0</v>
      </c>
      <c r="BB349" s="68">
        <v>1.65</v>
      </c>
      <c r="BC349" s="68" t="s">
        <v>106</v>
      </c>
      <c r="BE349" s="68"/>
      <c r="BF349" s="70">
        <v>22.98</v>
      </c>
      <c r="BG349" s="70">
        <v>-2.76</v>
      </c>
      <c r="BH349" s="68" t="s">
        <v>421</v>
      </c>
      <c r="BI349" s="68" t="s">
        <v>422</v>
      </c>
      <c r="BJ349" s="68" t="s">
        <v>423</v>
      </c>
      <c r="BK349" s="68" t="s">
        <v>473</v>
      </c>
      <c r="BM349" s="68"/>
      <c r="BN349" s="68" t="s">
        <v>111</v>
      </c>
      <c r="BO349" s="70" t="s">
        <v>424</v>
      </c>
      <c r="BP349" s="68" t="s">
        <v>113</v>
      </c>
      <c r="BQ349" s="68" t="s">
        <v>317</v>
      </c>
      <c r="BR349" s="68">
        <v>0.83</v>
      </c>
      <c r="BS349" s="68"/>
      <c r="BT349" s="68">
        <v>-3.0</v>
      </c>
      <c r="BU349" s="70" t="s">
        <v>318</v>
      </c>
      <c r="BV349" s="68" t="s">
        <v>318</v>
      </c>
      <c r="BW349" s="64" t="str">
        <f>if(OR(F349="SALE",F349="REFUNDED"),IFERROR(Vlookup(I349,'Listing SKU - Fill SKU Mapping'!A:C,3,false),"Map"),"")</f>
        <v>Map</v>
      </c>
      <c r="BX349" s="64" t="str">
        <f>IF(OR(F349="SALE",F349="REFUNDED")=TRUE,iferror(Vlookup(I349,'Listing SKU - Fill SKU Mapping'!A:B,2,false),"Map"),"")</f>
        <v>Map</v>
      </c>
      <c r="BY349" s="64" t="str">
        <f>IF(OR(F349="SALE",F349="REFUNDED")=TRUE,iferror(Vlookup(I349,'Listing SKU - Fill SKU Mapping'!A:D,4,false),"Map"),"")</f>
        <v>Map</v>
      </c>
      <c r="BZ349" s="66" t="str">
        <f t="shared" si="1"/>
        <v/>
      </c>
      <c r="CA349" s="64" t="str">
        <f t="shared" si="2"/>
        <v/>
      </c>
      <c r="CB349" s="64">
        <f t="shared" si="3"/>
        <v>21.05</v>
      </c>
      <c r="CC349" s="64" t="str">
        <f>if(F349="REFUNDED",iferror(Vlookup(I349,'Listing SKU - Fill SKU Mapping'!A:B,2,false),"Map"),"")</f>
        <v/>
      </c>
      <c r="CD349" s="64" t="str">
        <f>if(F349="REFUNDED",iferror(Vlookup(I349,'Listing SKU - Fill SKU Mapping'!A:C,3,false),"Map"),"")</f>
        <v/>
      </c>
      <c r="CE349" s="64" t="str">
        <f t="shared" si="4"/>
        <v>2025</v>
      </c>
      <c r="CF349" s="64" t="str">
        <f t="shared" si="5"/>
        <v>October</v>
      </c>
      <c r="CG349" s="64" t="str">
        <f t="shared" si="6"/>
        <v/>
      </c>
    </row>
    <row r="350">
      <c r="A350" s="55">
        <v>2.0001E14</v>
      </c>
      <c r="B350" s="56">
        <v>1.0</v>
      </c>
      <c r="C350" s="57">
        <v>1.2903E14</v>
      </c>
      <c r="D350" s="58">
        <v>1.0</v>
      </c>
      <c r="F350" s="59" t="s">
        <v>158</v>
      </c>
      <c r="G350" s="60">
        <v>45941.0</v>
      </c>
      <c r="H350" s="58">
        <v>1.0</v>
      </c>
      <c r="I350" s="58" t="s">
        <v>420</v>
      </c>
      <c r="J350" s="61">
        <v>4.50400888287E11</v>
      </c>
      <c r="K350" s="62" t="s">
        <v>483</v>
      </c>
      <c r="L350" s="62">
        <v>2038710.0</v>
      </c>
      <c r="M350" s="63"/>
      <c r="N350" s="63"/>
      <c r="O350" s="62" t="s">
        <v>207</v>
      </c>
      <c r="P350" s="63"/>
      <c r="Q350" s="63"/>
      <c r="R350" s="62" t="s">
        <v>484</v>
      </c>
      <c r="S350" s="62">
        <v>72081.0</v>
      </c>
      <c r="T350" s="58" t="s">
        <v>437</v>
      </c>
      <c r="U350" s="59">
        <v>0.0</v>
      </c>
      <c r="V350" s="59">
        <v>-6.15</v>
      </c>
      <c r="W350" s="58">
        <v>6.15</v>
      </c>
      <c r="X350" s="58">
        <v>0.0</v>
      </c>
      <c r="Z350" s="59">
        <v>0.0</v>
      </c>
      <c r="AA350" s="58">
        <v>0.0</v>
      </c>
      <c r="AB350" s="58">
        <v>0.0</v>
      </c>
      <c r="AC350" s="58">
        <v>0.0</v>
      </c>
      <c r="AD350" s="58">
        <v>0.0</v>
      </c>
      <c r="AE350" s="58">
        <v>0.0</v>
      </c>
      <c r="AF350" s="58">
        <v>0.0</v>
      </c>
      <c r="AG350" s="58">
        <v>0.0</v>
      </c>
      <c r="AH350" s="58">
        <v>0.0</v>
      </c>
      <c r="AI350" s="58">
        <v>0.0</v>
      </c>
      <c r="AJ350" s="58">
        <v>0.0</v>
      </c>
      <c r="AK350" s="58">
        <v>0.0</v>
      </c>
      <c r="AL350" s="58">
        <v>0.0</v>
      </c>
      <c r="AM350" s="58">
        <v>0.0</v>
      </c>
      <c r="AN350" s="58">
        <v>0.0</v>
      </c>
      <c r="AO350" s="68">
        <v>0.0</v>
      </c>
      <c r="AP350" s="68">
        <v>0.0</v>
      </c>
      <c r="AQ350" s="68">
        <v>0.0</v>
      </c>
      <c r="AR350" s="68">
        <v>0.0</v>
      </c>
      <c r="AS350" s="68">
        <v>0.0</v>
      </c>
      <c r="AT350" s="68">
        <v>0.0</v>
      </c>
      <c r="AU350" s="68">
        <v>0.0</v>
      </c>
      <c r="AV350" s="68">
        <v>0.0</v>
      </c>
      <c r="AW350" s="68">
        <v>0.0</v>
      </c>
      <c r="AX350" s="68">
        <v>0.0</v>
      </c>
      <c r="AY350" s="68">
        <v>0.0</v>
      </c>
      <c r="AZ350" s="68">
        <v>0.0</v>
      </c>
      <c r="BA350" s="68">
        <v>0.0</v>
      </c>
      <c r="BB350" s="68">
        <v>0.0</v>
      </c>
      <c r="BC350" s="68" t="s">
        <v>106</v>
      </c>
      <c r="BD350" s="70" t="s">
        <v>425</v>
      </c>
      <c r="BE350" s="68">
        <v>5041.0</v>
      </c>
      <c r="BF350" s="68">
        <v>22.98</v>
      </c>
      <c r="BG350" s="68"/>
      <c r="BH350" s="68" t="s">
        <v>421</v>
      </c>
      <c r="BI350" s="70" t="s">
        <v>422</v>
      </c>
      <c r="BL350" s="68"/>
      <c r="BM350" s="68"/>
      <c r="BN350" s="70" t="s">
        <v>111</v>
      </c>
      <c r="BO350" s="70" t="s">
        <v>424</v>
      </c>
      <c r="BQ350" s="68"/>
      <c r="BR350" s="68"/>
      <c r="BW350" s="64" t="str">
        <f>if(OR(F350="SALE",F350="REFUNDED"),IFERROR(Vlookup(I350,'Listing SKU - Fill SKU Mapping'!A:C,3,false),"Map"),"")</f>
        <v/>
      </c>
      <c r="BX350" s="64" t="str">
        <f>IF(OR(F350="SALE",F350="REFUNDED")=TRUE,iferror(Vlookup(I350,'Listing SKU - Fill SKU Mapping'!A:B,2,false),"Map"),"")</f>
        <v/>
      </c>
      <c r="BY350" s="64" t="str">
        <f>IF(OR(F350="SALE",F350="REFUNDED")=TRUE,iferror(Vlookup(I350,'Listing SKU - Fill SKU Mapping'!A:D,4,false),"Map"),"")</f>
        <v/>
      </c>
      <c r="BZ350" s="66" t="str">
        <f t="shared" si="1"/>
        <v/>
      </c>
      <c r="CA350" s="64" t="str">
        <f t="shared" si="2"/>
        <v/>
      </c>
      <c r="CB350" s="64" t="str">
        <f t="shared" si="3"/>
        <v/>
      </c>
      <c r="CC350" s="64" t="str">
        <f>if(F350="REFUNDED",iferror(Vlookup(I350,'Listing SKU - Fill SKU Mapping'!A:B,2,false),"Map"),"")</f>
        <v/>
      </c>
      <c r="CD350" s="64" t="str">
        <f>if(F350="REFUNDED",iferror(Vlookup(I350,'Listing SKU - Fill SKU Mapping'!A:C,3,false),"Map"),"")</f>
        <v/>
      </c>
      <c r="CE350" s="64" t="str">
        <f t="shared" si="4"/>
        <v>2025</v>
      </c>
      <c r="CF350" s="64" t="str">
        <f t="shared" si="5"/>
        <v>October</v>
      </c>
      <c r="CG350" s="64" t="str">
        <f t="shared" si="6"/>
        <v/>
      </c>
    </row>
    <row r="351">
      <c r="A351" s="55">
        <v>2.0001E14</v>
      </c>
      <c r="B351" s="56">
        <v>1.0</v>
      </c>
      <c r="C351" s="57">
        <v>1.1903E14</v>
      </c>
      <c r="D351" s="58">
        <v>1.0</v>
      </c>
      <c r="F351" s="59" t="s">
        <v>100</v>
      </c>
      <c r="G351" s="60">
        <v>45945.0</v>
      </c>
      <c r="H351" s="58">
        <v>1.0</v>
      </c>
      <c r="I351" s="58" t="s">
        <v>377</v>
      </c>
      <c r="J351" s="61">
        <v>4.66885032336E11</v>
      </c>
      <c r="K351" s="62" t="s">
        <v>485</v>
      </c>
      <c r="L351" s="62">
        <v>2038710.0</v>
      </c>
      <c r="M351" s="63"/>
      <c r="N351" s="63"/>
      <c r="O351" s="62" t="s">
        <v>145</v>
      </c>
      <c r="P351" s="63"/>
      <c r="Q351" s="63"/>
      <c r="R351" s="62" t="s">
        <v>486</v>
      </c>
      <c r="S351" s="62">
        <v>30016.0</v>
      </c>
      <c r="T351" s="58" t="s">
        <v>105</v>
      </c>
      <c r="U351" s="59">
        <v>71.58</v>
      </c>
      <c r="V351" s="59">
        <v>70.66</v>
      </c>
      <c r="W351" s="58">
        <v>5.32</v>
      </c>
      <c r="X351" s="58">
        <v>7.0</v>
      </c>
      <c r="Y351" s="58">
        <v>10.0</v>
      </c>
      <c r="Z351" s="59">
        <v>66.9</v>
      </c>
      <c r="AA351" s="58">
        <v>0.0</v>
      </c>
      <c r="AB351" s="58">
        <v>0.0</v>
      </c>
      <c r="AC351" s="58">
        <v>0.0</v>
      </c>
      <c r="AD351" s="58">
        <v>0.0</v>
      </c>
      <c r="AE351" s="58">
        <v>0.0</v>
      </c>
      <c r="AF351" s="58">
        <v>0.0</v>
      </c>
      <c r="AG351" s="58">
        <v>0.0</v>
      </c>
      <c r="AH351" s="58">
        <v>0.0</v>
      </c>
      <c r="AI351" s="58">
        <v>0.0</v>
      </c>
      <c r="AJ351" s="58">
        <v>0.0</v>
      </c>
      <c r="AK351" s="58">
        <v>0.0</v>
      </c>
      <c r="AL351" s="58">
        <v>0.0</v>
      </c>
      <c r="AM351" s="58">
        <v>0.0</v>
      </c>
      <c r="AN351" s="58">
        <v>0.0</v>
      </c>
      <c r="AO351" s="68">
        <v>4.68</v>
      </c>
      <c r="AP351" s="68">
        <v>0.0</v>
      </c>
      <c r="AQ351" s="68">
        <v>0.0</v>
      </c>
      <c r="AR351" s="68">
        <v>0.0</v>
      </c>
      <c r="AS351" s="68">
        <v>0.0</v>
      </c>
      <c r="AT351" s="68">
        <v>0.0</v>
      </c>
      <c r="AU351" s="68">
        <v>0.0</v>
      </c>
      <c r="AV351" s="68">
        <v>0.0</v>
      </c>
      <c r="AW351" s="68">
        <v>0.0</v>
      </c>
      <c r="AX351" s="68">
        <v>0.0</v>
      </c>
      <c r="AY351" s="68">
        <v>0.0</v>
      </c>
      <c r="AZ351" s="68">
        <v>0.0</v>
      </c>
      <c r="BA351" s="68">
        <v>0.0</v>
      </c>
      <c r="BB351" s="68">
        <v>4.68</v>
      </c>
      <c r="BC351" s="68" t="s">
        <v>106</v>
      </c>
      <c r="BE351" s="68"/>
      <c r="BF351" s="70">
        <v>75.98</v>
      </c>
      <c r="BG351" s="70">
        <v>-7.6</v>
      </c>
      <c r="BH351" s="68" t="s">
        <v>107</v>
      </c>
      <c r="BI351" s="68" t="s">
        <v>108</v>
      </c>
      <c r="BJ351" s="68" t="s">
        <v>109</v>
      </c>
      <c r="BK351" s="68" t="s">
        <v>473</v>
      </c>
      <c r="BM351" s="68"/>
      <c r="BN351" s="68" t="s">
        <v>111</v>
      </c>
      <c r="BO351" s="70" t="s">
        <v>112</v>
      </c>
      <c r="BP351" s="68" t="s">
        <v>113</v>
      </c>
      <c r="BQ351" s="68" t="s">
        <v>317</v>
      </c>
      <c r="BR351" s="68">
        <v>2.28</v>
      </c>
      <c r="BS351" s="68"/>
      <c r="BT351" s="68">
        <v>-9.08</v>
      </c>
      <c r="BU351" s="70" t="s">
        <v>318</v>
      </c>
      <c r="BV351" s="68" t="s">
        <v>318</v>
      </c>
      <c r="BW351" s="64" t="str">
        <f>if(OR(F351="SALE",F351="REFUNDED"),IFERROR(Vlookup(I351,'Listing SKU - Fill SKU Mapping'!A:C,3,false),"Map"),"")</f>
        <v>Keystone</v>
      </c>
      <c r="BX351" s="64" t="str">
        <f>IF(OR(F351="SALE",F351="REFUNDED")=TRUE,iferror(Vlookup(I351,'Listing SKU - Fill SKU Mapping'!A:B,2,false),"Map"),"")</f>
        <v>20515S</v>
      </c>
      <c r="BY351" s="64">
        <f>IF(OR(F351="SALE",F351="REFUNDED")=TRUE,iferror(Vlookup(I351,'Listing SKU - Fill SKU Mapping'!A:D,4,false),"Map"),"")</f>
        <v>26.82</v>
      </c>
      <c r="BZ351" s="66">
        <f t="shared" si="1"/>
        <v>11.5</v>
      </c>
      <c r="CA351" s="66">
        <f t="shared" si="2"/>
        <v>38.32</v>
      </c>
      <c r="CB351" s="66">
        <f t="shared" si="3"/>
        <v>32.34</v>
      </c>
      <c r="CC351" s="64" t="str">
        <f>if(F351="REFUNDED",iferror(Vlookup(I351,'Listing SKU - Fill SKU Mapping'!A:B,2,false),"Map"),"")</f>
        <v/>
      </c>
      <c r="CD351" s="64" t="str">
        <f>if(F351="REFUNDED",iferror(Vlookup(I351,'Listing SKU - Fill SKU Mapping'!A:C,3,false),"Map"),"")</f>
        <v/>
      </c>
      <c r="CE351" s="64" t="str">
        <f t="shared" si="4"/>
        <v>2025</v>
      </c>
      <c r="CF351" s="64" t="str">
        <f t="shared" si="5"/>
        <v>October</v>
      </c>
      <c r="CG351" s="64" t="str">
        <f t="shared" si="6"/>
        <v/>
      </c>
    </row>
    <row r="352">
      <c r="A352" s="55">
        <v>2.0001E14</v>
      </c>
      <c r="B352" s="56">
        <v>1.0</v>
      </c>
      <c r="C352" s="57">
        <v>1.2903E14</v>
      </c>
      <c r="D352" s="58">
        <v>1.0</v>
      </c>
      <c r="F352" s="59" t="s">
        <v>100</v>
      </c>
      <c r="G352" s="60">
        <v>45938.0</v>
      </c>
      <c r="H352" s="58">
        <v>1.0</v>
      </c>
      <c r="I352" s="58" t="s">
        <v>487</v>
      </c>
      <c r="J352" s="61">
        <v>4.66885067475E11</v>
      </c>
      <c r="K352" s="62" t="s">
        <v>488</v>
      </c>
      <c r="L352" s="62">
        <v>2038710.0</v>
      </c>
      <c r="M352" s="63"/>
      <c r="N352" s="63"/>
      <c r="O352" s="62" t="s">
        <v>126</v>
      </c>
      <c r="P352" s="63"/>
      <c r="Q352" s="63"/>
      <c r="R352" s="62" t="s">
        <v>468</v>
      </c>
      <c r="S352" s="62">
        <v>27215.0</v>
      </c>
      <c r="T352" s="58" t="s">
        <v>105</v>
      </c>
      <c r="U352" s="59">
        <v>110.91</v>
      </c>
      <c r="V352" s="59">
        <v>109.72</v>
      </c>
      <c r="W352" s="58">
        <v>8.26</v>
      </c>
      <c r="X352" s="58">
        <v>7.0</v>
      </c>
      <c r="Y352" s="58">
        <v>10.0</v>
      </c>
      <c r="Z352" s="59">
        <v>103.9</v>
      </c>
      <c r="AA352" s="58">
        <v>0.0</v>
      </c>
      <c r="AB352" s="58">
        <v>0.0</v>
      </c>
      <c r="AC352" s="58">
        <v>0.0</v>
      </c>
      <c r="AD352" s="58">
        <v>0.0</v>
      </c>
      <c r="AE352" s="58">
        <v>0.0</v>
      </c>
      <c r="AF352" s="58">
        <v>0.0</v>
      </c>
      <c r="AG352" s="58">
        <v>0.0</v>
      </c>
      <c r="AH352" s="58">
        <v>0.0</v>
      </c>
      <c r="AI352" s="58">
        <v>0.0</v>
      </c>
      <c r="AJ352" s="58">
        <v>0.0</v>
      </c>
      <c r="AK352" s="58">
        <v>0.0</v>
      </c>
      <c r="AL352" s="58">
        <v>0.0</v>
      </c>
      <c r="AM352" s="58">
        <v>0.0</v>
      </c>
      <c r="AN352" s="58">
        <v>0.0</v>
      </c>
      <c r="AO352" s="68">
        <v>7.01</v>
      </c>
      <c r="AP352" s="68">
        <v>0.0</v>
      </c>
      <c r="AQ352" s="68">
        <v>0.0</v>
      </c>
      <c r="AR352" s="68">
        <v>0.0</v>
      </c>
      <c r="AS352" s="68">
        <v>0.0</v>
      </c>
      <c r="AT352" s="68">
        <v>0.0</v>
      </c>
      <c r="AU352" s="68">
        <v>0.0</v>
      </c>
      <c r="AV352" s="68">
        <v>0.0</v>
      </c>
      <c r="AW352" s="68">
        <v>0.0</v>
      </c>
      <c r="AX352" s="68">
        <v>0.0</v>
      </c>
      <c r="AY352" s="68">
        <v>0.0</v>
      </c>
      <c r="AZ352" s="68">
        <v>0.0</v>
      </c>
      <c r="BA352" s="68">
        <v>0.0</v>
      </c>
      <c r="BB352" s="68">
        <v>7.01</v>
      </c>
      <c r="BC352" s="68" t="s">
        <v>106</v>
      </c>
      <c r="BE352" s="68"/>
      <c r="BF352" s="70">
        <v>117.98</v>
      </c>
      <c r="BG352" s="70">
        <v>-11.8</v>
      </c>
      <c r="BH352" s="68" t="s">
        <v>107</v>
      </c>
      <c r="BI352" s="68" t="s">
        <v>108</v>
      </c>
      <c r="BJ352" s="68" t="s">
        <v>109</v>
      </c>
      <c r="BK352" s="68" t="s">
        <v>450</v>
      </c>
      <c r="BM352" s="68"/>
      <c r="BN352" s="68" t="s">
        <v>111</v>
      </c>
      <c r="BO352" s="70" t="s">
        <v>112</v>
      </c>
      <c r="BP352" s="68" t="s">
        <v>113</v>
      </c>
      <c r="BQ352" s="68" t="s">
        <v>317</v>
      </c>
      <c r="BR352" s="68">
        <v>3.54</v>
      </c>
      <c r="BS352" s="68"/>
      <c r="BT352" s="68">
        <v>-14.08</v>
      </c>
      <c r="BU352" s="70" t="s">
        <v>318</v>
      </c>
      <c r="BV352" s="68" t="s">
        <v>318</v>
      </c>
      <c r="BW352" s="64" t="str">
        <f>if(OR(F352="SALE",F352="REFUNDED"),IFERROR(Vlookup(I352,'Listing SKU - Fill SKU Mapping'!A:C,3,false),"Map"),"")</f>
        <v>Keystone</v>
      </c>
      <c r="BX352" s="64" t="str">
        <f>IF(OR(F352="SALE",F352="REFUNDED")=TRUE,iferror(Vlookup(I352,'Listing SKU - Fill SKU Mapping'!A:B,2,false),"Map"),"")</f>
        <v>17816C</v>
      </c>
      <c r="BY352" s="64">
        <f>IF(OR(F352="SALE",F352="REFUNDED")=TRUE,iferror(Vlookup(I352,'Listing SKU - Fill SKU Mapping'!A:D,4,false),"Map"),"")</f>
        <v>53.25</v>
      </c>
      <c r="BZ352" s="66">
        <f t="shared" si="1"/>
        <v>11.5</v>
      </c>
      <c r="CA352" s="66">
        <f t="shared" si="2"/>
        <v>64.75</v>
      </c>
      <c r="CB352" s="66">
        <f t="shared" si="3"/>
        <v>44.97</v>
      </c>
      <c r="CC352" s="64" t="str">
        <f>if(F352="REFUNDED",iferror(Vlookup(I352,'Listing SKU - Fill SKU Mapping'!A:B,2,false),"Map"),"")</f>
        <v/>
      </c>
      <c r="CD352" s="64" t="str">
        <f>if(F352="REFUNDED",iferror(Vlookup(I352,'Listing SKU - Fill SKU Mapping'!A:C,3,false),"Map"),"")</f>
        <v/>
      </c>
      <c r="CE352" s="64" t="str">
        <f t="shared" si="4"/>
        <v>2025</v>
      </c>
      <c r="CF352" s="64" t="str">
        <f t="shared" si="5"/>
        <v>October</v>
      </c>
      <c r="CG352" s="64" t="str">
        <f t="shared" si="6"/>
        <v/>
      </c>
    </row>
    <row r="353">
      <c r="A353" s="55">
        <v>2.0001E14</v>
      </c>
      <c r="B353" s="56">
        <v>1.0</v>
      </c>
      <c r="C353" s="57">
        <v>1.2903E14</v>
      </c>
      <c r="D353" s="58">
        <v>1.0</v>
      </c>
      <c r="F353" s="59" t="s">
        <v>100</v>
      </c>
      <c r="G353" s="60">
        <v>45936.0</v>
      </c>
      <c r="H353" s="58">
        <v>1.0</v>
      </c>
      <c r="I353" s="58" t="s">
        <v>489</v>
      </c>
      <c r="J353" s="61">
        <v>4.60776237695E11</v>
      </c>
      <c r="K353" s="62" t="s">
        <v>490</v>
      </c>
      <c r="L353" s="62">
        <v>2038710.0</v>
      </c>
      <c r="M353" s="63"/>
      <c r="N353" s="63"/>
      <c r="O353" s="62" t="s">
        <v>192</v>
      </c>
      <c r="P353" s="63"/>
      <c r="Q353" s="63"/>
      <c r="R353" s="62" t="s">
        <v>491</v>
      </c>
      <c r="S353" s="62">
        <v>53559.0</v>
      </c>
      <c r="T353" s="58" t="s">
        <v>105</v>
      </c>
      <c r="U353" s="59">
        <v>133.96</v>
      </c>
      <c r="V353" s="59">
        <v>118.09</v>
      </c>
      <c r="W353" s="58">
        <v>8.89</v>
      </c>
      <c r="X353" s="58">
        <v>7.0</v>
      </c>
      <c r="Y353" s="58">
        <v>10.0</v>
      </c>
      <c r="Z353" s="59">
        <v>126.98</v>
      </c>
      <c r="AA353" s="58">
        <v>0.0</v>
      </c>
      <c r="AB353" s="58">
        <v>0.0</v>
      </c>
      <c r="AC353" s="58">
        <v>0.0</v>
      </c>
      <c r="AD353" s="58">
        <v>0.0</v>
      </c>
      <c r="AE353" s="58">
        <v>0.0</v>
      </c>
      <c r="AF353" s="58">
        <v>0.0</v>
      </c>
      <c r="AG353" s="58">
        <v>0.0</v>
      </c>
      <c r="AH353" s="58">
        <v>0.0</v>
      </c>
      <c r="AI353" s="58">
        <v>0.0</v>
      </c>
      <c r="AJ353" s="58">
        <v>0.0</v>
      </c>
      <c r="AK353" s="58">
        <v>0.0</v>
      </c>
      <c r="AL353" s="58">
        <v>0.0</v>
      </c>
      <c r="AM353" s="58">
        <v>0.0</v>
      </c>
      <c r="AN353" s="58">
        <v>0.0</v>
      </c>
      <c r="AO353" s="68">
        <v>6.98</v>
      </c>
      <c r="AP353" s="68">
        <v>0.0</v>
      </c>
      <c r="AQ353" s="68">
        <v>0.0</v>
      </c>
      <c r="AR353" s="68">
        <v>0.0</v>
      </c>
      <c r="AS353" s="68">
        <v>0.0</v>
      </c>
      <c r="AT353" s="68">
        <v>0.0</v>
      </c>
      <c r="AU353" s="68">
        <v>0.0</v>
      </c>
      <c r="AV353" s="68">
        <v>0.0</v>
      </c>
      <c r="AW353" s="68">
        <v>0.0</v>
      </c>
      <c r="AX353" s="68">
        <v>0.0</v>
      </c>
      <c r="AY353" s="68">
        <v>0.0</v>
      </c>
      <c r="AZ353" s="68">
        <v>0.0</v>
      </c>
      <c r="BA353" s="68">
        <v>0.0</v>
      </c>
      <c r="BB353" s="68">
        <v>6.98</v>
      </c>
      <c r="BC353" s="68" t="s">
        <v>106</v>
      </c>
      <c r="BE353" s="68"/>
      <c r="BG353" s="70">
        <v>-12.7</v>
      </c>
      <c r="BH353" s="70" t="s">
        <v>107</v>
      </c>
      <c r="BI353" s="68" t="s">
        <v>108</v>
      </c>
      <c r="BJ353" s="68" t="s">
        <v>109</v>
      </c>
      <c r="BK353" s="68" t="s">
        <v>450</v>
      </c>
      <c r="BM353" s="68"/>
      <c r="BN353" s="68" t="s">
        <v>111</v>
      </c>
      <c r="BO353" s="70" t="s">
        <v>112</v>
      </c>
      <c r="BP353" s="68" t="s">
        <v>113</v>
      </c>
      <c r="BQ353" s="68" t="s">
        <v>114</v>
      </c>
      <c r="BR353" s="68">
        <v>3.81</v>
      </c>
      <c r="BS353" s="68"/>
      <c r="BT353" s="68"/>
      <c r="BW353" s="64" t="str">
        <f>if(OR(F353="SALE",F353="REFUNDED"),IFERROR(Vlookup(I353,'Listing SKU - Fill SKU Mapping'!A:C,3,false),"Map"),"")</f>
        <v>Keystone</v>
      </c>
      <c r="BX353" s="64" t="str">
        <f>IF(OR(F353="SALE",F353="REFUNDED")=TRUE,iferror(Vlookup(I353,'Listing SKU - Fill SKU Mapping'!A:B,2,false),"Map"),"")</f>
        <v>IMP431X</v>
      </c>
      <c r="BY353" s="64">
        <f>IF(OR(F353="SALE",F353="REFUNDED")=TRUE,iferror(Vlookup(I353,'Listing SKU - Fill SKU Mapping'!A:D,4,false),"Map"),"")</f>
        <v>61.54</v>
      </c>
      <c r="BZ353" s="66">
        <f t="shared" si="1"/>
        <v>11.5</v>
      </c>
      <c r="CA353" s="66">
        <f t="shared" si="2"/>
        <v>73.04</v>
      </c>
      <c r="CB353" s="66">
        <f t="shared" si="3"/>
        <v>45.05</v>
      </c>
      <c r="CC353" s="64" t="str">
        <f>if(F353="REFUNDED",iferror(Vlookup(I353,'Listing SKU - Fill SKU Mapping'!A:B,2,false),"Map"),"")</f>
        <v/>
      </c>
      <c r="CD353" s="64" t="str">
        <f>if(F353="REFUNDED",iferror(Vlookup(I353,'Listing SKU - Fill SKU Mapping'!A:C,3,false),"Map"),"")</f>
        <v/>
      </c>
      <c r="CE353" s="64" t="str">
        <f t="shared" si="4"/>
        <v>2025</v>
      </c>
      <c r="CF353" s="64" t="str">
        <f t="shared" si="5"/>
        <v>October</v>
      </c>
      <c r="CG353" s="64" t="str">
        <f t="shared" si="6"/>
        <v/>
      </c>
    </row>
    <row r="354">
      <c r="A354" s="55">
        <v>2.0001E14</v>
      </c>
      <c r="B354" s="56">
        <v>1.0</v>
      </c>
      <c r="C354" s="57">
        <v>1.2903E14</v>
      </c>
      <c r="D354" s="58">
        <v>1.0</v>
      </c>
      <c r="F354" s="59" t="s">
        <v>100</v>
      </c>
      <c r="G354" s="60">
        <v>45937.0</v>
      </c>
      <c r="H354" s="58">
        <v>1.0</v>
      </c>
      <c r="I354" s="58" t="s">
        <v>492</v>
      </c>
      <c r="J354" s="61">
        <v>4.60776238272E11</v>
      </c>
      <c r="K354" s="62" t="s">
        <v>493</v>
      </c>
      <c r="L354" s="62">
        <v>2038710.0</v>
      </c>
      <c r="M354" s="63"/>
      <c r="N354" s="63"/>
      <c r="O354" s="62" t="s">
        <v>227</v>
      </c>
      <c r="P354" s="63"/>
      <c r="Q354" s="63"/>
      <c r="R354" s="62" t="s">
        <v>494</v>
      </c>
      <c r="S354" s="62">
        <v>48813.0</v>
      </c>
      <c r="T354" s="58" t="s">
        <v>105</v>
      </c>
      <c r="U354" s="59">
        <v>102.8</v>
      </c>
      <c r="V354" s="59">
        <v>90.19</v>
      </c>
      <c r="W354" s="58">
        <v>6.79</v>
      </c>
      <c r="X354" s="58">
        <v>7.0</v>
      </c>
      <c r="Y354" s="58">
        <v>10.0</v>
      </c>
      <c r="Z354" s="59">
        <v>96.98</v>
      </c>
      <c r="AA354" s="58">
        <v>0.0</v>
      </c>
      <c r="AB354" s="58">
        <v>0.0</v>
      </c>
      <c r="AC354" s="58">
        <v>0.0</v>
      </c>
      <c r="AD354" s="58">
        <v>0.0</v>
      </c>
      <c r="AE354" s="58">
        <v>0.0</v>
      </c>
      <c r="AF354" s="58">
        <v>0.0</v>
      </c>
      <c r="AG354" s="58">
        <v>0.0</v>
      </c>
      <c r="AH354" s="58">
        <v>0.0</v>
      </c>
      <c r="AI354" s="58">
        <v>0.0</v>
      </c>
      <c r="AJ354" s="58">
        <v>0.0</v>
      </c>
      <c r="AK354" s="58">
        <v>0.0</v>
      </c>
      <c r="AL354" s="58">
        <v>0.0</v>
      </c>
      <c r="AM354" s="58">
        <v>0.0</v>
      </c>
      <c r="AN354" s="58">
        <v>0.0</v>
      </c>
      <c r="AO354" s="68">
        <v>5.82</v>
      </c>
      <c r="AP354" s="68">
        <v>0.0</v>
      </c>
      <c r="AQ354" s="68">
        <v>0.0</v>
      </c>
      <c r="AR354" s="68">
        <v>0.0</v>
      </c>
      <c r="AS354" s="68">
        <v>0.0</v>
      </c>
      <c r="AT354" s="68">
        <v>0.0</v>
      </c>
      <c r="AU354" s="68">
        <v>0.0</v>
      </c>
      <c r="AV354" s="68">
        <v>0.0</v>
      </c>
      <c r="AW354" s="68">
        <v>0.0</v>
      </c>
      <c r="AX354" s="68">
        <v>0.0</v>
      </c>
      <c r="AY354" s="68">
        <v>0.0</v>
      </c>
      <c r="AZ354" s="68">
        <v>0.0</v>
      </c>
      <c r="BA354" s="68">
        <v>0.0</v>
      </c>
      <c r="BB354" s="68">
        <v>5.82</v>
      </c>
      <c r="BC354" s="68" t="s">
        <v>106</v>
      </c>
      <c r="BE354" s="68"/>
      <c r="BG354" s="70">
        <v>-9.7</v>
      </c>
      <c r="BH354" s="70" t="s">
        <v>107</v>
      </c>
      <c r="BI354" s="68" t="s">
        <v>108</v>
      </c>
      <c r="BJ354" s="68" t="s">
        <v>109</v>
      </c>
      <c r="BK354" s="68" t="s">
        <v>450</v>
      </c>
      <c r="BM354" s="68"/>
      <c r="BN354" s="68" t="s">
        <v>111</v>
      </c>
      <c r="BO354" s="70" t="s">
        <v>112</v>
      </c>
      <c r="BP354" s="68" t="s">
        <v>113</v>
      </c>
      <c r="BQ354" s="68" t="s">
        <v>114</v>
      </c>
      <c r="BR354" s="68">
        <v>2.91</v>
      </c>
      <c r="BS354" s="68"/>
      <c r="BT354" s="68"/>
      <c r="BW354" s="64" t="str">
        <f>if(OR(F354="SALE",F354="REFUNDED"),IFERROR(Vlookup(I354,'Listing SKU - Fill SKU Mapping'!A:C,3,false),"Map"),"")</f>
        <v>Keystone</v>
      </c>
      <c r="BX354" s="64" t="str">
        <f>IF(OR(F354="SALE",F354="REFUNDED")=TRUE,iferror(Vlookup(I354,'Listing SKU - Fill SKU Mapping'!A:B,2,false),"Map"),"")</f>
        <v>IMP88BLK</v>
      </c>
      <c r="BY354" s="64">
        <f>IF(OR(F354="SALE",F354="REFUNDED")=TRUE,iferror(Vlookup(I354,'Listing SKU - Fill SKU Mapping'!A:D,4,false),"Map"),"")</f>
        <v>42.6</v>
      </c>
      <c r="BZ354" s="66">
        <f t="shared" si="1"/>
        <v>11.5</v>
      </c>
      <c r="CA354" s="66">
        <f t="shared" si="2"/>
        <v>54.1</v>
      </c>
      <c r="CB354" s="66">
        <f t="shared" si="3"/>
        <v>36.09</v>
      </c>
      <c r="CC354" s="64" t="str">
        <f>if(F354="REFUNDED",iferror(Vlookup(I354,'Listing SKU - Fill SKU Mapping'!A:B,2,false),"Map"),"")</f>
        <v/>
      </c>
      <c r="CD354" s="64" t="str">
        <f>if(F354="REFUNDED",iferror(Vlookup(I354,'Listing SKU - Fill SKU Mapping'!A:C,3,false),"Map"),"")</f>
        <v/>
      </c>
      <c r="CE354" s="64" t="str">
        <f t="shared" si="4"/>
        <v>2025</v>
      </c>
      <c r="CF354" s="64" t="str">
        <f t="shared" si="5"/>
        <v>October</v>
      </c>
      <c r="CG354" s="64" t="str">
        <f t="shared" si="6"/>
        <v/>
      </c>
    </row>
    <row r="355">
      <c r="A355" s="55">
        <v>2.0001E14</v>
      </c>
      <c r="B355" s="56">
        <v>1.0</v>
      </c>
      <c r="C355" s="57">
        <v>1.2903E14</v>
      </c>
      <c r="D355" s="58">
        <v>1.0</v>
      </c>
      <c r="F355" s="59" t="s">
        <v>100</v>
      </c>
      <c r="G355" s="60">
        <v>45939.0</v>
      </c>
      <c r="H355" s="58">
        <v>1.0</v>
      </c>
      <c r="I355" s="58" t="s">
        <v>331</v>
      </c>
      <c r="J355" s="61">
        <v>4.67129941643E11</v>
      </c>
      <c r="K355" s="62" t="s">
        <v>495</v>
      </c>
      <c r="L355" s="62">
        <v>2038710.0</v>
      </c>
      <c r="M355" s="63"/>
      <c r="N355" s="63"/>
      <c r="O355" s="62" t="s">
        <v>170</v>
      </c>
      <c r="P355" s="63"/>
      <c r="Q355" s="63"/>
      <c r="R355" s="62" t="s">
        <v>496</v>
      </c>
      <c r="S355" s="62">
        <v>47909.0</v>
      </c>
      <c r="T355" s="58" t="s">
        <v>105</v>
      </c>
      <c r="U355" s="59">
        <v>103.77</v>
      </c>
      <c r="V355" s="59">
        <v>90.19</v>
      </c>
      <c r="W355" s="58">
        <v>6.79</v>
      </c>
      <c r="X355" s="58">
        <v>7.0</v>
      </c>
      <c r="Y355" s="58">
        <v>10.0</v>
      </c>
      <c r="Z355" s="59">
        <v>96.98</v>
      </c>
      <c r="AA355" s="58">
        <v>0.0</v>
      </c>
      <c r="AB355" s="58">
        <v>0.0</v>
      </c>
      <c r="AC355" s="58">
        <v>0.0</v>
      </c>
      <c r="AD355" s="58">
        <v>0.0</v>
      </c>
      <c r="AE355" s="58">
        <v>0.0</v>
      </c>
      <c r="AF355" s="58">
        <v>0.0</v>
      </c>
      <c r="AG355" s="58">
        <v>0.0</v>
      </c>
      <c r="AH355" s="58">
        <v>0.0</v>
      </c>
      <c r="AI355" s="58">
        <v>0.0</v>
      </c>
      <c r="AJ355" s="58">
        <v>0.0</v>
      </c>
      <c r="AK355" s="58">
        <v>0.0</v>
      </c>
      <c r="AL355" s="58">
        <v>0.0</v>
      </c>
      <c r="AM355" s="58">
        <v>0.0</v>
      </c>
      <c r="AN355" s="58">
        <v>0.0</v>
      </c>
      <c r="AO355" s="68">
        <v>6.79</v>
      </c>
      <c r="AP355" s="68">
        <v>0.0</v>
      </c>
      <c r="AQ355" s="68">
        <v>0.0</v>
      </c>
      <c r="AR355" s="68">
        <v>0.0</v>
      </c>
      <c r="AS355" s="68">
        <v>0.0</v>
      </c>
      <c r="AT355" s="68">
        <v>0.0</v>
      </c>
      <c r="AU355" s="68">
        <v>0.0</v>
      </c>
      <c r="AV355" s="68">
        <v>0.0</v>
      </c>
      <c r="AW355" s="68">
        <v>0.0</v>
      </c>
      <c r="AX355" s="68">
        <v>0.0</v>
      </c>
      <c r="AY355" s="68">
        <v>0.0</v>
      </c>
      <c r="AZ355" s="68">
        <v>0.0</v>
      </c>
      <c r="BA355" s="68">
        <v>0.0</v>
      </c>
      <c r="BB355" s="68">
        <v>6.79</v>
      </c>
      <c r="BC355" s="68" t="s">
        <v>106</v>
      </c>
      <c r="BE355" s="68"/>
      <c r="BG355" s="70">
        <v>-9.7</v>
      </c>
      <c r="BH355" s="70" t="s">
        <v>107</v>
      </c>
      <c r="BI355" s="68" t="s">
        <v>108</v>
      </c>
      <c r="BJ355" s="68" t="s">
        <v>109</v>
      </c>
      <c r="BK355" s="68" t="s">
        <v>450</v>
      </c>
      <c r="BM355" s="68"/>
      <c r="BN355" s="68" t="s">
        <v>111</v>
      </c>
      <c r="BO355" s="70" t="s">
        <v>112</v>
      </c>
      <c r="BP355" s="68" t="s">
        <v>113</v>
      </c>
      <c r="BQ355" s="68" t="s">
        <v>114</v>
      </c>
      <c r="BR355" s="68">
        <v>2.91</v>
      </c>
      <c r="BS355" s="68"/>
      <c r="BT355" s="68"/>
      <c r="BW355" s="64" t="str">
        <f>if(OR(F355="SALE",F355="REFUNDED"),IFERROR(Vlookup(I355,'Listing SKU - Fill SKU Mapping'!A:C,3,false),"Map"),"")</f>
        <v>Keystone</v>
      </c>
      <c r="BX355" s="64" t="str">
        <f>IF(OR(F355="SALE",F355="REFUNDED")=TRUE,iferror(Vlookup(I355,'Listing SKU - Fill SKU Mapping'!A:B,2,false),"Map"),"")</f>
        <v>46817S</v>
      </c>
      <c r="BY355" s="64">
        <f>IF(OR(F355="SALE",F355="REFUNDED")=TRUE,iferror(Vlookup(I355,'Listing SKU - Fill SKU Mapping'!A:D,4,false),"Map"),"")</f>
        <v>39.84</v>
      </c>
      <c r="BZ355" s="66">
        <f t="shared" si="1"/>
        <v>11.5</v>
      </c>
      <c r="CA355" s="66">
        <f t="shared" si="2"/>
        <v>51.34</v>
      </c>
      <c r="CB355" s="66">
        <f t="shared" si="3"/>
        <v>38.85</v>
      </c>
      <c r="CC355" s="64" t="str">
        <f>if(F355="REFUNDED",iferror(Vlookup(I355,'Listing SKU - Fill SKU Mapping'!A:B,2,false),"Map"),"")</f>
        <v/>
      </c>
      <c r="CD355" s="64" t="str">
        <f>if(F355="REFUNDED",iferror(Vlookup(I355,'Listing SKU - Fill SKU Mapping'!A:C,3,false),"Map"),"")</f>
        <v/>
      </c>
      <c r="CE355" s="64" t="str">
        <f t="shared" si="4"/>
        <v>2025</v>
      </c>
      <c r="CF355" s="64" t="str">
        <f t="shared" si="5"/>
        <v>October</v>
      </c>
      <c r="CG355" s="64" t="str">
        <f t="shared" si="6"/>
        <v/>
      </c>
    </row>
    <row r="356">
      <c r="A356" s="55">
        <v>2.0001E14</v>
      </c>
      <c r="B356" s="56">
        <v>1.0</v>
      </c>
      <c r="C356" s="57">
        <v>1.2903E14</v>
      </c>
      <c r="D356" s="58">
        <v>1.0</v>
      </c>
      <c r="F356" s="59" t="s">
        <v>100</v>
      </c>
      <c r="G356" s="60">
        <v>45943.0</v>
      </c>
      <c r="H356" s="58">
        <v>1.0</v>
      </c>
      <c r="I356" s="58" t="s">
        <v>151</v>
      </c>
      <c r="J356" s="61">
        <v>4.6077623339E11</v>
      </c>
      <c r="K356" s="62" t="s">
        <v>152</v>
      </c>
      <c r="L356" s="62">
        <v>2038710.0</v>
      </c>
      <c r="M356" s="63"/>
      <c r="N356" s="63"/>
      <c r="O356" s="62" t="s">
        <v>232</v>
      </c>
      <c r="P356" s="63"/>
      <c r="Q356" s="63"/>
      <c r="R356" s="62" t="s">
        <v>497</v>
      </c>
      <c r="S356" s="62">
        <v>16066.0</v>
      </c>
      <c r="T356" s="58" t="s">
        <v>105</v>
      </c>
      <c r="U356" s="59">
        <v>115.47</v>
      </c>
      <c r="V356" s="59">
        <v>106.93</v>
      </c>
      <c r="W356" s="58">
        <v>8.05</v>
      </c>
      <c r="X356" s="58">
        <v>7.0</v>
      </c>
      <c r="Y356" s="58">
        <v>10.0</v>
      </c>
      <c r="Z356" s="59">
        <v>108.93</v>
      </c>
      <c r="AA356" s="58">
        <v>0.0</v>
      </c>
      <c r="AB356" s="58">
        <v>0.0</v>
      </c>
      <c r="AC356" s="58">
        <v>0.0</v>
      </c>
      <c r="AD356" s="58">
        <v>0.0</v>
      </c>
      <c r="AE356" s="58">
        <v>0.0</v>
      </c>
      <c r="AF356" s="58">
        <v>0.0</v>
      </c>
      <c r="AG356" s="58">
        <v>0.0</v>
      </c>
      <c r="AH356" s="58">
        <v>0.0</v>
      </c>
      <c r="AI356" s="58">
        <v>0.0</v>
      </c>
      <c r="AJ356" s="58">
        <v>0.0</v>
      </c>
      <c r="AK356" s="58">
        <v>0.0</v>
      </c>
      <c r="AL356" s="58">
        <v>0.0</v>
      </c>
      <c r="AM356" s="58">
        <v>0.0</v>
      </c>
      <c r="AN356" s="58">
        <v>0.0</v>
      </c>
      <c r="AO356" s="68">
        <v>6.54</v>
      </c>
      <c r="AP356" s="68">
        <v>0.0</v>
      </c>
      <c r="AQ356" s="68">
        <v>0.0</v>
      </c>
      <c r="AR356" s="68">
        <v>0.0</v>
      </c>
      <c r="AS356" s="68">
        <v>0.0</v>
      </c>
      <c r="AT356" s="68">
        <v>0.0</v>
      </c>
      <c r="AU356" s="68">
        <v>0.0</v>
      </c>
      <c r="AV356" s="68">
        <v>0.0</v>
      </c>
      <c r="AW356" s="68">
        <v>0.0</v>
      </c>
      <c r="AX356" s="68">
        <v>0.0</v>
      </c>
      <c r="AY356" s="68">
        <v>0.0</v>
      </c>
      <c r="AZ356" s="68">
        <v>0.0</v>
      </c>
      <c r="BA356" s="68">
        <v>0.0</v>
      </c>
      <c r="BB356" s="68">
        <v>6.54</v>
      </c>
      <c r="BC356" s="68" t="s">
        <v>106</v>
      </c>
      <c r="BE356" s="68"/>
      <c r="BF356" s="70">
        <v>114.98</v>
      </c>
      <c r="BG356" s="70">
        <v>-11.5</v>
      </c>
      <c r="BH356" s="68" t="s">
        <v>107</v>
      </c>
      <c r="BI356" s="68" t="s">
        <v>108</v>
      </c>
      <c r="BJ356" s="68" t="s">
        <v>109</v>
      </c>
      <c r="BK356" s="68" t="s">
        <v>473</v>
      </c>
      <c r="BM356" s="68"/>
      <c r="BN356" s="68" t="s">
        <v>111</v>
      </c>
      <c r="BO356" s="70" t="s">
        <v>112</v>
      </c>
      <c r="BP356" s="68" t="s">
        <v>113</v>
      </c>
      <c r="BQ356" s="68" t="s">
        <v>317</v>
      </c>
      <c r="BR356" s="68">
        <v>3.45</v>
      </c>
      <c r="BS356" s="68"/>
      <c r="BT356" s="68">
        <v>-6.05</v>
      </c>
      <c r="BU356" s="70" t="s">
        <v>318</v>
      </c>
      <c r="BV356" s="68" t="s">
        <v>318</v>
      </c>
      <c r="BW356" s="64" t="str">
        <f>if(OR(F356="SALE",F356="REFUNDED"),IFERROR(Vlookup(I356,'Listing SKU - Fill SKU Mapping'!A:C,3,false),"Map"),"")</f>
        <v>Keystone</v>
      </c>
      <c r="BX356" s="64" t="str">
        <f>IF(OR(F356="SALE",F356="REFUNDED")=TRUE,iferror(Vlookup(I356,'Listing SKU - Fill SKU Mapping'!A:B,2,false),"Map"),"")</f>
        <v>IMP444BLK</v>
      </c>
      <c r="BY356" s="64">
        <f>IF(OR(F356="SALE",F356="REFUNDED")=TRUE,iferror(Vlookup(I356,'Listing SKU - Fill SKU Mapping'!A:D,4,false),"Map"),"")</f>
        <v>54.05</v>
      </c>
      <c r="BZ356" s="66">
        <f t="shared" si="1"/>
        <v>11.5</v>
      </c>
      <c r="CA356" s="66">
        <f t="shared" si="2"/>
        <v>65.55</v>
      </c>
      <c r="CB356" s="66">
        <f t="shared" si="3"/>
        <v>41.38</v>
      </c>
      <c r="CC356" s="64" t="str">
        <f>if(F356="REFUNDED",iferror(Vlookup(I356,'Listing SKU - Fill SKU Mapping'!A:B,2,false),"Map"),"")</f>
        <v/>
      </c>
      <c r="CD356" s="64" t="str">
        <f>if(F356="REFUNDED",iferror(Vlookup(I356,'Listing SKU - Fill SKU Mapping'!A:C,3,false),"Map"),"")</f>
        <v/>
      </c>
      <c r="CE356" s="64" t="str">
        <f t="shared" si="4"/>
        <v>2025</v>
      </c>
      <c r="CF356" s="64" t="str">
        <f t="shared" si="5"/>
        <v>October</v>
      </c>
      <c r="CG356" s="64" t="str">
        <f t="shared" si="6"/>
        <v/>
      </c>
    </row>
    <row r="357">
      <c r="A357" s="55">
        <v>2.0001E14</v>
      </c>
      <c r="B357" s="56">
        <v>1.0</v>
      </c>
      <c r="C357" s="57">
        <v>1.2903E14</v>
      </c>
      <c r="D357" s="58">
        <v>1.0</v>
      </c>
      <c r="F357" s="59" t="s">
        <v>100</v>
      </c>
      <c r="G357" s="60">
        <v>45939.0</v>
      </c>
      <c r="H357" s="58">
        <v>1.0</v>
      </c>
      <c r="I357" s="58" t="s">
        <v>498</v>
      </c>
      <c r="J357" s="61">
        <v>4.67129934171E11</v>
      </c>
      <c r="K357" s="62" t="s">
        <v>499</v>
      </c>
      <c r="L357" s="62">
        <v>2038710.0</v>
      </c>
      <c r="M357" s="63"/>
      <c r="N357" s="63"/>
      <c r="O357" s="62" t="s">
        <v>500</v>
      </c>
      <c r="P357" s="63"/>
      <c r="Q357" s="63"/>
      <c r="R357" s="62" t="s">
        <v>501</v>
      </c>
      <c r="S357" s="62">
        <v>8012.0</v>
      </c>
      <c r="T357" s="58" t="s">
        <v>105</v>
      </c>
      <c r="U357" s="59">
        <v>87.41</v>
      </c>
      <c r="V357" s="59">
        <v>76.24</v>
      </c>
      <c r="W357" s="58">
        <v>5.74</v>
      </c>
      <c r="X357" s="58">
        <v>7.0</v>
      </c>
      <c r="Y357" s="58">
        <v>10.0</v>
      </c>
      <c r="Z357" s="59">
        <v>81.98</v>
      </c>
      <c r="AA357" s="58">
        <v>0.0</v>
      </c>
      <c r="AB357" s="58">
        <v>0.0</v>
      </c>
      <c r="AC357" s="58">
        <v>0.0</v>
      </c>
      <c r="AD357" s="58">
        <v>0.0</v>
      </c>
      <c r="AE357" s="58">
        <v>0.0</v>
      </c>
      <c r="AF357" s="58">
        <v>0.0</v>
      </c>
      <c r="AG357" s="58">
        <v>0.0</v>
      </c>
      <c r="AH357" s="58">
        <v>0.0</v>
      </c>
      <c r="AI357" s="58">
        <v>0.0</v>
      </c>
      <c r="AJ357" s="58">
        <v>0.0</v>
      </c>
      <c r="AK357" s="58">
        <v>0.0</v>
      </c>
      <c r="AL357" s="58">
        <v>0.0</v>
      </c>
      <c r="AM357" s="58">
        <v>0.0</v>
      </c>
      <c r="AN357" s="58">
        <v>0.0</v>
      </c>
      <c r="AO357" s="68">
        <v>5.43</v>
      </c>
      <c r="AP357" s="68">
        <v>0.0</v>
      </c>
      <c r="AQ357" s="68">
        <v>0.0</v>
      </c>
      <c r="AR357" s="68">
        <v>0.0</v>
      </c>
      <c r="AS357" s="68">
        <v>0.0</v>
      </c>
      <c r="AT357" s="68">
        <v>0.0</v>
      </c>
      <c r="AU357" s="68">
        <v>0.0</v>
      </c>
      <c r="AV357" s="68">
        <v>0.0</v>
      </c>
      <c r="AW357" s="68">
        <v>0.0</v>
      </c>
      <c r="AX357" s="68">
        <v>0.0</v>
      </c>
      <c r="AY357" s="68">
        <v>0.0</v>
      </c>
      <c r="AZ357" s="68">
        <v>0.0</v>
      </c>
      <c r="BA357" s="68">
        <v>0.0</v>
      </c>
      <c r="BB357" s="68">
        <v>5.43</v>
      </c>
      <c r="BC357" s="68" t="s">
        <v>106</v>
      </c>
      <c r="BE357" s="68"/>
      <c r="BG357" s="70">
        <v>-8.2</v>
      </c>
      <c r="BH357" s="70" t="s">
        <v>107</v>
      </c>
      <c r="BI357" s="68" t="s">
        <v>108</v>
      </c>
      <c r="BJ357" s="68" t="s">
        <v>109</v>
      </c>
      <c r="BK357" s="68" t="s">
        <v>450</v>
      </c>
      <c r="BM357" s="68"/>
      <c r="BN357" s="68" t="s">
        <v>111</v>
      </c>
      <c r="BO357" s="70" t="s">
        <v>112</v>
      </c>
      <c r="BP357" s="68" t="s">
        <v>113</v>
      </c>
      <c r="BQ357" s="68" t="s">
        <v>114</v>
      </c>
      <c r="BR357" s="68">
        <v>2.46</v>
      </c>
      <c r="BS357" s="68"/>
      <c r="BT357" s="68"/>
      <c r="BW357" s="64" t="str">
        <f>if(OR(F357="SALE",F357="REFUNDED"),IFERROR(Vlookup(I357,'Listing SKU - Fill SKU Mapping'!A:C,3,false),"Map"),"")</f>
        <v>Keystone</v>
      </c>
      <c r="BX357" s="64" t="str">
        <f>IF(OR(F357="SALE",F357="REFUNDED")=TRUE,iferror(Vlookup(I357,'Listing SKU - Fill SKU Mapping'!A:B,2,false),"Map"),"")</f>
        <v>50816S</v>
      </c>
      <c r="BY357" s="64">
        <f>IF(OR(F357="SALE",F357="REFUNDED")=TRUE,iferror(Vlookup(I357,'Listing SKU - Fill SKU Mapping'!A:D,4,false),"Map"),"")</f>
        <v>30.77</v>
      </c>
      <c r="BZ357" s="66">
        <f t="shared" si="1"/>
        <v>11.5</v>
      </c>
      <c r="CA357" s="66">
        <f t="shared" si="2"/>
        <v>42.27</v>
      </c>
      <c r="CB357" s="66">
        <f t="shared" si="3"/>
        <v>33.97</v>
      </c>
      <c r="CC357" s="64" t="str">
        <f>if(F357="REFUNDED",iferror(Vlookup(I357,'Listing SKU - Fill SKU Mapping'!A:B,2,false),"Map"),"")</f>
        <v/>
      </c>
      <c r="CD357" s="64" t="str">
        <f>if(F357="REFUNDED",iferror(Vlookup(I357,'Listing SKU - Fill SKU Mapping'!A:C,3,false),"Map"),"")</f>
        <v/>
      </c>
      <c r="CE357" s="64" t="str">
        <f t="shared" si="4"/>
        <v>2025</v>
      </c>
      <c r="CF357" s="64" t="str">
        <f t="shared" si="5"/>
        <v>October</v>
      </c>
      <c r="CG357" s="64" t="str">
        <f t="shared" si="6"/>
        <v/>
      </c>
    </row>
    <row r="358">
      <c r="A358" s="55">
        <v>2.0001E14</v>
      </c>
      <c r="B358" s="56">
        <v>1.0</v>
      </c>
      <c r="C358" s="57">
        <v>1.1903E14</v>
      </c>
      <c r="D358" s="58">
        <v>1.0</v>
      </c>
      <c r="F358" s="59" t="s">
        <v>100</v>
      </c>
      <c r="G358" s="60">
        <v>45946.0</v>
      </c>
      <c r="H358" s="58">
        <v>1.0</v>
      </c>
      <c r="I358" s="58" t="s">
        <v>364</v>
      </c>
      <c r="J358" s="61">
        <v>4.60776231099E11</v>
      </c>
      <c r="K358" s="62" t="s">
        <v>502</v>
      </c>
      <c r="L358" s="62">
        <v>2038710.0</v>
      </c>
      <c r="M358" s="63"/>
      <c r="N358" s="63"/>
      <c r="O358" s="62" t="s">
        <v>503</v>
      </c>
      <c r="P358" s="63"/>
      <c r="Q358" s="63"/>
      <c r="R358" s="62" t="s">
        <v>504</v>
      </c>
      <c r="S358" s="62">
        <v>12428.0</v>
      </c>
      <c r="T358" s="58" t="s">
        <v>105</v>
      </c>
      <c r="U358" s="59">
        <v>137.14</v>
      </c>
      <c r="V358" s="59">
        <v>118.09</v>
      </c>
      <c r="W358" s="58">
        <v>8.89</v>
      </c>
      <c r="X358" s="58">
        <v>7.0</v>
      </c>
      <c r="Y358" s="58">
        <v>10.0</v>
      </c>
      <c r="Z358" s="59">
        <v>126.98</v>
      </c>
      <c r="AA358" s="58">
        <v>0.0</v>
      </c>
      <c r="AB358" s="58">
        <v>0.0</v>
      </c>
      <c r="AC358" s="58">
        <v>0.0</v>
      </c>
      <c r="AD358" s="58">
        <v>0.0</v>
      </c>
      <c r="AE358" s="58">
        <v>0.0</v>
      </c>
      <c r="AF358" s="58">
        <v>0.0</v>
      </c>
      <c r="AG358" s="58">
        <v>0.0</v>
      </c>
      <c r="AH358" s="58">
        <v>0.0</v>
      </c>
      <c r="AI358" s="58">
        <v>0.0</v>
      </c>
      <c r="AJ358" s="58">
        <v>0.0</v>
      </c>
      <c r="AK358" s="58">
        <v>0.0</v>
      </c>
      <c r="AL358" s="58">
        <v>0.0</v>
      </c>
      <c r="AM358" s="58">
        <v>0.0</v>
      </c>
      <c r="AN358" s="58">
        <v>0.0</v>
      </c>
      <c r="AO358" s="68">
        <v>10.16</v>
      </c>
      <c r="AP358" s="68">
        <v>0.0</v>
      </c>
      <c r="AQ358" s="68">
        <v>0.0</v>
      </c>
      <c r="AR358" s="68">
        <v>0.0</v>
      </c>
      <c r="AS358" s="68">
        <v>0.0</v>
      </c>
      <c r="AT358" s="68">
        <v>0.0</v>
      </c>
      <c r="AU358" s="68">
        <v>0.0</v>
      </c>
      <c r="AV358" s="68">
        <v>0.0</v>
      </c>
      <c r="AW358" s="68">
        <v>0.0</v>
      </c>
      <c r="AX358" s="68">
        <v>0.0</v>
      </c>
      <c r="AY358" s="68">
        <v>0.0</v>
      </c>
      <c r="AZ358" s="68">
        <v>0.0</v>
      </c>
      <c r="BA358" s="68">
        <v>0.0</v>
      </c>
      <c r="BB358" s="68">
        <v>10.16</v>
      </c>
      <c r="BC358" s="68" t="s">
        <v>106</v>
      </c>
      <c r="BE358" s="68"/>
      <c r="BG358" s="70">
        <v>-12.7</v>
      </c>
      <c r="BH358" s="70" t="s">
        <v>107</v>
      </c>
      <c r="BI358" s="68" t="s">
        <v>108</v>
      </c>
      <c r="BJ358" s="68" t="s">
        <v>109</v>
      </c>
      <c r="BK358" s="68" t="s">
        <v>473</v>
      </c>
      <c r="BM358" s="68"/>
      <c r="BN358" s="68" t="s">
        <v>111</v>
      </c>
      <c r="BO358" s="70" t="s">
        <v>112</v>
      </c>
      <c r="BP358" s="68" t="s">
        <v>113</v>
      </c>
      <c r="BQ358" s="68" t="s">
        <v>114</v>
      </c>
      <c r="BR358" s="68">
        <v>3.81</v>
      </c>
      <c r="BS358" s="68"/>
      <c r="BT358" s="68"/>
      <c r="BW358" s="64" t="str">
        <f>if(OR(F358="SALE",F358="REFUNDED"),IFERROR(Vlookup(I358,'Listing SKU - Fill SKU Mapping'!A:C,3,false),"Map"),"")</f>
        <v>Keystone</v>
      </c>
      <c r="BX358" s="64" t="str">
        <f>IF(OR(F358="SALE",F358="REFUNDED")=TRUE,iferror(Vlookup(I358,'Listing SKU - Fill SKU Mapping'!A:B,2,false),"Map"),"")</f>
        <v>IMP406BLK</v>
      </c>
      <c r="BY358" s="64">
        <f>IF(OR(F358="SALE",F358="REFUNDED")=TRUE,iferror(Vlookup(I358,'Listing SKU - Fill SKU Mapping'!A:D,4,false),"Map"),"")</f>
        <v>61.94</v>
      </c>
      <c r="BZ358" s="66">
        <f t="shared" si="1"/>
        <v>11.5</v>
      </c>
      <c r="CA358" s="66">
        <f t="shared" si="2"/>
        <v>73.44</v>
      </c>
      <c r="CB358" s="66">
        <f t="shared" si="3"/>
        <v>44.65</v>
      </c>
      <c r="CC358" s="64" t="str">
        <f>if(F358="REFUNDED",iferror(Vlookup(I358,'Listing SKU - Fill SKU Mapping'!A:B,2,false),"Map"),"")</f>
        <v/>
      </c>
      <c r="CD358" s="64" t="str">
        <f>if(F358="REFUNDED",iferror(Vlookup(I358,'Listing SKU - Fill SKU Mapping'!A:C,3,false),"Map"),"")</f>
        <v/>
      </c>
      <c r="CE358" s="64" t="str">
        <f t="shared" si="4"/>
        <v>2025</v>
      </c>
      <c r="CF358" s="64" t="str">
        <f t="shared" si="5"/>
        <v>October</v>
      </c>
      <c r="CG358" s="64" t="str">
        <f t="shared" si="6"/>
        <v/>
      </c>
    </row>
    <row r="359">
      <c r="A359" s="55">
        <v>2.0001E14</v>
      </c>
      <c r="B359" s="56">
        <v>1.0</v>
      </c>
      <c r="C359" s="57">
        <v>1.2903E14</v>
      </c>
      <c r="D359" s="58">
        <v>1.0</v>
      </c>
      <c r="F359" s="59" t="s">
        <v>100</v>
      </c>
      <c r="G359" s="60">
        <v>45938.0</v>
      </c>
      <c r="H359" s="58">
        <v>1.0</v>
      </c>
      <c r="I359" s="58" t="s">
        <v>505</v>
      </c>
      <c r="J359" s="61">
        <v>4.65595344524E11</v>
      </c>
      <c r="K359" s="62" t="s">
        <v>506</v>
      </c>
      <c r="L359" s="62">
        <v>2038710.0</v>
      </c>
      <c r="M359" s="63"/>
      <c r="N359" s="63"/>
      <c r="O359" s="62" t="s">
        <v>507</v>
      </c>
      <c r="P359" s="63"/>
      <c r="Q359" s="63"/>
      <c r="R359" s="62" t="s">
        <v>508</v>
      </c>
      <c r="S359" s="62">
        <v>98387.0</v>
      </c>
      <c r="T359" s="58" t="s">
        <v>105</v>
      </c>
      <c r="U359" s="59">
        <v>108.98</v>
      </c>
      <c r="V359" s="59">
        <v>92.05</v>
      </c>
      <c r="W359" s="58">
        <v>6.93</v>
      </c>
      <c r="X359" s="58">
        <v>7.0</v>
      </c>
      <c r="Y359" s="58">
        <v>10.0</v>
      </c>
      <c r="Z359" s="59">
        <v>98.98</v>
      </c>
      <c r="AA359" s="58">
        <v>0.0</v>
      </c>
      <c r="AB359" s="58">
        <v>0.0</v>
      </c>
      <c r="AC359" s="58">
        <v>0.0</v>
      </c>
      <c r="AD359" s="58">
        <v>0.0</v>
      </c>
      <c r="AE359" s="58">
        <v>0.0</v>
      </c>
      <c r="AF359" s="58">
        <v>0.0</v>
      </c>
      <c r="AG359" s="58">
        <v>0.0</v>
      </c>
      <c r="AH359" s="58">
        <v>0.0</v>
      </c>
      <c r="AI359" s="58">
        <v>0.0</v>
      </c>
      <c r="AJ359" s="58">
        <v>0.0</v>
      </c>
      <c r="AK359" s="58">
        <v>0.0</v>
      </c>
      <c r="AL359" s="58">
        <v>0.0</v>
      </c>
      <c r="AM359" s="58">
        <v>0.0</v>
      </c>
      <c r="AN359" s="58">
        <v>0.0</v>
      </c>
      <c r="AO359" s="68">
        <v>10.0</v>
      </c>
      <c r="AP359" s="68">
        <v>0.0</v>
      </c>
      <c r="AQ359" s="68">
        <v>0.0</v>
      </c>
      <c r="AR359" s="68">
        <v>0.0</v>
      </c>
      <c r="AS359" s="68">
        <v>0.0</v>
      </c>
      <c r="AT359" s="68">
        <v>0.0</v>
      </c>
      <c r="AU359" s="68">
        <v>0.0</v>
      </c>
      <c r="AV359" s="68">
        <v>0.0</v>
      </c>
      <c r="AW359" s="68">
        <v>0.0</v>
      </c>
      <c r="AX359" s="68">
        <v>0.0</v>
      </c>
      <c r="AY359" s="68">
        <v>0.0</v>
      </c>
      <c r="AZ359" s="68">
        <v>0.0</v>
      </c>
      <c r="BA359" s="68">
        <v>0.0</v>
      </c>
      <c r="BB359" s="68">
        <v>10.0</v>
      </c>
      <c r="BC359" s="68" t="s">
        <v>106</v>
      </c>
      <c r="BE359" s="68"/>
      <c r="BG359" s="70">
        <v>-9.9</v>
      </c>
      <c r="BH359" s="70" t="s">
        <v>107</v>
      </c>
      <c r="BI359" s="68" t="s">
        <v>108</v>
      </c>
      <c r="BJ359" s="68" t="s">
        <v>109</v>
      </c>
      <c r="BK359" s="68" t="s">
        <v>450</v>
      </c>
      <c r="BM359" s="68"/>
      <c r="BN359" s="68" t="s">
        <v>111</v>
      </c>
      <c r="BO359" s="70" t="s">
        <v>112</v>
      </c>
      <c r="BP359" s="68" t="s">
        <v>113</v>
      </c>
      <c r="BQ359" s="68" t="s">
        <v>114</v>
      </c>
      <c r="BR359" s="68">
        <v>2.97</v>
      </c>
      <c r="BS359" s="68"/>
      <c r="BT359" s="68"/>
      <c r="BW359" s="64" t="str">
        <f>if(OR(F359="SALE",F359="REFUNDED"),IFERROR(Vlookup(I359,'Listing SKU - Fill SKU Mapping'!A:C,3,false),"Map"),"")</f>
        <v>Keystone</v>
      </c>
      <c r="BX359" s="64" t="str">
        <f>IF(OR(F359="SALE",F359="REFUNDED")=TRUE,iferror(Vlookup(I359,'Listing SKU - Fill SKU Mapping'!A:B,2,false),"Map"),"")</f>
        <v>IMP474BLK</v>
      </c>
      <c r="BY359" s="64">
        <f>IF(OR(F359="SALE",F359="REFUNDED")=TRUE,iferror(Vlookup(I359,'Listing SKU - Fill SKU Mapping'!A:D,4,false),"Map"),"")</f>
        <v>48.13</v>
      </c>
      <c r="BZ359" s="66">
        <f t="shared" si="1"/>
        <v>11.5</v>
      </c>
      <c r="CA359" s="66">
        <f t="shared" si="2"/>
        <v>59.63</v>
      </c>
      <c r="CB359" s="66">
        <f t="shared" si="3"/>
        <v>32.42</v>
      </c>
      <c r="CC359" s="64" t="str">
        <f>if(F359="REFUNDED",iferror(Vlookup(I359,'Listing SKU - Fill SKU Mapping'!A:B,2,false),"Map"),"")</f>
        <v/>
      </c>
      <c r="CD359" s="64" t="str">
        <f>if(F359="REFUNDED",iferror(Vlookup(I359,'Listing SKU - Fill SKU Mapping'!A:C,3,false),"Map"),"")</f>
        <v/>
      </c>
      <c r="CE359" s="64" t="str">
        <f t="shared" si="4"/>
        <v>2025</v>
      </c>
      <c r="CF359" s="64" t="str">
        <f t="shared" si="5"/>
        <v>October</v>
      </c>
      <c r="CG359" s="64" t="str">
        <f t="shared" si="6"/>
        <v/>
      </c>
    </row>
    <row r="360">
      <c r="A360" s="55">
        <v>2.0001E14</v>
      </c>
      <c r="B360" s="56">
        <v>2.0</v>
      </c>
      <c r="C360" s="57">
        <v>1.1903E14</v>
      </c>
      <c r="D360" s="58">
        <v>2.0</v>
      </c>
      <c r="F360" s="59" t="s">
        <v>100</v>
      </c>
      <c r="G360" s="60">
        <v>45946.0</v>
      </c>
      <c r="H360" s="58">
        <v>1.0</v>
      </c>
      <c r="I360" s="58" t="s">
        <v>433</v>
      </c>
      <c r="J360" s="61">
        <v>4.67129944101E11</v>
      </c>
      <c r="K360" s="62" t="s">
        <v>509</v>
      </c>
      <c r="L360" s="62">
        <v>2038710.0</v>
      </c>
      <c r="M360" s="63"/>
      <c r="N360" s="63"/>
      <c r="O360" s="62" t="s">
        <v>149</v>
      </c>
      <c r="P360" s="63"/>
      <c r="Q360" s="63"/>
      <c r="R360" s="62" t="s">
        <v>510</v>
      </c>
      <c r="S360" s="62">
        <v>38671.0</v>
      </c>
      <c r="T360" s="58" t="s">
        <v>105</v>
      </c>
      <c r="U360" s="59">
        <v>70.51</v>
      </c>
      <c r="V360" s="59">
        <v>67.87</v>
      </c>
      <c r="W360" s="58">
        <v>5.11</v>
      </c>
      <c r="X360" s="58">
        <v>7.0</v>
      </c>
      <c r="Y360" s="58">
        <v>10.0</v>
      </c>
      <c r="Z360" s="59">
        <v>65.9</v>
      </c>
      <c r="AA360" s="58">
        <v>0.0</v>
      </c>
      <c r="AB360" s="58">
        <v>0.0</v>
      </c>
      <c r="AC360" s="58">
        <v>0.0</v>
      </c>
      <c r="AD360" s="58">
        <v>0.0</v>
      </c>
      <c r="AE360" s="58">
        <v>0.0</v>
      </c>
      <c r="AF360" s="58">
        <v>0.0</v>
      </c>
      <c r="AG360" s="58">
        <v>0.0</v>
      </c>
      <c r="AH360" s="58">
        <v>0.0</v>
      </c>
      <c r="AI360" s="58">
        <v>0.0</v>
      </c>
      <c r="AJ360" s="58">
        <v>0.0</v>
      </c>
      <c r="AK360" s="58">
        <v>0.0</v>
      </c>
      <c r="AL360" s="58">
        <v>0.0</v>
      </c>
      <c r="AM360" s="58">
        <v>0.0</v>
      </c>
      <c r="AN360" s="58">
        <v>0.0</v>
      </c>
      <c r="AO360" s="68">
        <v>4.61</v>
      </c>
      <c r="AP360" s="68">
        <v>0.0</v>
      </c>
      <c r="AQ360" s="68">
        <v>0.0</v>
      </c>
      <c r="AR360" s="68">
        <v>0.0</v>
      </c>
      <c r="AS360" s="68">
        <v>0.0</v>
      </c>
      <c r="AT360" s="68">
        <v>0.0</v>
      </c>
      <c r="AU360" s="68">
        <v>0.0</v>
      </c>
      <c r="AV360" s="68">
        <v>0.0</v>
      </c>
      <c r="AW360" s="68">
        <v>0.0</v>
      </c>
      <c r="AX360" s="68">
        <v>0.0</v>
      </c>
      <c r="AY360" s="68">
        <v>0.0</v>
      </c>
      <c r="AZ360" s="68">
        <v>0.0</v>
      </c>
      <c r="BA360" s="68">
        <v>0.0</v>
      </c>
      <c r="BB360" s="68">
        <v>4.61</v>
      </c>
      <c r="BC360" s="68" t="s">
        <v>106</v>
      </c>
      <c r="BE360" s="68"/>
      <c r="BF360" s="70">
        <v>72.98</v>
      </c>
      <c r="BG360" s="70">
        <v>-7.3</v>
      </c>
      <c r="BH360" s="68" t="s">
        <v>107</v>
      </c>
      <c r="BI360" s="68" t="s">
        <v>108</v>
      </c>
      <c r="BJ360" s="68" t="s">
        <v>109</v>
      </c>
      <c r="BK360" s="68" t="s">
        <v>473</v>
      </c>
      <c r="BM360" s="68"/>
      <c r="BN360" s="68" t="s">
        <v>111</v>
      </c>
      <c r="BO360" s="70" t="s">
        <v>112</v>
      </c>
      <c r="BP360" s="68" t="s">
        <v>113</v>
      </c>
      <c r="BQ360" s="68" t="s">
        <v>317</v>
      </c>
      <c r="BR360" s="68">
        <v>2.19</v>
      </c>
      <c r="BS360" s="68"/>
      <c r="BT360" s="68">
        <v>-7.08</v>
      </c>
      <c r="BU360" s="70" t="s">
        <v>318</v>
      </c>
      <c r="BV360" s="68" t="s">
        <v>318</v>
      </c>
      <c r="BW360" s="64" t="str">
        <f>if(OR(F360="SALE",F360="REFUNDED"),IFERROR(Vlookup(I360,'Listing SKU - Fill SKU Mapping'!A:C,3,false),"Map"),"")</f>
        <v>Keystone</v>
      </c>
      <c r="BX360" s="64" t="str">
        <f>IF(OR(F360="SALE",F360="REFUNDED")=TRUE,iferror(Vlookup(I360,'Listing SKU - Fill SKU Mapping'!A:B,2,false),"Map"),"")</f>
        <v>45916S</v>
      </c>
      <c r="BY360" s="64">
        <f>IF(OR(F360="SALE",F360="REFUNDED")=TRUE,iferror(Vlookup(I360,'Listing SKU - Fill SKU Mapping'!A:D,4,false),"Map"),"")</f>
        <v>25.25</v>
      </c>
      <c r="BZ360" s="66">
        <f t="shared" si="1"/>
        <v>11.5</v>
      </c>
      <c r="CA360" s="66">
        <f t="shared" si="2"/>
        <v>36.75</v>
      </c>
      <c r="CB360" s="66">
        <f t="shared" si="3"/>
        <v>31.12</v>
      </c>
      <c r="CC360" s="64" t="str">
        <f>if(F360="REFUNDED",iferror(Vlookup(I360,'Listing SKU - Fill SKU Mapping'!A:B,2,false),"Map"),"")</f>
        <v/>
      </c>
      <c r="CD360" s="64" t="str">
        <f>if(F360="REFUNDED",iferror(Vlookup(I360,'Listing SKU - Fill SKU Mapping'!A:C,3,false),"Map"),"")</f>
        <v/>
      </c>
      <c r="CE360" s="64" t="str">
        <f t="shared" si="4"/>
        <v>2025</v>
      </c>
      <c r="CF360" s="64" t="str">
        <f t="shared" si="5"/>
        <v>October</v>
      </c>
      <c r="CG360" s="64" t="str">
        <f t="shared" si="6"/>
        <v/>
      </c>
    </row>
    <row r="361">
      <c r="A361" s="55">
        <v>2.0001E14</v>
      </c>
      <c r="B361" s="56">
        <v>2.0</v>
      </c>
      <c r="C361" s="57">
        <v>1.2903E14</v>
      </c>
      <c r="D361" s="58">
        <v>2.0</v>
      </c>
      <c r="F361" s="59" t="s">
        <v>100</v>
      </c>
      <c r="G361" s="60">
        <v>45943.0</v>
      </c>
      <c r="H361" s="58">
        <v>1.0</v>
      </c>
      <c r="I361" s="58" t="s">
        <v>511</v>
      </c>
      <c r="J361" s="61">
        <v>4.67129958481E11</v>
      </c>
      <c r="K361" s="62" t="s">
        <v>512</v>
      </c>
      <c r="L361" s="62">
        <v>2038710.0</v>
      </c>
      <c r="M361" s="63"/>
      <c r="N361" s="63"/>
      <c r="O361" s="62" t="s">
        <v>513</v>
      </c>
      <c r="P361" s="63"/>
      <c r="Q361" s="63"/>
      <c r="R361" s="62" t="s">
        <v>514</v>
      </c>
      <c r="S361" s="62">
        <v>83605.0</v>
      </c>
      <c r="T361" s="58" t="s">
        <v>105</v>
      </c>
      <c r="U361" s="59">
        <v>115.52</v>
      </c>
      <c r="V361" s="59">
        <v>101.35</v>
      </c>
      <c r="W361" s="58">
        <v>7.63</v>
      </c>
      <c r="X361" s="58">
        <v>7.0</v>
      </c>
      <c r="Y361" s="58">
        <v>10.0</v>
      </c>
      <c r="Z361" s="59">
        <v>108.98</v>
      </c>
      <c r="AA361" s="58">
        <v>0.0</v>
      </c>
      <c r="AB361" s="58">
        <v>0.0</v>
      </c>
      <c r="AC361" s="58">
        <v>0.0</v>
      </c>
      <c r="AD361" s="58">
        <v>0.0</v>
      </c>
      <c r="AE361" s="58">
        <v>0.0</v>
      </c>
      <c r="AF361" s="58">
        <v>0.0</v>
      </c>
      <c r="AG361" s="58">
        <v>0.0</v>
      </c>
      <c r="AH361" s="58">
        <v>0.0</v>
      </c>
      <c r="AI361" s="58">
        <v>0.0</v>
      </c>
      <c r="AJ361" s="58">
        <v>0.0</v>
      </c>
      <c r="AK361" s="58">
        <v>0.0</v>
      </c>
      <c r="AL361" s="58">
        <v>0.0</v>
      </c>
      <c r="AM361" s="58">
        <v>0.0</v>
      </c>
      <c r="AN361" s="58">
        <v>0.0</v>
      </c>
      <c r="AO361" s="68">
        <v>6.54</v>
      </c>
      <c r="AP361" s="68">
        <v>0.0</v>
      </c>
      <c r="AQ361" s="68">
        <v>0.0</v>
      </c>
      <c r="AR361" s="68">
        <v>0.0</v>
      </c>
      <c r="AS361" s="68">
        <v>0.0</v>
      </c>
      <c r="AT361" s="68">
        <v>0.0</v>
      </c>
      <c r="AU361" s="68">
        <v>0.0</v>
      </c>
      <c r="AV361" s="68">
        <v>0.0</v>
      </c>
      <c r="AW361" s="68">
        <v>0.0</v>
      </c>
      <c r="AX361" s="68">
        <v>0.0</v>
      </c>
      <c r="AY361" s="68">
        <v>0.0</v>
      </c>
      <c r="AZ361" s="68">
        <v>0.0</v>
      </c>
      <c r="BA361" s="68">
        <v>0.0</v>
      </c>
      <c r="BB361" s="68">
        <v>6.54</v>
      </c>
      <c r="BC361" s="68" t="s">
        <v>106</v>
      </c>
      <c r="BE361" s="68"/>
      <c r="BG361" s="70">
        <v>-10.9</v>
      </c>
      <c r="BH361" s="70" t="s">
        <v>107</v>
      </c>
      <c r="BI361" s="68" t="s">
        <v>108</v>
      </c>
      <c r="BJ361" s="68" t="s">
        <v>109</v>
      </c>
      <c r="BK361" s="68" t="s">
        <v>473</v>
      </c>
      <c r="BM361" s="68"/>
      <c r="BN361" s="68" t="s">
        <v>111</v>
      </c>
      <c r="BO361" s="70" t="s">
        <v>112</v>
      </c>
      <c r="BP361" s="68" t="s">
        <v>113</v>
      </c>
      <c r="BQ361" s="68" t="s">
        <v>114</v>
      </c>
      <c r="BR361" s="68">
        <v>3.27</v>
      </c>
      <c r="BS361" s="68"/>
      <c r="BT361" s="68"/>
      <c r="BW361" s="64" t="str">
        <f>if(OR(F361="SALE",F361="REFUNDED"),IFERROR(Vlookup(I361,'Listing SKU - Fill SKU Mapping'!A:C,3,false),"Map"),"")</f>
        <v>Keystone</v>
      </c>
      <c r="BX361" s="64" t="str">
        <f>IF(OR(F361="SALE",F361="REFUNDED")=TRUE,iferror(Vlookup(I361,'Listing SKU - Fill SKU Mapping'!A:B,2,false),"Map"),"")</f>
        <v>44016C</v>
      </c>
      <c r="BY361" s="64">
        <f>IF(OR(F361="SALE",F361="REFUNDED")=TRUE,iferror(Vlookup(I361,'Listing SKU - Fill SKU Mapping'!A:D,4,false),"Map"),"")</f>
        <v>47.73</v>
      </c>
      <c r="BZ361" s="66">
        <f t="shared" si="1"/>
        <v>11.5</v>
      </c>
      <c r="CA361" s="66">
        <f t="shared" si="2"/>
        <v>59.23</v>
      </c>
      <c r="CB361" s="66">
        <f t="shared" si="3"/>
        <v>42.12</v>
      </c>
      <c r="CC361" s="64" t="str">
        <f>if(F361="REFUNDED",iferror(Vlookup(I361,'Listing SKU - Fill SKU Mapping'!A:B,2,false),"Map"),"")</f>
        <v/>
      </c>
      <c r="CD361" s="64" t="str">
        <f>if(F361="REFUNDED",iferror(Vlookup(I361,'Listing SKU - Fill SKU Mapping'!A:C,3,false),"Map"),"")</f>
        <v/>
      </c>
      <c r="CE361" s="64" t="str">
        <f t="shared" si="4"/>
        <v>2025</v>
      </c>
      <c r="CF361" s="64" t="str">
        <f t="shared" si="5"/>
        <v>October</v>
      </c>
      <c r="CG361" s="64" t="str">
        <f t="shared" si="6"/>
        <v/>
      </c>
    </row>
    <row r="362">
      <c r="A362" s="55">
        <v>2.0001E14</v>
      </c>
      <c r="B362" s="56">
        <v>2.0</v>
      </c>
      <c r="C362" s="57">
        <v>1.2903E14</v>
      </c>
      <c r="D362" s="58">
        <v>2.0</v>
      </c>
      <c r="F362" s="59" t="s">
        <v>100</v>
      </c>
      <c r="G362" s="60">
        <v>45943.0</v>
      </c>
      <c r="H362" s="58">
        <v>1.0</v>
      </c>
      <c r="I362" s="58" t="s">
        <v>515</v>
      </c>
      <c r="J362" s="61">
        <v>4.67129934133E11</v>
      </c>
      <c r="K362" s="62" t="s">
        <v>516</v>
      </c>
      <c r="L362" s="62">
        <v>2038710.0</v>
      </c>
      <c r="M362" s="63"/>
      <c r="N362" s="63"/>
      <c r="O362" s="62" t="s">
        <v>126</v>
      </c>
      <c r="P362" s="63"/>
      <c r="Q362" s="63"/>
      <c r="R362" s="62" t="s">
        <v>517</v>
      </c>
      <c r="S362" s="62">
        <v>27263.0</v>
      </c>
      <c r="T362" s="58" t="s">
        <v>105</v>
      </c>
      <c r="U362" s="59">
        <v>83.16</v>
      </c>
      <c r="V362" s="59">
        <v>81.82</v>
      </c>
      <c r="W362" s="58">
        <v>6.16</v>
      </c>
      <c r="X362" s="58">
        <v>7.0</v>
      </c>
      <c r="Y362" s="58">
        <v>10.0</v>
      </c>
      <c r="Z362" s="59">
        <v>77.9</v>
      </c>
      <c r="AA362" s="58">
        <v>0.0</v>
      </c>
      <c r="AB362" s="58">
        <v>0.0</v>
      </c>
      <c r="AC362" s="58">
        <v>0.0</v>
      </c>
      <c r="AD362" s="58">
        <v>0.0</v>
      </c>
      <c r="AE362" s="58">
        <v>0.0</v>
      </c>
      <c r="AF362" s="58">
        <v>0.0</v>
      </c>
      <c r="AG362" s="58">
        <v>0.0</v>
      </c>
      <c r="AH362" s="58">
        <v>0.0</v>
      </c>
      <c r="AI362" s="58">
        <v>0.0</v>
      </c>
      <c r="AJ362" s="58">
        <v>0.0</v>
      </c>
      <c r="AK362" s="58">
        <v>0.0</v>
      </c>
      <c r="AL362" s="58">
        <v>0.0</v>
      </c>
      <c r="AM362" s="58">
        <v>0.0</v>
      </c>
      <c r="AN362" s="58">
        <v>0.0</v>
      </c>
      <c r="AO362" s="68">
        <v>5.26</v>
      </c>
      <c r="AP362" s="68">
        <v>0.0</v>
      </c>
      <c r="AQ362" s="68">
        <v>0.0</v>
      </c>
      <c r="AR362" s="68">
        <v>0.0</v>
      </c>
      <c r="AS362" s="68">
        <v>0.0</v>
      </c>
      <c r="AT362" s="68">
        <v>0.0</v>
      </c>
      <c r="AU362" s="68">
        <v>0.0</v>
      </c>
      <c r="AV362" s="68">
        <v>0.0</v>
      </c>
      <c r="AW362" s="68">
        <v>0.0</v>
      </c>
      <c r="AX362" s="68">
        <v>0.0</v>
      </c>
      <c r="AY362" s="68">
        <v>0.0</v>
      </c>
      <c r="AZ362" s="68">
        <v>0.0</v>
      </c>
      <c r="BA362" s="68">
        <v>0.0</v>
      </c>
      <c r="BB362" s="68">
        <v>5.26</v>
      </c>
      <c r="BC362" s="68" t="s">
        <v>106</v>
      </c>
      <c r="BE362" s="68"/>
      <c r="BF362" s="70">
        <v>87.98</v>
      </c>
      <c r="BG362" s="70">
        <v>-8.8</v>
      </c>
      <c r="BH362" s="68" t="s">
        <v>107</v>
      </c>
      <c r="BI362" s="68" t="s">
        <v>108</v>
      </c>
      <c r="BJ362" s="68" t="s">
        <v>109</v>
      </c>
      <c r="BK362" s="68" t="s">
        <v>473</v>
      </c>
      <c r="BM362" s="68"/>
      <c r="BN362" s="68" t="s">
        <v>111</v>
      </c>
      <c r="BO362" s="70" t="s">
        <v>112</v>
      </c>
      <c r="BP362" s="68" t="s">
        <v>113</v>
      </c>
      <c r="BQ362" s="68" t="s">
        <v>317</v>
      </c>
      <c r="BR362" s="68">
        <v>2.64</v>
      </c>
      <c r="BS362" s="68"/>
      <c r="BT362" s="68">
        <v>-10.08</v>
      </c>
      <c r="BU362" s="70" t="s">
        <v>318</v>
      </c>
      <c r="BV362" s="68" t="s">
        <v>318</v>
      </c>
      <c r="BW362" s="64" t="str">
        <f>if(OR(F362="SALE",F362="REFUNDED"),IFERROR(Vlookup(I362,'Listing SKU - Fill SKU Mapping'!A:C,3,false),"Map"),"")</f>
        <v>Keystone</v>
      </c>
      <c r="BX362" s="64" t="str">
        <f>IF(OR(F362="SALE",F362="REFUNDED")=TRUE,iferror(Vlookup(I362,'Listing SKU - Fill SKU Mapping'!A:B,2,false),"Map"),"")</f>
        <v>44516BLK</v>
      </c>
      <c r="BY362" s="64">
        <f>IF(OR(F362="SALE",F362="REFUNDED")=TRUE,iferror(Vlookup(I362,'Listing SKU - Fill SKU Mapping'!A:D,4,false),"Map"),"")</f>
        <v>34.32</v>
      </c>
      <c r="BZ362" s="66">
        <f t="shared" si="1"/>
        <v>11.5</v>
      </c>
      <c r="CA362" s="66">
        <f t="shared" si="2"/>
        <v>45.82</v>
      </c>
      <c r="CB362" s="66">
        <f t="shared" si="3"/>
        <v>36</v>
      </c>
      <c r="CC362" s="64" t="str">
        <f>if(F362="REFUNDED",iferror(Vlookup(I362,'Listing SKU - Fill SKU Mapping'!A:B,2,false),"Map"),"")</f>
        <v/>
      </c>
      <c r="CD362" s="64" t="str">
        <f>if(F362="REFUNDED",iferror(Vlookup(I362,'Listing SKU - Fill SKU Mapping'!A:C,3,false),"Map"),"")</f>
        <v/>
      </c>
      <c r="CE362" s="64" t="str">
        <f t="shared" si="4"/>
        <v>2025</v>
      </c>
      <c r="CF362" s="64" t="str">
        <f t="shared" si="5"/>
        <v>October</v>
      </c>
      <c r="CG362" s="64" t="str">
        <f t="shared" si="6"/>
        <v/>
      </c>
    </row>
    <row r="363">
      <c r="A363" s="55">
        <v>2.0001E14</v>
      </c>
      <c r="B363" s="56">
        <v>1.0</v>
      </c>
      <c r="C363" s="57">
        <v>1.2903E14</v>
      </c>
      <c r="D363" s="58">
        <v>1.0</v>
      </c>
      <c r="F363" s="59" t="s">
        <v>100</v>
      </c>
      <c r="G363" s="60">
        <v>45936.0</v>
      </c>
      <c r="H363" s="58">
        <v>1.0</v>
      </c>
      <c r="I363" s="58" t="s">
        <v>323</v>
      </c>
      <c r="J363" s="61">
        <v>4.67129917358E11</v>
      </c>
      <c r="K363" s="62" t="s">
        <v>518</v>
      </c>
      <c r="L363" s="62">
        <v>2038710.0</v>
      </c>
      <c r="M363" s="63"/>
      <c r="N363" s="63"/>
      <c r="O363" s="62" t="s">
        <v>142</v>
      </c>
      <c r="P363" s="63"/>
      <c r="Q363" s="63"/>
      <c r="R363" s="62" t="s">
        <v>519</v>
      </c>
      <c r="S363" s="62">
        <v>70611.0</v>
      </c>
      <c r="T363" s="58" t="s">
        <v>105</v>
      </c>
      <c r="U363" s="59">
        <v>62.11</v>
      </c>
      <c r="V363" s="59">
        <v>52.99</v>
      </c>
      <c r="W363" s="58">
        <v>3.99</v>
      </c>
      <c r="X363" s="58">
        <v>7.0</v>
      </c>
      <c r="Y363" s="58">
        <v>10.0</v>
      </c>
      <c r="Z363" s="59">
        <v>56.98</v>
      </c>
      <c r="AA363" s="58">
        <v>0.0</v>
      </c>
      <c r="AB363" s="58">
        <v>0.0</v>
      </c>
      <c r="AC363" s="58">
        <v>0.0</v>
      </c>
      <c r="AD363" s="58">
        <v>0.0</v>
      </c>
      <c r="AE363" s="58">
        <v>0.0</v>
      </c>
      <c r="AF363" s="58">
        <v>0.0</v>
      </c>
      <c r="AG363" s="58">
        <v>0.0</v>
      </c>
      <c r="AH363" s="58">
        <v>0.0</v>
      </c>
      <c r="AI363" s="58">
        <v>0.0</v>
      </c>
      <c r="AJ363" s="58">
        <v>0.0</v>
      </c>
      <c r="AK363" s="58">
        <v>0.0</v>
      </c>
      <c r="AL363" s="58">
        <v>0.0</v>
      </c>
      <c r="AM363" s="58">
        <v>0.0</v>
      </c>
      <c r="AN363" s="58">
        <v>0.0</v>
      </c>
      <c r="AO363" s="68">
        <v>5.13</v>
      </c>
      <c r="AP363" s="68">
        <v>0.0</v>
      </c>
      <c r="AQ363" s="68">
        <v>0.0</v>
      </c>
      <c r="AR363" s="68">
        <v>0.0</v>
      </c>
      <c r="AS363" s="68">
        <v>0.0</v>
      </c>
      <c r="AT363" s="68">
        <v>0.0</v>
      </c>
      <c r="AU363" s="68">
        <v>0.0</v>
      </c>
      <c r="AV363" s="68">
        <v>0.0</v>
      </c>
      <c r="AW363" s="68">
        <v>0.0</v>
      </c>
      <c r="AX363" s="68">
        <v>0.0</v>
      </c>
      <c r="AY363" s="68">
        <v>0.0</v>
      </c>
      <c r="AZ363" s="68">
        <v>0.0</v>
      </c>
      <c r="BA363" s="68">
        <v>0.0</v>
      </c>
      <c r="BB363" s="68">
        <v>5.13</v>
      </c>
      <c r="BC363" s="68" t="s">
        <v>106</v>
      </c>
      <c r="BE363" s="68"/>
      <c r="BG363" s="70">
        <v>-5.7</v>
      </c>
      <c r="BH363" s="70" t="s">
        <v>107</v>
      </c>
      <c r="BI363" s="68" t="s">
        <v>108</v>
      </c>
      <c r="BJ363" s="68" t="s">
        <v>109</v>
      </c>
      <c r="BK363" s="68" t="s">
        <v>450</v>
      </c>
      <c r="BM363" s="68"/>
      <c r="BN363" s="68" t="s">
        <v>111</v>
      </c>
      <c r="BO363" s="70" t="s">
        <v>112</v>
      </c>
      <c r="BP363" s="68" t="s">
        <v>113</v>
      </c>
      <c r="BQ363" s="68" t="s">
        <v>114</v>
      </c>
      <c r="BR363" s="68">
        <v>1.71</v>
      </c>
      <c r="BS363" s="68"/>
      <c r="BT363" s="68"/>
      <c r="BW363" s="64" t="str">
        <f>if(OR(F363="SALE",F363="REFUNDED"),IFERROR(Vlookup(I363,'Listing SKU - Fill SKU Mapping'!A:C,3,false),"Map"),"")</f>
        <v>Keystone</v>
      </c>
      <c r="BX363" s="64" t="str">
        <f>IF(OR(F363="SALE",F363="REFUNDED")=TRUE,iferror(Vlookup(I363,'Listing SKU - Fill SKU Mapping'!A:B,2,false),"Map"),"")</f>
        <v>44715S</v>
      </c>
      <c r="BY363" s="64">
        <f>IF(OR(F363="SALE",F363="REFUNDED")=TRUE,iferror(Vlookup(I363,'Listing SKU - Fill SKU Mapping'!A:D,4,false),"Map"),"")</f>
        <v>14.99</v>
      </c>
      <c r="BZ363" s="66">
        <f t="shared" si="1"/>
        <v>11.5</v>
      </c>
      <c r="CA363" s="66">
        <f t="shared" si="2"/>
        <v>26.49</v>
      </c>
      <c r="CB363" s="66">
        <f t="shared" si="3"/>
        <v>26.5</v>
      </c>
      <c r="CC363" s="64" t="str">
        <f>if(F363="REFUNDED",iferror(Vlookup(I363,'Listing SKU - Fill SKU Mapping'!A:B,2,false),"Map"),"")</f>
        <v/>
      </c>
      <c r="CD363" s="64" t="str">
        <f>if(F363="REFUNDED",iferror(Vlookup(I363,'Listing SKU - Fill SKU Mapping'!A:C,3,false),"Map"),"")</f>
        <v/>
      </c>
      <c r="CE363" s="64" t="str">
        <f t="shared" si="4"/>
        <v>2025</v>
      </c>
      <c r="CF363" s="64" t="str">
        <f t="shared" si="5"/>
        <v>October</v>
      </c>
      <c r="CG363" s="64" t="str">
        <f t="shared" si="6"/>
        <v/>
      </c>
    </row>
    <row r="364">
      <c r="A364" s="55">
        <v>2.0001E14</v>
      </c>
      <c r="B364" s="56">
        <v>1.0</v>
      </c>
      <c r="C364" s="57">
        <v>1.1903E14</v>
      </c>
      <c r="D364" s="58">
        <v>1.0</v>
      </c>
      <c r="F364" s="59" t="s">
        <v>100</v>
      </c>
      <c r="G364" s="60">
        <v>45945.0</v>
      </c>
      <c r="H364" s="58">
        <v>1.0</v>
      </c>
      <c r="I364" s="58" t="s">
        <v>420</v>
      </c>
      <c r="J364" s="61">
        <v>4.50400888287E11</v>
      </c>
      <c r="K364" s="62" t="s">
        <v>483</v>
      </c>
      <c r="L364" s="62">
        <v>2038710.0</v>
      </c>
      <c r="M364" s="63"/>
      <c r="N364" s="63"/>
      <c r="O364" s="62" t="s">
        <v>142</v>
      </c>
      <c r="P364" s="63"/>
      <c r="Q364" s="63"/>
      <c r="R364" s="62" t="s">
        <v>520</v>
      </c>
      <c r="S364" s="62">
        <v>70648.0</v>
      </c>
      <c r="T364" s="58" t="s">
        <v>437</v>
      </c>
      <c r="U364" s="59">
        <v>21.78</v>
      </c>
      <c r="V364" s="59">
        <v>21.05</v>
      </c>
      <c r="W364" s="58">
        <v>1.93</v>
      </c>
      <c r="X364" s="58">
        <v>8.4</v>
      </c>
      <c r="Y364" s="58">
        <v>12.0</v>
      </c>
      <c r="Z364" s="59">
        <v>19.98</v>
      </c>
      <c r="AA364" s="58">
        <v>0.0</v>
      </c>
      <c r="AB364" s="58">
        <v>0.0</v>
      </c>
      <c r="AC364" s="58">
        <v>0.0</v>
      </c>
      <c r="AD364" s="58">
        <v>0.0</v>
      </c>
      <c r="AE364" s="58">
        <v>0.0</v>
      </c>
      <c r="AF364" s="58">
        <v>0.0</v>
      </c>
      <c r="AG364" s="58">
        <v>0.0</v>
      </c>
      <c r="AH364" s="58">
        <v>0.0</v>
      </c>
      <c r="AI364" s="58">
        <v>0.0</v>
      </c>
      <c r="AJ364" s="58">
        <v>0.0</v>
      </c>
      <c r="AK364" s="58">
        <v>0.0</v>
      </c>
      <c r="AL364" s="58">
        <v>0.0</v>
      </c>
      <c r="AM364" s="58">
        <v>0.0</v>
      </c>
      <c r="AN364" s="58">
        <v>0.0</v>
      </c>
      <c r="AO364" s="68">
        <v>1.8</v>
      </c>
      <c r="AP364" s="68">
        <v>0.0</v>
      </c>
      <c r="AQ364" s="68">
        <v>0.0</v>
      </c>
      <c r="AR364" s="68">
        <v>0.0</v>
      </c>
      <c r="AS364" s="68">
        <v>0.0</v>
      </c>
      <c r="AT364" s="68">
        <v>0.0</v>
      </c>
      <c r="AU364" s="68">
        <v>0.0</v>
      </c>
      <c r="AV364" s="68">
        <v>0.0</v>
      </c>
      <c r="AW364" s="68">
        <v>0.0</v>
      </c>
      <c r="AX364" s="68">
        <v>0.0</v>
      </c>
      <c r="AY364" s="68">
        <v>0.0</v>
      </c>
      <c r="AZ364" s="68">
        <v>0.0</v>
      </c>
      <c r="BA364" s="68">
        <v>0.0</v>
      </c>
      <c r="BB364" s="68">
        <v>1.8</v>
      </c>
      <c r="BC364" s="68" t="s">
        <v>106</v>
      </c>
      <c r="BE364" s="68"/>
      <c r="BF364" s="70">
        <v>22.98</v>
      </c>
      <c r="BG364" s="70">
        <v>-2.76</v>
      </c>
      <c r="BH364" s="68" t="s">
        <v>421</v>
      </c>
      <c r="BI364" s="68" t="s">
        <v>422</v>
      </c>
      <c r="BJ364" s="68" t="s">
        <v>423</v>
      </c>
      <c r="BK364" s="68" t="s">
        <v>473</v>
      </c>
      <c r="BM364" s="68"/>
      <c r="BN364" s="68" t="s">
        <v>111</v>
      </c>
      <c r="BO364" s="70" t="s">
        <v>424</v>
      </c>
      <c r="BP364" s="68" t="s">
        <v>113</v>
      </c>
      <c r="BQ364" s="68" t="s">
        <v>317</v>
      </c>
      <c r="BR364" s="68">
        <v>0.83</v>
      </c>
      <c r="BS364" s="68"/>
      <c r="BT364" s="68">
        <v>-3.0</v>
      </c>
      <c r="BU364" s="70" t="s">
        <v>318</v>
      </c>
      <c r="BV364" s="68" t="s">
        <v>318</v>
      </c>
      <c r="BW364" s="64" t="str">
        <f>if(OR(F364="SALE",F364="REFUNDED"),IFERROR(Vlookup(I364,'Listing SKU - Fill SKU Mapping'!A:C,3,false),"Map"),"")</f>
        <v>Map</v>
      </c>
      <c r="BX364" s="64" t="str">
        <f>IF(OR(F364="SALE",F364="REFUNDED")=TRUE,iferror(Vlookup(I364,'Listing SKU - Fill SKU Mapping'!A:B,2,false),"Map"),"")</f>
        <v>Map</v>
      </c>
      <c r="BY364" s="64" t="str">
        <f>IF(OR(F364="SALE",F364="REFUNDED")=TRUE,iferror(Vlookup(I364,'Listing SKU - Fill SKU Mapping'!A:D,4,false),"Map"),"")</f>
        <v>Map</v>
      </c>
      <c r="BZ364" s="66" t="str">
        <f t="shared" si="1"/>
        <v/>
      </c>
      <c r="CA364" s="64" t="str">
        <f t="shared" si="2"/>
        <v/>
      </c>
      <c r="CB364" s="64">
        <f t="shared" si="3"/>
        <v>21.05</v>
      </c>
      <c r="CC364" s="64" t="str">
        <f>if(F364="REFUNDED",iferror(Vlookup(I364,'Listing SKU - Fill SKU Mapping'!A:B,2,false),"Map"),"")</f>
        <v/>
      </c>
      <c r="CD364" s="64" t="str">
        <f>if(F364="REFUNDED",iferror(Vlookup(I364,'Listing SKU - Fill SKU Mapping'!A:C,3,false),"Map"),"")</f>
        <v/>
      </c>
      <c r="CE364" s="64" t="str">
        <f t="shared" si="4"/>
        <v>2025</v>
      </c>
      <c r="CF364" s="64" t="str">
        <f t="shared" si="5"/>
        <v>October</v>
      </c>
      <c r="CG364" s="64" t="str">
        <f t="shared" si="6"/>
        <v/>
      </c>
    </row>
    <row r="365">
      <c r="A365" s="55">
        <v>2.0001E14</v>
      </c>
      <c r="B365" s="56">
        <v>1.0</v>
      </c>
      <c r="C365" s="57">
        <v>1.1903E14</v>
      </c>
      <c r="D365" s="58">
        <v>1.0</v>
      </c>
      <c r="F365" s="59" t="s">
        <v>158</v>
      </c>
      <c r="G365" s="60">
        <v>45945.0</v>
      </c>
      <c r="H365" s="58">
        <v>1.0</v>
      </c>
      <c r="I365" s="58" t="s">
        <v>420</v>
      </c>
      <c r="J365" s="61">
        <v>4.50400888287E11</v>
      </c>
      <c r="K365" s="62" t="s">
        <v>483</v>
      </c>
      <c r="L365" s="62">
        <v>2038710.0</v>
      </c>
      <c r="M365" s="63"/>
      <c r="N365" s="63"/>
      <c r="O365" s="62" t="s">
        <v>142</v>
      </c>
      <c r="P365" s="63"/>
      <c r="Q365" s="63"/>
      <c r="R365" s="62" t="s">
        <v>520</v>
      </c>
      <c r="S365" s="62">
        <v>70648.0</v>
      </c>
      <c r="T365" s="58" t="s">
        <v>437</v>
      </c>
      <c r="U365" s="59">
        <v>0.0</v>
      </c>
      <c r="V365" s="59">
        <v>-6.15</v>
      </c>
      <c r="W365" s="58">
        <v>6.15</v>
      </c>
      <c r="X365" s="58">
        <v>0.0</v>
      </c>
      <c r="Z365" s="59">
        <v>0.0</v>
      </c>
      <c r="AA365" s="58">
        <v>0.0</v>
      </c>
      <c r="AB365" s="58">
        <v>0.0</v>
      </c>
      <c r="AC365" s="58">
        <v>0.0</v>
      </c>
      <c r="AD365" s="58">
        <v>0.0</v>
      </c>
      <c r="AE365" s="58">
        <v>0.0</v>
      </c>
      <c r="AF365" s="58">
        <v>0.0</v>
      </c>
      <c r="AG365" s="58">
        <v>0.0</v>
      </c>
      <c r="AH365" s="58">
        <v>0.0</v>
      </c>
      <c r="AI365" s="58">
        <v>0.0</v>
      </c>
      <c r="AJ365" s="58">
        <v>0.0</v>
      </c>
      <c r="AK365" s="58">
        <v>0.0</v>
      </c>
      <c r="AL365" s="58">
        <v>0.0</v>
      </c>
      <c r="AM365" s="58">
        <v>0.0</v>
      </c>
      <c r="AN365" s="58">
        <v>0.0</v>
      </c>
      <c r="AO365" s="68">
        <v>0.0</v>
      </c>
      <c r="AP365" s="68">
        <v>0.0</v>
      </c>
      <c r="AQ365" s="68">
        <v>0.0</v>
      </c>
      <c r="AR365" s="68">
        <v>0.0</v>
      </c>
      <c r="AS365" s="68">
        <v>0.0</v>
      </c>
      <c r="AT365" s="68">
        <v>0.0</v>
      </c>
      <c r="AU365" s="68">
        <v>0.0</v>
      </c>
      <c r="AV365" s="68">
        <v>0.0</v>
      </c>
      <c r="AW365" s="68">
        <v>0.0</v>
      </c>
      <c r="AX365" s="68">
        <v>0.0</v>
      </c>
      <c r="AY365" s="68">
        <v>0.0</v>
      </c>
      <c r="AZ365" s="68">
        <v>0.0</v>
      </c>
      <c r="BA365" s="68">
        <v>0.0</v>
      </c>
      <c r="BB365" s="68">
        <v>0.0</v>
      </c>
      <c r="BC365" s="68" t="s">
        <v>106</v>
      </c>
      <c r="BD365" s="70" t="s">
        <v>425</v>
      </c>
      <c r="BE365" s="68">
        <v>5041.0</v>
      </c>
      <c r="BF365" s="68">
        <v>22.98</v>
      </c>
      <c r="BG365" s="68"/>
      <c r="BH365" s="68" t="s">
        <v>421</v>
      </c>
      <c r="BI365" s="70" t="s">
        <v>422</v>
      </c>
      <c r="BL365" s="68"/>
      <c r="BM365" s="68"/>
      <c r="BN365" s="70" t="s">
        <v>111</v>
      </c>
      <c r="BO365" s="70" t="s">
        <v>424</v>
      </c>
      <c r="BQ365" s="68"/>
      <c r="BR365" s="68"/>
      <c r="BW365" s="64" t="str">
        <f>if(OR(F365="SALE",F365="REFUNDED"),IFERROR(Vlookup(I365,'Listing SKU - Fill SKU Mapping'!A:C,3,false),"Map"),"")</f>
        <v/>
      </c>
      <c r="BX365" s="64" t="str">
        <f>IF(OR(F365="SALE",F365="REFUNDED")=TRUE,iferror(Vlookup(I365,'Listing SKU - Fill SKU Mapping'!A:B,2,false),"Map"),"")</f>
        <v/>
      </c>
      <c r="BY365" s="64" t="str">
        <f>IF(OR(F365="SALE",F365="REFUNDED")=TRUE,iferror(Vlookup(I365,'Listing SKU - Fill SKU Mapping'!A:D,4,false),"Map"),"")</f>
        <v/>
      </c>
      <c r="BZ365" s="66" t="str">
        <f t="shared" si="1"/>
        <v/>
      </c>
      <c r="CA365" s="64" t="str">
        <f t="shared" si="2"/>
        <v/>
      </c>
      <c r="CB365" s="64" t="str">
        <f t="shared" si="3"/>
        <v/>
      </c>
      <c r="CC365" s="64" t="str">
        <f>if(F365="REFUNDED",iferror(Vlookup(I365,'Listing SKU - Fill SKU Mapping'!A:B,2,false),"Map"),"")</f>
        <v/>
      </c>
      <c r="CD365" s="64" t="str">
        <f>if(F365="REFUNDED",iferror(Vlookup(I365,'Listing SKU - Fill SKU Mapping'!A:C,3,false),"Map"),"")</f>
        <v/>
      </c>
      <c r="CE365" s="64" t="str">
        <f t="shared" si="4"/>
        <v>2025</v>
      </c>
      <c r="CF365" s="64" t="str">
        <f t="shared" si="5"/>
        <v>October</v>
      </c>
      <c r="CG365" s="64" t="str">
        <f t="shared" si="6"/>
        <v/>
      </c>
    </row>
    <row r="366">
      <c r="A366" s="55">
        <v>2.0001E14</v>
      </c>
      <c r="B366" s="56">
        <v>1.0</v>
      </c>
      <c r="C366" s="57">
        <v>1.2903E14</v>
      </c>
      <c r="D366" s="58">
        <v>1.0</v>
      </c>
      <c r="F366" s="59" t="s">
        <v>100</v>
      </c>
      <c r="G366" s="60">
        <v>45939.0</v>
      </c>
      <c r="H366" s="58">
        <v>1.0</v>
      </c>
      <c r="I366" s="58" t="s">
        <v>143</v>
      </c>
      <c r="J366" s="61">
        <v>4.60776238265E11</v>
      </c>
      <c r="K366" s="62" t="s">
        <v>144</v>
      </c>
      <c r="L366" s="62">
        <v>2038710.0</v>
      </c>
      <c r="M366" s="63"/>
      <c r="N366" s="63"/>
      <c r="O366" s="62" t="s">
        <v>457</v>
      </c>
      <c r="P366" s="63"/>
      <c r="Q366" s="63"/>
      <c r="R366" s="62" t="s">
        <v>257</v>
      </c>
      <c r="S366" s="62">
        <v>41101.0</v>
      </c>
      <c r="T366" s="58" t="s">
        <v>105</v>
      </c>
      <c r="U366" s="59">
        <v>108.1</v>
      </c>
      <c r="V366" s="59">
        <v>94.84</v>
      </c>
      <c r="W366" s="58">
        <v>7.14</v>
      </c>
      <c r="X366" s="58">
        <v>7.0</v>
      </c>
      <c r="Y366" s="58">
        <v>10.0</v>
      </c>
      <c r="Z366" s="59">
        <v>101.98</v>
      </c>
      <c r="AA366" s="58">
        <v>0.0</v>
      </c>
      <c r="AB366" s="58">
        <v>0.0</v>
      </c>
      <c r="AC366" s="58">
        <v>0.0</v>
      </c>
      <c r="AD366" s="58">
        <v>0.0</v>
      </c>
      <c r="AE366" s="58">
        <v>0.0</v>
      </c>
      <c r="AF366" s="58">
        <v>0.0</v>
      </c>
      <c r="AG366" s="58">
        <v>0.0</v>
      </c>
      <c r="AH366" s="58">
        <v>0.0</v>
      </c>
      <c r="AI366" s="58">
        <v>0.0</v>
      </c>
      <c r="AJ366" s="58">
        <v>0.0</v>
      </c>
      <c r="AK366" s="58">
        <v>0.0</v>
      </c>
      <c r="AL366" s="58">
        <v>0.0</v>
      </c>
      <c r="AM366" s="58">
        <v>0.0</v>
      </c>
      <c r="AN366" s="58">
        <v>0.0</v>
      </c>
      <c r="AO366" s="68">
        <v>6.12</v>
      </c>
      <c r="AP366" s="68">
        <v>0.0</v>
      </c>
      <c r="AQ366" s="68">
        <v>0.0</v>
      </c>
      <c r="AR366" s="68">
        <v>0.0</v>
      </c>
      <c r="AS366" s="68">
        <v>0.0</v>
      </c>
      <c r="AT366" s="68">
        <v>0.0</v>
      </c>
      <c r="AU366" s="68">
        <v>0.0</v>
      </c>
      <c r="AV366" s="68">
        <v>0.0</v>
      </c>
      <c r="AW366" s="68">
        <v>0.0</v>
      </c>
      <c r="AX366" s="68">
        <v>0.0</v>
      </c>
      <c r="AY366" s="68">
        <v>0.0</v>
      </c>
      <c r="AZ366" s="68">
        <v>0.0</v>
      </c>
      <c r="BA366" s="68">
        <v>0.0</v>
      </c>
      <c r="BB366" s="68">
        <v>6.12</v>
      </c>
      <c r="BC366" s="68" t="s">
        <v>106</v>
      </c>
      <c r="BE366" s="68"/>
      <c r="BG366" s="70">
        <v>-10.2</v>
      </c>
      <c r="BH366" s="70" t="s">
        <v>107</v>
      </c>
      <c r="BI366" s="68" t="s">
        <v>108</v>
      </c>
      <c r="BJ366" s="68" t="s">
        <v>109</v>
      </c>
      <c r="BK366" s="68" t="s">
        <v>450</v>
      </c>
      <c r="BM366" s="68"/>
      <c r="BN366" s="68" t="s">
        <v>111</v>
      </c>
      <c r="BO366" s="70" t="s">
        <v>112</v>
      </c>
      <c r="BP366" s="68" t="s">
        <v>113</v>
      </c>
      <c r="BQ366" s="68" t="s">
        <v>114</v>
      </c>
      <c r="BR366" s="68">
        <v>3.06</v>
      </c>
      <c r="BS366" s="68"/>
      <c r="BT366" s="68"/>
      <c r="BW366" s="64" t="str">
        <f>if(OR(F366="SALE",F366="REFUNDED"),IFERROR(Vlookup(I366,'Listing SKU - Fill SKU Mapping'!A:C,3,false),"Map"),"")</f>
        <v>Keystone</v>
      </c>
      <c r="BX366" s="64" t="str">
        <f>IF(OR(F366="SALE",F366="REFUNDED")=TRUE,iferror(Vlookup(I366,'Listing SKU - Fill SKU Mapping'!A:B,2,false),"Map"),"")</f>
        <v>IMP372BLKN</v>
      </c>
      <c r="BY366" s="64">
        <f>IF(OR(F366="SALE",F366="REFUNDED")=TRUE,iferror(Vlookup(I366,'Listing SKU - Fill SKU Mapping'!A:D,4,false),"Map"),"")</f>
        <v>45.36</v>
      </c>
      <c r="BZ366" s="66">
        <f t="shared" si="1"/>
        <v>11.5</v>
      </c>
      <c r="CA366" s="66">
        <f t="shared" si="2"/>
        <v>56.86</v>
      </c>
      <c r="CB366" s="66">
        <f t="shared" si="3"/>
        <v>37.98</v>
      </c>
      <c r="CC366" s="64" t="str">
        <f>if(F366="REFUNDED",iferror(Vlookup(I366,'Listing SKU - Fill SKU Mapping'!A:B,2,false),"Map"),"")</f>
        <v/>
      </c>
      <c r="CD366" s="64" t="str">
        <f>if(F366="REFUNDED",iferror(Vlookup(I366,'Listing SKU - Fill SKU Mapping'!A:C,3,false),"Map"),"")</f>
        <v/>
      </c>
      <c r="CE366" s="64" t="str">
        <f t="shared" si="4"/>
        <v>2025</v>
      </c>
      <c r="CF366" s="64" t="str">
        <f t="shared" si="5"/>
        <v>October</v>
      </c>
      <c r="CG366" s="64" t="str">
        <f t="shared" si="6"/>
        <v/>
      </c>
    </row>
    <row r="367">
      <c r="A367" s="55">
        <v>2.0001E14</v>
      </c>
      <c r="B367" s="56">
        <v>1.0</v>
      </c>
      <c r="C367" s="57">
        <v>1.2903E14</v>
      </c>
      <c r="D367" s="58">
        <v>1.0</v>
      </c>
      <c r="F367" s="59" t="s">
        <v>100</v>
      </c>
      <c r="G367" s="60">
        <v>45943.0</v>
      </c>
      <c r="H367" s="58">
        <v>1.0</v>
      </c>
      <c r="I367" s="58" t="s">
        <v>291</v>
      </c>
      <c r="J367" s="61">
        <v>4.67129915064E11</v>
      </c>
      <c r="K367" s="62" t="s">
        <v>292</v>
      </c>
      <c r="L367" s="62">
        <v>2038710.0</v>
      </c>
      <c r="M367" s="63"/>
      <c r="N367" s="63"/>
      <c r="O367" s="62" t="s">
        <v>161</v>
      </c>
      <c r="P367" s="63"/>
      <c r="Q367" s="63"/>
      <c r="R367" s="62" t="s">
        <v>521</v>
      </c>
      <c r="S367" s="62">
        <v>95407.0</v>
      </c>
      <c r="T367" s="58" t="s">
        <v>105</v>
      </c>
      <c r="U367" s="59">
        <v>85.69</v>
      </c>
      <c r="V367" s="59">
        <v>81.82</v>
      </c>
      <c r="W367" s="58">
        <v>6.16</v>
      </c>
      <c r="X367" s="58">
        <v>7.0</v>
      </c>
      <c r="Y367" s="58">
        <v>10.0</v>
      </c>
      <c r="Z367" s="59">
        <v>77.9</v>
      </c>
      <c r="AA367" s="58">
        <v>0.0</v>
      </c>
      <c r="AB367" s="58">
        <v>0.0</v>
      </c>
      <c r="AC367" s="58">
        <v>0.0</v>
      </c>
      <c r="AD367" s="58">
        <v>0.0</v>
      </c>
      <c r="AE367" s="58">
        <v>0.0</v>
      </c>
      <c r="AF367" s="58">
        <v>0.0</v>
      </c>
      <c r="AG367" s="58">
        <v>0.0</v>
      </c>
      <c r="AH367" s="58">
        <v>0.0</v>
      </c>
      <c r="AI367" s="58">
        <v>0.0</v>
      </c>
      <c r="AJ367" s="58">
        <v>0.0</v>
      </c>
      <c r="AK367" s="58">
        <v>0.0</v>
      </c>
      <c r="AL367" s="58">
        <v>0.0</v>
      </c>
      <c r="AM367" s="58">
        <v>0.0</v>
      </c>
      <c r="AN367" s="58">
        <v>0.0</v>
      </c>
      <c r="AO367" s="68">
        <v>7.79</v>
      </c>
      <c r="AP367" s="68">
        <v>0.0</v>
      </c>
      <c r="AQ367" s="68">
        <v>0.0</v>
      </c>
      <c r="AR367" s="68">
        <v>0.0</v>
      </c>
      <c r="AS367" s="68">
        <v>0.0</v>
      </c>
      <c r="AT367" s="68">
        <v>0.0</v>
      </c>
      <c r="AU367" s="68">
        <v>0.0</v>
      </c>
      <c r="AV367" s="68">
        <v>0.0</v>
      </c>
      <c r="AW367" s="68">
        <v>0.0</v>
      </c>
      <c r="AX367" s="68">
        <v>0.0</v>
      </c>
      <c r="AY367" s="68">
        <v>0.0</v>
      </c>
      <c r="AZ367" s="68">
        <v>0.0</v>
      </c>
      <c r="BA367" s="68">
        <v>0.0</v>
      </c>
      <c r="BB367" s="68">
        <v>7.79</v>
      </c>
      <c r="BC367" s="68" t="s">
        <v>106</v>
      </c>
      <c r="BE367" s="68"/>
      <c r="BF367" s="70">
        <v>87.98</v>
      </c>
      <c r="BG367" s="70">
        <v>-8.8</v>
      </c>
      <c r="BH367" s="68" t="s">
        <v>107</v>
      </c>
      <c r="BI367" s="68" t="s">
        <v>108</v>
      </c>
      <c r="BJ367" s="68" t="s">
        <v>109</v>
      </c>
      <c r="BK367" s="68" t="s">
        <v>473</v>
      </c>
      <c r="BM367" s="68"/>
      <c r="BN367" s="68" t="s">
        <v>111</v>
      </c>
      <c r="BO367" s="70" t="s">
        <v>112</v>
      </c>
      <c r="BP367" s="68" t="s">
        <v>113</v>
      </c>
      <c r="BQ367" s="68" t="s">
        <v>317</v>
      </c>
      <c r="BR367" s="68">
        <v>2.64</v>
      </c>
      <c r="BS367" s="68"/>
      <c r="BT367" s="68">
        <v>-10.08</v>
      </c>
      <c r="BU367" s="70" t="s">
        <v>318</v>
      </c>
      <c r="BV367" s="68" t="s">
        <v>318</v>
      </c>
      <c r="BW367" s="64" t="str">
        <f>if(OR(F367="SALE",F367="REFUNDED"),IFERROR(Vlookup(I367,'Listing SKU - Fill SKU Mapping'!A:C,3,false),"Map"),"")</f>
        <v>Keystone</v>
      </c>
      <c r="BX367" s="64" t="str">
        <f>IF(OR(F367="SALE",F367="REFUNDED")=TRUE,iferror(Vlookup(I367,'Listing SKU - Fill SKU Mapping'!A:B,2,false),"Map"),"")</f>
        <v>47218S</v>
      </c>
      <c r="BY367" s="64">
        <f>IF(OR(F367="SALE",F367="REFUNDED")=TRUE,iferror(Vlookup(I367,'Listing SKU - Fill SKU Mapping'!A:D,4,false),"Map"),"")</f>
        <v>34.71</v>
      </c>
      <c r="BZ367" s="66">
        <f t="shared" si="1"/>
        <v>11.5</v>
      </c>
      <c r="CA367" s="66">
        <f t="shared" si="2"/>
        <v>46.21</v>
      </c>
      <c r="CB367" s="66">
        <f t="shared" si="3"/>
        <v>35.61</v>
      </c>
      <c r="CC367" s="64" t="str">
        <f>if(F367="REFUNDED",iferror(Vlookup(I367,'Listing SKU - Fill SKU Mapping'!A:B,2,false),"Map"),"")</f>
        <v/>
      </c>
      <c r="CD367" s="64" t="str">
        <f>if(F367="REFUNDED",iferror(Vlookup(I367,'Listing SKU - Fill SKU Mapping'!A:C,3,false),"Map"),"")</f>
        <v/>
      </c>
      <c r="CE367" s="64" t="str">
        <f t="shared" si="4"/>
        <v>2025</v>
      </c>
      <c r="CF367" s="64" t="str">
        <f t="shared" si="5"/>
        <v>October</v>
      </c>
      <c r="CG367" s="64" t="str">
        <f t="shared" si="6"/>
        <v/>
      </c>
    </row>
    <row r="368">
      <c r="A368" s="55">
        <v>2.0001E14</v>
      </c>
      <c r="B368" s="56">
        <v>1.0</v>
      </c>
      <c r="C368" s="57">
        <v>1.2903E14</v>
      </c>
      <c r="D368" s="58">
        <v>1.0</v>
      </c>
      <c r="F368" s="59" t="s">
        <v>128</v>
      </c>
      <c r="G368" s="60">
        <v>45944.0</v>
      </c>
      <c r="H368" s="58">
        <v>1.0</v>
      </c>
      <c r="I368" s="58" t="s">
        <v>445</v>
      </c>
      <c r="J368" s="61">
        <v>4.60776241074E11</v>
      </c>
      <c r="K368" s="62" t="s">
        <v>522</v>
      </c>
      <c r="L368" s="62">
        <v>2038710.0</v>
      </c>
      <c r="M368" s="63"/>
      <c r="N368" s="63"/>
      <c r="O368" s="63"/>
      <c r="P368" s="63"/>
      <c r="Q368" s="63"/>
      <c r="R368" s="62" t="s">
        <v>523</v>
      </c>
      <c r="S368" s="62">
        <v>53115.0</v>
      </c>
      <c r="U368" s="59">
        <v>-106.53</v>
      </c>
      <c r="V368" s="59">
        <v>-93.91</v>
      </c>
      <c r="W368" s="58">
        <v>-7.07</v>
      </c>
      <c r="X368" s="58">
        <v>0.0</v>
      </c>
      <c r="Y368" s="58">
        <v>0.0</v>
      </c>
      <c r="Z368" s="59">
        <v>0.0</v>
      </c>
      <c r="AA368" s="58">
        <v>-100.98</v>
      </c>
      <c r="AB368" s="58">
        <v>0.0</v>
      </c>
      <c r="AC368" s="58">
        <v>0.0</v>
      </c>
      <c r="AD368" s="58">
        <v>0.0</v>
      </c>
      <c r="AE368" s="58">
        <v>0.0</v>
      </c>
      <c r="AF368" s="58">
        <v>0.0</v>
      </c>
      <c r="AG368" s="58">
        <v>0.0</v>
      </c>
      <c r="AH368" s="58">
        <v>0.0</v>
      </c>
      <c r="AI368" s="58">
        <v>0.0</v>
      </c>
      <c r="AJ368" s="58">
        <v>0.0</v>
      </c>
      <c r="AK368" s="58">
        <v>0.0</v>
      </c>
      <c r="AL368" s="58">
        <v>0.0</v>
      </c>
      <c r="AM368" s="58">
        <v>0.0</v>
      </c>
      <c r="AN368" s="58">
        <v>0.0</v>
      </c>
      <c r="AO368" s="68">
        <v>0.0</v>
      </c>
      <c r="AP368" s="68">
        <v>0.0</v>
      </c>
      <c r="AQ368" s="68">
        <v>0.0</v>
      </c>
      <c r="AR368" s="68">
        <v>0.0</v>
      </c>
      <c r="AS368" s="68">
        <v>0.0</v>
      </c>
      <c r="AT368" s="68">
        <v>-5.55</v>
      </c>
      <c r="AU368" s="68">
        <v>0.0</v>
      </c>
      <c r="AV368" s="68">
        <v>0.0</v>
      </c>
      <c r="AW368" s="68">
        <v>0.0</v>
      </c>
      <c r="AX368" s="68">
        <v>0.0</v>
      </c>
      <c r="AY368" s="68">
        <v>0.0</v>
      </c>
      <c r="AZ368" s="68">
        <v>0.0</v>
      </c>
      <c r="BA368" s="68">
        <v>0.0</v>
      </c>
      <c r="BB368" s="68">
        <v>-5.55</v>
      </c>
      <c r="BC368" s="68" t="s">
        <v>106</v>
      </c>
      <c r="BD368" s="68" t="s">
        <v>156</v>
      </c>
      <c r="BE368" s="68">
        <v>5010.0</v>
      </c>
      <c r="BF368" s="68"/>
      <c r="BG368" s="68"/>
      <c r="BH368" s="70" t="s">
        <v>107</v>
      </c>
      <c r="BI368" s="70" t="s">
        <v>108</v>
      </c>
      <c r="BK368" s="68"/>
      <c r="BL368" s="68">
        <v>1016.0</v>
      </c>
      <c r="BM368" s="70" t="s">
        <v>258</v>
      </c>
      <c r="BN368" s="68" t="s">
        <v>111</v>
      </c>
      <c r="BO368" s="68" t="s">
        <v>112</v>
      </c>
      <c r="BQ368" s="68"/>
      <c r="BR368" s="68"/>
      <c r="BW368" s="64" t="str">
        <f>if(OR(F368="SALE",F368="REFUNDED"),IFERROR(Vlookup(I368,'Listing SKU - Fill SKU Mapping'!A:C,3,false),"Map"),"")</f>
        <v>Keystone</v>
      </c>
      <c r="BX368" s="64" t="str">
        <f>IF(OR(F368="SALE",F368="REFUNDED")=TRUE,iferror(Vlookup(I368,'Listing SKU - Fill SKU Mapping'!A:B,2,false),"Map"),"")</f>
        <v>IMP82X</v>
      </c>
      <c r="BY368" s="64">
        <f>IF(OR(F368="SALE",F368="REFUNDED")=TRUE,iferror(Vlookup(I368,'Listing SKU - Fill SKU Mapping'!A:D,4,false),"Map"),"")</f>
        <v>44.97</v>
      </c>
      <c r="BZ368" s="66">
        <f t="shared" si="1"/>
        <v>11.5</v>
      </c>
      <c r="CA368" s="66">
        <f t="shared" si="2"/>
        <v>56.47</v>
      </c>
      <c r="CB368" s="64" t="str">
        <f t="shared" si="3"/>
        <v/>
      </c>
      <c r="CC368" s="64" t="str">
        <f>if(F368="REFUNDED",iferror(Vlookup(I368,'Listing SKU - Fill SKU Mapping'!A:B,2,false),"Map"),"")</f>
        <v>IMP82X</v>
      </c>
      <c r="CD368" s="64" t="str">
        <f>if(F368="REFUNDED",iferror(Vlookup(I368,'Listing SKU - Fill SKU Mapping'!A:C,3,false),"Map"),"")</f>
        <v>Keystone</v>
      </c>
      <c r="CE368" s="64" t="str">
        <f t="shared" si="4"/>
        <v>2025</v>
      </c>
      <c r="CF368" s="64" t="str">
        <f t="shared" si="5"/>
        <v>October</v>
      </c>
      <c r="CG368" s="64" t="str">
        <f t="shared" si="6"/>
        <v/>
      </c>
    </row>
    <row r="369">
      <c r="A369" s="55">
        <v>2.0001E14</v>
      </c>
      <c r="B369" s="56">
        <v>1.0</v>
      </c>
      <c r="C369" s="57">
        <v>1.2903E14</v>
      </c>
      <c r="D369" s="58">
        <v>1.0</v>
      </c>
      <c r="F369" s="59" t="s">
        <v>100</v>
      </c>
      <c r="G369" s="60">
        <v>45937.0</v>
      </c>
      <c r="H369" s="58">
        <v>1.0</v>
      </c>
      <c r="I369" s="58" t="s">
        <v>524</v>
      </c>
      <c r="J369" s="61">
        <v>4.66885049433E11</v>
      </c>
      <c r="K369" s="62" t="s">
        <v>525</v>
      </c>
      <c r="L369" s="62">
        <v>2038710.0</v>
      </c>
      <c r="M369" s="63"/>
      <c r="N369" s="63"/>
      <c r="O369" s="62" t="s">
        <v>103</v>
      </c>
      <c r="P369" s="63"/>
      <c r="Q369" s="63"/>
      <c r="R369" s="62" t="s">
        <v>526</v>
      </c>
      <c r="S369" s="62">
        <v>32570.0</v>
      </c>
      <c r="T369" s="58" t="s">
        <v>105</v>
      </c>
      <c r="U369" s="59">
        <v>72.65</v>
      </c>
      <c r="V369" s="59">
        <v>70.66</v>
      </c>
      <c r="W369" s="58">
        <v>5.32</v>
      </c>
      <c r="X369" s="58">
        <v>7.0</v>
      </c>
      <c r="Y369" s="58">
        <v>10.0</v>
      </c>
      <c r="Z369" s="59">
        <v>67.9</v>
      </c>
      <c r="AA369" s="58">
        <v>0.0</v>
      </c>
      <c r="AB369" s="58">
        <v>0.0</v>
      </c>
      <c r="AC369" s="58">
        <v>0.0</v>
      </c>
      <c r="AD369" s="58">
        <v>0.0</v>
      </c>
      <c r="AE369" s="58">
        <v>0.0</v>
      </c>
      <c r="AF369" s="58">
        <v>0.0</v>
      </c>
      <c r="AG369" s="58">
        <v>0.0</v>
      </c>
      <c r="AH369" s="58">
        <v>0.0</v>
      </c>
      <c r="AI369" s="58">
        <v>0.0</v>
      </c>
      <c r="AJ369" s="58">
        <v>0.0</v>
      </c>
      <c r="AK369" s="58">
        <v>0.0</v>
      </c>
      <c r="AL369" s="58">
        <v>0.0</v>
      </c>
      <c r="AM369" s="58">
        <v>0.0</v>
      </c>
      <c r="AN369" s="58">
        <v>0.0</v>
      </c>
      <c r="AO369" s="68">
        <v>4.75</v>
      </c>
      <c r="AP369" s="68">
        <v>0.0</v>
      </c>
      <c r="AQ369" s="68">
        <v>0.0</v>
      </c>
      <c r="AR369" s="68">
        <v>0.0</v>
      </c>
      <c r="AS369" s="68">
        <v>0.0</v>
      </c>
      <c r="AT369" s="68">
        <v>0.0</v>
      </c>
      <c r="AU369" s="68">
        <v>0.0</v>
      </c>
      <c r="AV369" s="68">
        <v>0.0</v>
      </c>
      <c r="AW369" s="68">
        <v>0.0</v>
      </c>
      <c r="AX369" s="68">
        <v>0.0</v>
      </c>
      <c r="AY369" s="68">
        <v>0.0</v>
      </c>
      <c r="AZ369" s="68">
        <v>0.0</v>
      </c>
      <c r="BA369" s="68">
        <v>0.0</v>
      </c>
      <c r="BB369" s="68">
        <v>4.75</v>
      </c>
      <c r="BC369" s="68" t="s">
        <v>106</v>
      </c>
      <c r="BE369" s="68"/>
      <c r="BF369" s="70">
        <v>75.98</v>
      </c>
      <c r="BG369" s="70">
        <v>-7.6</v>
      </c>
      <c r="BH369" s="68" t="s">
        <v>107</v>
      </c>
      <c r="BI369" s="68" t="s">
        <v>108</v>
      </c>
      <c r="BJ369" s="68" t="s">
        <v>109</v>
      </c>
      <c r="BK369" s="68" t="s">
        <v>450</v>
      </c>
      <c r="BM369" s="68"/>
      <c r="BN369" s="68" t="s">
        <v>111</v>
      </c>
      <c r="BO369" s="70" t="s">
        <v>112</v>
      </c>
      <c r="BP369" s="68" t="s">
        <v>113</v>
      </c>
      <c r="BQ369" s="68" t="s">
        <v>317</v>
      </c>
      <c r="BR369" s="68">
        <v>2.28</v>
      </c>
      <c r="BS369" s="68"/>
      <c r="BT369" s="68">
        <v>-8.08</v>
      </c>
      <c r="BU369" s="70" t="s">
        <v>318</v>
      </c>
      <c r="BV369" s="68" t="s">
        <v>318</v>
      </c>
      <c r="BW369" s="64" t="str">
        <f>if(OR(F369="SALE",F369="REFUNDED"),IFERROR(Vlookup(I369,'Listing SKU - Fill SKU Mapping'!A:C,3,false),"Map"),"")</f>
        <v>Keystone</v>
      </c>
      <c r="BX369" s="64" t="str">
        <f>IF(OR(F369="SALE",F369="REFUNDED")=TRUE,iferror(Vlookup(I369,'Listing SKU - Fill SKU Mapping'!A:B,2,false),"Map"),"")</f>
        <v>103716BLK</v>
      </c>
      <c r="BY369" s="64">
        <f>IF(OR(F369="SALE",F369="REFUNDED")=TRUE,iferror(Vlookup(I369,'Listing SKU - Fill SKU Mapping'!A:D,4,false),"Map"),"")</f>
        <v>27.22</v>
      </c>
      <c r="BZ369" s="66">
        <f t="shared" si="1"/>
        <v>11.5</v>
      </c>
      <c r="CA369" s="66">
        <f t="shared" si="2"/>
        <v>38.72</v>
      </c>
      <c r="CB369" s="66">
        <f t="shared" si="3"/>
        <v>31.94</v>
      </c>
      <c r="CC369" s="64" t="str">
        <f>if(F369="REFUNDED",iferror(Vlookup(I369,'Listing SKU - Fill SKU Mapping'!A:B,2,false),"Map"),"")</f>
        <v/>
      </c>
      <c r="CD369" s="64" t="str">
        <f>if(F369="REFUNDED",iferror(Vlookup(I369,'Listing SKU - Fill SKU Mapping'!A:C,3,false),"Map"),"")</f>
        <v/>
      </c>
      <c r="CE369" s="64" t="str">
        <f t="shared" si="4"/>
        <v>2025</v>
      </c>
      <c r="CF369" s="64" t="str">
        <f t="shared" si="5"/>
        <v>October</v>
      </c>
      <c r="CG369" s="64" t="str">
        <f t="shared" si="6"/>
        <v/>
      </c>
    </row>
    <row r="370">
      <c r="A370" s="55">
        <v>2.0001E14</v>
      </c>
      <c r="B370" s="56">
        <v>1.0</v>
      </c>
      <c r="C370" s="57">
        <v>1.2902E14</v>
      </c>
      <c r="D370" s="58">
        <v>1.0</v>
      </c>
      <c r="F370" s="59" t="s">
        <v>158</v>
      </c>
      <c r="G370" s="60">
        <v>45942.0</v>
      </c>
      <c r="H370" s="58">
        <v>1.0</v>
      </c>
      <c r="I370" s="58" t="s">
        <v>397</v>
      </c>
      <c r="J370" s="61">
        <v>4.6456712584E11</v>
      </c>
      <c r="K370" s="62" t="s">
        <v>527</v>
      </c>
      <c r="L370" s="62">
        <v>2038710.0</v>
      </c>
      <c r="M370" s="63"/>
      <c r="N370" s="63"/>
      <c r="O370" s="62" t="s">
        <v>161</v>
      </c>
      <c r="P370" s="63"/>
      <c r="Q370" s="63"/>
      <c r="R370" s="62" t="s">
        <v>528</v>
      </c>
      <c r="S370" s="62">
        <v>92057.0</v>
      </c>
      <c r="T370" s="58" t="s">
        <v>105</v>
      </c>
      <c r="U370" s="59">
        <v>0.0</v>
      </c>
      <c r="V370" s="59">
        <v>-8.89</v>
      </c>
      <c r="W370" s="58">
        <v>0.0</v>
      </c>
      <c r="X370" s="58">
        <v>0.0</v>
      </c>
      <c r="Z370" s="59">
        <v>0.0</v>
      </c>
      <c r="AA370" s="58">
        <v>0.0</v>
      </c>
      <c r="AB370" s="58">
        <v>0.0</v>
      </c>
      <c r="AC370" s="58">
        <v>0.0</v>
      </c>
      <c r="AD370" s="58">
        <v>0.0</v>
      </c>
      <c r="AE370" s="58">
        <v>0.0</v>
      </c>
      <c r="AF370" s="58">
        <v>0.0</v>
      </c>
      <c r="AG370" s="58">
        <v>0.0</v>
      </c>
      <c r="AH370" s="58">
        <v>0.0</v>
      </c>
      <c r="AI370" s="58">
        <v>0.0</v>
      </c>
      <c r="AJ370" s="58">
        <v>0.0</v>
      </c>
      <c r="AK370" s="58">
        <v>0.0</v>
      </c>
      <c r="AL370" s="58">
        <v>0.0</v>
      </c>
      <c r="AM370" s="58">
        <v>0.0</v>
      </c>
      <c r="AN370" s="58">
        <v>0.0</v>
      </c>
      <c r="AO370" s="68">
        <v>0.0</v>
      </c>
      <c r="AP370" s="68">
        <v>0.0</v>
      </c>
      <c r="AQ370" s="68">
        <v>0.0</v>
      </c>
      <c r="AR370" s="68">
        <v>0.0</v>
      </c>
      <c r="AS370" s="68">
        <v>0.0</v>
      </c>
      <c r="AT370" s="68">
        <v>0.0</v>
      </c>
      <c r="AU370" s="68">
        <v>0.0</v>
      </c>
      <c r="AV370" s="68">
        <v>0.0</v>
      </c>
      <c r="AW370" s="68">
        <v>0.0</v>
      </c>
      <c r="AX370" s="68">
        <v>0.0</v>
      </c>
      <c r="AY370" s="68">
        <v>0.0</v>
      </c>
      <c r="AZ370" s="68">
        <v>0.0</v>
      </c>
      <c r="BA370" s="68">
        <v>0.0</v>
      </c>
      <c r="BB370" s="68">
        <v>0.0</v>
      </c>
      <c r="BC370" s="68" t="s">
        <v>106</v>
      </c>
      <c r="BD370" s="70" t="s">
        <v>163</v>
      </c>
      <c r="BE370" s="68">
        <v>5013.0</v>
      </c>
      <c r="BF370" s="68"/>
      <c r="BG370" s="68"/>
      <c r="BH370" s="70" t="s">
        <v>107</v>
      </c>
      <c r="BI370" s="70" t="s">
        <v>108</v>
      </c>
      <c r="BK370" s="68"/>
      <c r="BL370" s="68"/>
      <c r="BN370" s="70" t="s">
        <v>111</v>
      </c>
      <c r="BO370" s="70" t="s">
        <v>112</v>
      </c>
      <c r="BQ370" s="68"/>
      <c r="BR370" s="68"/>
      <c r="BW370" s="64" t="str">
        <f>if(OR(F370="SALE",F370="REFUNDED"),IFERROR(Vlookup(I370,'Listing SKU - Fill SKU Mapping'!A:C,3,false),"Map"),"")</f>
        <v/>
      </c>
      <c r="BX370" s="64" t="str">
        <f>IF(OR(F370="SALE",F370="REFUNDED")=TRUE,iferror(Vlookup(I370,'Listing SKU - Fill SKU Mapping'!A:B,2,false),"Map"),"")</f>
        <v/>
      </c>
      <c r="BY370" s="64" t="str">
        <f>IF(OR(F370="SALE",F370="REFUNDED")=TRUE,iferror(Vlookup(I370,'Listing SKU - Fill SKU Mapping'!A:D,4,false),"Map"),"")</f>
        <v/>
      </c>
      <c r="BZ370" s="66" t="str">
        <f t="shared" si="1"/>
        <v/>
      </c>
      <c r="CA370" s="64" t="str">
        <f t="shared" si="2"/>
        <v/>
      </c>
      <c r="CB370" s="64" t="str">
        <f t="shared" si="3"/>
        <v/>
      </c>
      <c r="CC370" s="64" t="str">
        <f>if(F370="REFUNDED",iferror(Vlookup(I370,'Listing SKU - Fill SKU Mapping'!A:B,2,false),"Map"),"")</f>
        <v/>
      </c>
      <c r="CD370" s="64" t="str">
        <f>if(F370="REFUNDED",iferror(Vlookup(I370,'Listing SKU - Fill SKU Mapping'!A:C,3,false),"Map"),"")</f>
        <v/>
      </c>
      <c r="CE370" s="64" t="str">
        <f t="shared" si="4"/>
        <v>2025</v>
      </c>
      <c r="CF370" s="64" t="str">
        <f t="shared" si="5"/>
        <v>October</v>
      </c>
      <c r="CG370" s="64" t="str">
        <f t="shared" si="6"/>
        <v/>
      </c>
    </row>
    <row r="371">
      <c r="A371" s="55">
        <v>2.0001E14</v>
      </c>
      <c r="B371" s="56">
        <v>1.0</v>
      </c>
      <c r="C371" s="57">
        <v>1.2903E14</v>
      </c>
      <c r="D371" s="58">
        <v>1.0</v>
      </c>
      <c r="F371" s="59" t="s">
        <v>100</v>
      </c>
      <c r="G371" s="60">
        <v>45945.0</v>
      </c>
      <c r="H371" s="58">
        <v>1.0</v>
      </c>
      <c r="I371" s="58" t="s">
        <v>529</v>
      </c>
      <c r="J371" s="61">
        <v>4.60776235226E11</v>
      </c>
      <c r="K371" s="62" t="s">
        <v>530</v>
      </c>
      <c r="L371" s="62">
        <v>2038710.0</v>
      </c>
      <c r="M371" s="63"/>
      <c r="N371" s="63"/>
      <c r="O371" s="62" t="s">
        <v>227</v>
      </c>
      <c r="P371" s="63"/>
      <c r="Q371" s="63"/>
      <c r="R371" s="62" t="s">
        <v>531</v>
      </c>
      <c r="S371" s="62">
        <v>48076.0</v>
      </c>
      <c r="T371" s="58" t="s">
        <v>105</v>
      </c>
      <c r="U371" s="59">
        <v>127.13</v>
      </c>
      <c r="V371" s="59">
        <v>115.3</v>
      </c>
      <c r="W371" s="58">
        <v>8.68</v>
      </c>
      <c r="X371" s="58">
        <v>7.0</v>
      </c>
      <c r="Y371" s="58">
        <v>10.0</v>
      </c>
      <c r="Z371" s="59">
        <v>119.93</v>
      </c>
      <c r="AA371" s="58">
        <v>0.0</v>
      </c>
      <c r="AB371" s="58">
        <v>0.0</v>
      </c>
      <c r="AC371" s="58">
        <v>0.0</v>
      </c>
      <c r="AD371" s="58">
        <v>0.0</v>
      </c>
      <c r="AE371" s="58">
        <v>0.0</v>
      </c>
      <c r="AF371" s="58">
        <v>0.0</v>
      </c>
      <c r="AG371" s="58">
        <v>0.0</v>
      </c>
      <c r="AH371" s="58">
        <v>0.0</v>
      </c>
      <c r="AI371" s="58">
        <v>0.0</v>
      </c>
      <c r="AJ371" s="58">
        <v>0.0</v>
      </c>
      <c r="AK371" s="58">
        <v>0.0</v>
      </c>
      <c r="AL371" s="58">
        <v>0.0</v>
      </c>
      <c r="AM371" s="58">
        <v>0.0</v>
      </c>
      <c r="AN371" s="58">
        <v>0.0</v>
      </c>
      <c r="AO371" s="68">
        <v>7.2</v>
      </c>
      <c r="AP371" s="68">
        <v>0.0</v>
      </c>
      <c r="AQ371" s="68">
        <v>0.0</v>
      </c>
      <c r="AR371" s="68">
        <v>0.0</v>
      </c>
      <c r="AS371" s="68">
        <v>0.0</v>
      </c>
      <c r="AT371" s="68">
        <v>0.0</v>
      </c>
      <c r="AU371" s="68">
        <v>0.0</v>
      </c>
      <c r="AV371" s="68">
        <v>0.0</v>
      </c>
      <c r="AW371" s="68">
        <v>0.0</v>
      </c>
      <c r="AX371" s="68">
        <v>0.0</v>
      </c>
      <c r="AY371" s="68">
        <v>0.0</v>
      </c>
      <c r="AZ371" s="68">
        <v>0.0</v>
      </c>
      <c r="BA371" s="68">
        <v>0.0</v>
      </c>
      <c r="BB371" s="68">
        <v>7.2</v>
      </c>
      <c r="BC371" s="68" t="s">
        <v>106</v>
      </c>
      <c r="BE371" s="68"/>
      <c r="BF371" s="70">
        <v>123.98</v>
      </c>
      <c r="BG371" s="70">
        <v>-12.4</v>
      </c>
      <c r="BH371" s="68" t="s">
        <v>107</v>
      </c>
      <c r="BI371" s="68" t="s">
        <v>108</v>
      </c>
      <c r="BJ371" s="68" t="s">
        <v>109</v>
      </c>
      <c r="BK371" s="68" t="s">
        <v>473</v>
      </c>
      <c r="BM371" s="68"/>
      <c r="BN371" s="68" t="s">
        <v>111</v>
      </c>
      <c r="BO371" s="70" t="s">
        <v>112</v>
      </c>
      <c r="BP371" s="68" t="s">
        <v>113</v>
      </c>
      <c r="BQ371" s="68" t="s">
        <v>317</v>
      </c>
      <c r="BR371" s="68">
        <v>3.72</v>
      </c>
      <c r="BS371" s="68"/>
      <c r="BT371" s="68">
        <v>-4.05</v>
      </c>
      <c r="BU371" s="70" t="s">
        <v>318</v>
      </c>
      <c r="BV371" s="68" t="s">
        <v>318</v>
      </c>
      <c r="BW371" s="64" t="str">
        <f>if(OR(F371="SALE",F371="REFUNDED"),IFERROR(Vlookup(I371,'Listing SKU - Fill SKU Mapping'!A:C,3,false),"Map"),"")</f>
        <v>Keystone</v>
      </c>
      <c r="BX371" s="64" t="str">
        <f>IF(OR(F371="SALE",F371="REFUNDED")=TRUE,iferror(Vlookup(I371,'Listing SKU - Fill SKU Mapping'!A:B,2,false),"Map"),"")</f>
        <v>IMP73X</v>
      </c>
      <c r="BY371" s="64">
        <f>IF(OR(F371="SALE",F371="REFUNDED")=TRUE,iferror(Vlookup(I371,'Listing SKU - Fill SKU Mapping'!A:D,4,false),"Map"),"")</f>
        <v>59.57</v>
      </c>
      <c r="BZ371" s="66">
        <f t="shared" si="1"/>
        <v>11.5</v>
      </c>
      <c r="CA371" s="66">
        <f t="shared" si="2"/>
        <v>71.07</v>
      </c>
      <c r="CB371" s="66">
        <f t="shared" si="3"/>
        <v>44.23</v>
      </c>
      <c r="CC371" s="64" t="str">
        <f>if(F371="REFUNDED",iferror(Vlookup(I371,'Listing SKU - Fill SKU Mapping'!A:B,2,false),"Map"),"")</f>
        <v/>
      </c>
      <c r="CD371" s="64" t="str">
        <f>if(F371="REFUNDED",iferror(Vlookup(I371,'Listing SKU - Fill SKU Mapping'!A:C,3,false),"Map"),"")</f>
        <v/>
      </c>
      <c r="CE371" s="64" t="str">
        <f t="shared" si="4"/>
        <v>2025</v>
      </c>
      <c r="CF371" s="64" t="str">
        <f t="shared" si="5"/>
        <v>October</v>
      </c>
      <c r="CG371" s="64" t="str">
        <f t="shared" si="6"/>
        <v/>
      </c>
    </row>
    <row r="372">
      <c r="A372" s="55">
        <v>2.0001E14</v>
      </c>
      <c r="B372" s="56">
        <v>2.0</v>
      </c>
      <c r="C372" s="57">
        <v>1.0902E14</v>
      </c>
      <c r="D372" s="58">
        <v>2.0</v>
      </c>
      <c r="F372" s="59" t="s">
        <v>158</v>
      </c>
      <c r="G372" s="60">
        <v>45942.0</v>
      </c>
      <c r="H372" s="58">
        <v>1.0</v>
      </c>
      <c r="I372" s="58" t="s">
        <v>361</v>
      </c>
      <c r="J372" s="61">
        <v>4.65595347495E11</v>
      </c>
      <c r="K372" s="62" t="s">
        <v>532</v>
      </c>
      <c r="L372" s="62">
        <v>2038710.0</v>
      </c>
      <c r="M372" s="63"/>
      <c r="N372" s="63"/>
      <c r="O372" s="62" t="s">
        <v>161</v>
      </c>
      <c r="P372" s="63"/>
      <c r="Q372" s="63"/>
      <c r="R372" s="62" t="s">
        <v>533</v>
      </c>
      <c r="S372" s="62">
        <v>95820.0</v>
      </c>
      <c r="T372" s="58" t="s">
        <v>105</v>
      </c>
      <c r="U372" s="59">
        <v>0.0</v>
      </c>
      <c r="V372" s="59">
        <v>-10.81</v>
      </c>
      <c r="W372" s="58">
        <v>0.0</v>
      </c>
      <c r="X372" s="58">
        <v>0.0</v>
      </c>
      <c r="Z372" s="59">
        <v>0.0</v>
      </c>
      <c r="AA372" s="58">
        <v>0.0</v>
      </c>
      <c r="AB372" s="58">
        <v>0.0</v>
      </c>
      <c r="AC372" s="58">
        <v>0.0</v>
      </c>
      <c r="AD372" s="58">
        <v>0.0</v>
      </c>
      <c r="AE372" s="58">
        <v>0.0</v>
      </c>
      <c r="AF372" s="58">
        <v>0.0</v>
      </c>
      <c r="AG372" s="58">
        <v>0.0</v>
      </c>
      <c r="AH372" s="58">
        <v>0.0</v>
      </c>
      <c r="AI372" s="58">
        <v>0.0</v>
      </c>
      <c r="AJ372" s="58">
        <v>0.0</v>
      </c>
      <c r="AK372" s="58">
        <v>0.0</v>
      </c>
      <c r="AL372" s="58">
        <v>0.0</v>
      </c>
      <c r="AM372" s="58">
        <v>0.0</v>
      </c>
      <c r="AN372" s="58">
        <v>0.0</v>
      </c>
      <c r="AO372" s="68">
        <v>0.0</v>
      </c>
      <c r="AP372" s="68">
        <v>0.0</v>
      </c>
      <c r="AQ372" s="68">
        <v>0.0</v>
      </c>
      <c r="AR372" s="68">
        <v>0.0</v>
      </c>
      <c r="AS372" s="68">
        <v>0.0</v>
      </c>
      <c r="AT372" s="68">
        <v>0.0</v>
      </c>
      <c r="AU372" s="68">
        <v>0.0</v>
      </c>
      <c r="AV372" s="68">
        <v>0.0</v>
      </c>
      <c r="AW372" s="68">
        <v>0.0</v>
      </c>
      <c r="AX372" s="68">
        <v>0.0</v>
      </c>
      <c r="AY372" s="68">
        <v>0.0</v>
      </c>
      <c r="AZ372" s="68">
        <v>0.0</v>
      </c>
      <c r="BA372" s="68">
        <v>0.0</v>
      </c>
      <c r="BB372" s="68">
        <v>0.0</v>
      </c>
      <c r="BC372" s="68" t="s">
        <v>106</v>
      </c>
      <c r="BD372" s="70" t="s">
        <v>163</v>
      </c>
      <c r="BE372" s="68">
        <v>5013.0</v>
      </c>
      <c r="BF372" s="68">
        <v>95.98</v>
      </c>
      <c r="BG372" s="68"/>
      <c r="BH372" s="68" t="s">
        <v>107</v>
      </c>
      <c r="BI372" s="70" t="s">
        <v>108</v>
      </c>
      <c r="BK372" s="68"/>
      <c r="BL372" s="68"/>
      <c r="BN372" s="70" t="s">
        <v>111</v>
      </c>
      <c r="BO372" s="70" t="s">
        <v>112</v>
      </c>
      <c r="BQ372" s="68"/>
      <c r="BR372" s="68"/>
      <c r="BW372" s="64" t="str">
        <f>if(OR(F372="SALE",F372="REFUNDED"),IFERROR(Vlookup(I372,'Listing SKU - Fill SKU Mapping'!A:C,3,false),"Map"),"")</f>
        <v/>
      </c>
      <c r="BX372" s="64" t="str">
        <f>IF(OR(F372="SALE",F372="REFUNDED")=TRUE,iferror(Vlookup(I372,'Listing SKU - Fill SKU Mapping'!A:B,2,false),"Map"),"")</f>
        <v/>
      </c>
      <c r="BY372" s="64" t="str">
        <f>IF(OR(F372="SALE",F372="REFUNDED")=TRUE,iferror(Vlookup(I372,'Listing SKU - Fill SKU Mapping'!A:D,4,false),"Map"),"")</f>
        <v/>
      </c>
      <c r="BZ372" s="66" t="str">
        <f t="shared" si="1"/>
        <v/>
      </c>
      <c r="CA372" s="64" t="str">
        <f t="shared" si="2"/>
        <v/>
      </c>
      <c r="CB372" s="64" t="str">
        <f t="shared" si="3"/>
        <v/>
      </c>
      <c r="CC372" s="64" t="str">
        <f>if(F372="REFUNDED",iferror(Vlookup(I372,'Listing SKU - Fill SKU Mapping'!A:B,2,false),"Map"),"")</f>
        <v/>
      </c>
      <c r="CD372" s="64" t="str">
        <f>if(F372="REFUNDED",iferror(Vlookup(I372,'Listing SKU - Fill SKU Mapping'!A:C,3,false),"Map"),"")</f>
        <v/>
      </c>
      <c r="CE372" s="64" t="str">
        <f t="shared" si="4"/>
        <v>2025</v>
      </c>
      <c r="CF372" s="64" t="str">
        <f t="shared" si="5"/>
        <v>October</v>
      </c>
      <c r="CG372" s="64" t="str">
        <f t="shared" si="6"/>
        <v/>
      </c>
    </row>
    <row r="373">
      <c r="A373" s="55">
        <v>2.0001E14</v>
      </c>
      <c r="B373" s="56">
        <v>1.0</v>
      </c>
      <c r="C373" s="57">
        <v>1.2903E14</v>
      </c>
      <c r="D373" s="58">
        <v>1.0</v>
      </c>
      <c r="F373" s="59" t="s">
        <v>100</v>
      </c>
      <c r="G373" s="60">
        <v>45950.0</v>
      </c>
      <c r="H373" s="58">
        <v>1.0</v>
      </c>
      <c r="I373" s="58" t="s">
        <v>420</v>
      </c>
      <c r="J373" s="61">
        <v>4.50400888287E11</v>
      </c>
      <c r="K373" s="62" t="s">
        <v>483</v>
      </c>
      <c r="L373" s="62">
        <v>2038710.0</v>
      </c>
      <c r="M373" s="63"/>
      <c r="N373" s="63"/>
      <c r="O373" s="62" t="s">
        <v>276</v>
      </c>
      <c r="P373" s="63"/>
      <c r="Q373" s="63"/>
      <c r="R373" s="62" t="s">
        <v>534</v>
      </c>
      <c r="S373" s="62">
        <v>62305.0</v>
      </c>
      <c r="T373" s="58" t="s">
        <v>437</v>
      </c>
      <c r="U373" s="59">
        <v>21.28</v>
      </c>
      <c r="V373" s="59">
        <v>21.05</v>
      </c>
      <c r="W373" s="58">
        <v>1.93</v>
      </c>
      <c r="X373" s="58">
        <v>8.4</v>
      </c>
      <c r="Y373" s="58">
        <v>12.0</v>
      </c>
      <c r="Z373" s="59">
        <v>19.98</v>
      </c>
      <c r="AA373" s="58">
        <v>0.0</v>
      </c>
      <c r="AB373" s="58">
        <v>0.0</v>
      </c>
      <c r="AC373" s="58">
        <v>0.0</v>
      </c>
      <c r="AD373" s="58">
        <v>0.0</v>
      </c>
      <c r="AE373" s="58">
        <v>0.0</v>
      </c>
      <c r="AF373" s="58">
        <v>0.0</v>
      </c>
      <c r="AG373" s="58">
        <v>0.0</v>
      </c>
      <c r="AH373" s="58">
        <v>0.0</v>
      </c>
      <c r="AI373" s="58">
        <v>0.0</v>
      </c>
      <c r="AJ373" s="58">
        <v>0.0</v>
      </c>
      <c r="AK373" s="58">
        <v>0.0</v>
      </c>
      <c r="AL373" s="58">
        <v>0.0</v>
      </c>
      <c r="AM373" s="58">
        <v>0.0</v>
      </c>
      <c r="AN373" s="58">
        <v>0.0</v>
      </c>
      <c r="AO373" s="58">
        <v>0.0</v>
      </c>
      <c r="AP373" s="58">
        <v>1.3</v>
      </c>
      <c r="AQ373" s="58">
        <v>0.0</v>
      </c>
      <c r="AR373" s="58">
        <v>0.0</v>
      </c>
      <c r="AS373" s="58">
        <v>0.0</v>
      </c>
      <c r="AT373" s="58">
        <v>0.0</v>
      </c>
      <c r="AU373" s="58">
        <v>0.0</v>
      </c>
      <c r="AV373" s="58">
        <v>0.0</v>
      </c>
      <c r="AW373" s="58">
        <v>0.0</v>
      </c>
      <c r="AX373" s="58">
        <v>0.0</v>
      </c>
      <c r="AY373" s="58">
        <v>0.0</v>
      </c>
      <c r="AZ373" s="58">
        <v>0.0</v>
      </c>
      <c r="BA373" s="58">
        <v>0.0</v>
      </c>
      <c r="BB373" s="58">
        <v>1.3</v>
      </c>
      <c r="BC373" s="58" t="s">
        <v>106</v>
      </c>
      <c r="BF373" s="58">
        <v>22.98</v>
      </c>
      <c r="BG373" s="58">
        <v>-2.76</v>
      </c>
      <c r="BH373" s="58" t="s">
        <v>421</v>
      </c>
      <c r="BI373" s="58" t="s">
        <v>422</v>
      </c>
      <c r="BJ373" s="58" t="s">
        <v>423</v>
      </c>
      <c r="BK373" s="58" t="s">
        <v>535</v>
      </c>
      <c r="BN373" s="58" t="s">
        <v>111</v>
      </c>
      <c r="BO373" s="58" t="s">
        <v>424</v>
      </c>
      <c r="BP373" s="58" t="s">
        <v>113</v>
      </c>
      <c r="BQ373" s="58" t="s">
        <v>317</v>
      </c>
      <c r="BR373" s="58">
        <v>0.83</v>
      </c>
      <c r="BT373" s="58">
        <v>-3.0</v>
      </c>
      <c r="BU373" s="73" t="s">
        <v>318</v>
      </c>
      <c r="BW373" s="64" t="str">
        <f>if(OR(F373="SALE",F373="REFUNDED"),IFERROR(Vlookup(I373,'Listing SKU - Fill SKU Mapping'!A:C,3,false),"Map"),"")</f>
        <v>Map</v>
      </c>
      <c r="BX373" s="64" t="str">
        <f>IF(OR(F373="SALE",F373="REFUNDED")=TRUE,iferror(Vlookup(I373,'Listing SKU - Fill SKU Mapping'!A:B,2,false),"Map"),"")</f>
        <v>Map</v>
      </c>
      <c r="BY373" s="64" t="str">
        <f>IF(OR(F373="SALE",F373="REFUNDED")=TRUE,iferror(Vlookup(I373,'Listing SKU - Fill SKU Mapping'!A:D,4,false),"Map"),"")</f>
        <v>Map</v>
      </c>
      <c r="BZ373" s="66" t="str">
        <f t="shared" si="1"/>
        <v/>
      </c>
      <c r="CA373" s="64" t="str">
        <f t="shared" si="2"/>
        <v/>
      </c>
      <c r="CB373" s="64">
        <f t="shared" si="3"/>
        <v>21.05</v>
      </c>
      <c r="CC373" s="64" t="str">
        <f>if(F373="REFUNDED",iferror(Vlookup(I373,'Listing SKU - Fill SKU Mapping'!A:B,2,false),"Map"),"")</f>
        <v/>
      </c>
      <c r="CD373" s="64" t="str">
        <f>if(F373="REFUNDED",iferror(Vlookup(I373,'Listing SKU - Fill SKU Mapping'!A:C,3,false),"Map"),"")</f>
        <v/>
      </c>
      <c r="CE373" s="64" t="str">
        <f t="shared" si="4"/>
        <v>2025</v>
      </c>
      <c r="CF373" s="64" t="str">
        <f t="shared" si="5"/>
        <v>October</v>
      </c>
      <c r="CG373" s="64" t="str">
        <f t="shared" si="6"/>
        <v/>
      </c>
    </row>
    <row r="374">
      <c r="A374" s="55">
        <v>2.0001E14</v>
      </c>
      <c r="B374" s="56">
        <v>1.0</v>
      </c>
      <c r="C374" s="57">
        <v>1.2903E14</v>
      </c>
      <c r="D374" s="58">
        <v>1.0</v>
      </c>
      <c r="F374" s="59" t="s">
        <v>158</v>
      </c>
      <c r="G374" s="60">
        <v>45950.0</v>
      </c>
      <c r="H374" s="58">
        <v>1.0</v>
      </c>
      <c r="I374" s="58" t="s">
        <v>420</v>
      </c>
      <c r="J374" s="61">
        <v>4.50400888287E11</v>
      </c>
      <c r="K374" s="62" t="s">
        <v>483</v>
      </c>
      <c r="L374" s="62">
        <v>2038710.0</v>
      </c>
      <c r="M374" s="63"/>
      <c r="N374" s="63"/>
      <c r="O374" s="62" t="s">
        <v>276</v>
      </c>
      <c r="P374" s="63"/>
      <c r="Q374" s="63"/>
      <c r="R374" s="62" t="s">
        <v>534</v>
      </c>
      <c r="S374" s="62">
        <v>62305.0</v>
      </c>
      <c r="T374" s="58" t="s">
        <v>437</v>
      </c>
      <c r="U374" s="59">
        <v>0.0</v>
      </c>
      <c r="V374" s="59">
        <v>-6.15</v>
      </c>
      <c r="W374" s="58">
        <v>6.15</v>
      </c>
      <c r="X374" s="58">
        <v>0.0</v>
      </c>
      <c r="Z374" s="59">
        <v>0.0</v>
      </c>
      <c r="AA374" s="58">
        <v>0.0</v>
      </c>
      <c r="AB374" s="58">
        <v>0.0</v>
      </c>
      <c r="AC374" s="58">
        <v>0.0</v>
      </c>
      <c r="AD374" s="58">
        <v>0.0</v>
      </c>
      <c r="AE374" s="58">
        <v>0.0</v>
      </c>
      <c r="AF374" s="58">
        <v>0.0</v>
      </c>
      <c r="AG374" s="58">
        <v>0.0</v>
      </c>
      <c r="AH374" s="58">
        <v>0.0</v>
      </c>
      <c r="AI374" s="58">
        <v>0.0</v>
      </c>
      <c r="AJ374" s="58">
        <v>0.0</v>
      </c>
      <c r="AK374" s="58">
        <v>0.0</v>
      </c>
      <c r="AL374" s="58">
        <v>0.0</v>
      </c>
      <c r="AM374" s="58">
        <v>0.0</v>
      </c>
      <c r="AN374" s="58">
        <v>0.0</v>
      </c>
      <c r="AO374" s="58">
        <v>0.0</v>
      </c>
      <c r="AP374" s="58">
        <v>0.0</v>
      </c>
      <c r="AQ374" s="58">
        <v>0.0</v>
      </c>
      <c r="AR374" s="58">
        <v>0.0</v>
      </c>
      <c r="AS374" s="58">
        <v>0.0</v>
      </c>
      <c r="AT374" s="58">
        <v>0.0</v>
      </c>
      <c r="AU374" s="58">
        <v>0.0</v>
      </c>
      <c r="AV374" s="58">
        <v>0.0</v>
      </c>
      <c r="AW374" s="58">
        <v>0.0</v>
      </c>
      <c r="AX374" s="58">
        <v>0.0</v>
      </c>
      <c r="AY374" s="58">
        <v>0.0</v>
      </c>
      <c r="AZ374" s="58">
        <v>0.0</v>
      </c>
      <c r="BA374" s="58">
        <v>0.0</v>
      </c>
      <c r="BB374" s="58">
        <v>0.0</v>
      </c>
      <c r="BC374" s="58" t="s">
        <v>106</v>
      </c>
      <c r="BD374" s="58" t="s">
        <v>425</v>
      </c>
      <c r="BE374" s="58">
        <v>5041.0</v>
      </c>
      <c r="BF374" s="58">
        <v>22.98</v>
      </c>
      <c r="BH374" s="58" t="s">
        <v>421</v>
      </c>
      <c r="BI374" s="58" t="s">
        <v>422</v>
      </c>
      <c r="BN374" s="58" t="s">
        <v>111</v>
      </c>
      <c r="BO374" s="58" t="s">
        <v>424</v>
      </c>
      <c r="BU374" s="72"/>
      <c r="BW374" s="64" t="str">
        <f>if(OR(F374="SALE",F374="REFUNDED"),IFERROR(Vlookup(I374,'Listing SKU - Fill SKU Mapping'!A:C,3,false),"Map"),"")</f>
        <v/>
      </c>
      <c r="BX374" s="64" t="str">
        <f>IF(OR(F374="SALE",F374="REFUNDED")=TRUE,iferror(Vlookup(I374,'Listing SKU - Fill SKU Mapping'!A:B,2,false),"Map"),"")</f>
        <v/>
      </c>
      <c r="BY374" s="64" t="str">
        <f>IF(OR(F374="SALE",F374="REFUNDED")=TRUE,iferror(Vlookup(I374,'Listing SKU - Fill SKU Mapping'!A:D,4,false),"Map"),"")</f>
        <v/>
      </c>
      <c r="BZ374" s="66" t="str">
        <f t="shared" si="1"/>
        <v/>
      </c>
      <c r="CA374" s="64" t="str">
        <f t="shared" si="2"/>
        <v/>
      </c>
      <c r="CB374" s="64" t="str">
        <f t="shared" si="3"/>
        <v/>
      </c>
      <c r="CC374" s="64" t="str">
        <f>if(F374="REFUNDED",iferror(Vlookup(I374,'Listing SKU - Fill SKU Mapping'!A:B,2,false),"Map"),"")</f>
        <v/>
      </c>
      <c r="CD374" s="64" t="str">
        <f>if(F374="REFUNDED",iferror(Vlookup(I374,'Listing SKU - Fill SKU Mapping'!A:C,3,false),"Map"),"")</f>
        <v/>
      </c>
      <c r="CE374" s="64" t="str">
        <f t="shared" si="4"/>
        <v>2025</v>
      </c>
      <c r="CF374" s="64" t="str">
        <f t="shared" si="5"/>
        <v>October</v>
      </c>
      <c r="CG374" s="64" t="str">
        <f t="shared" si="6"/>
        <v/>
      </c>
    </row>
    <row r="375">
      <c r="A375" s="55">
        <v>2.0001E14</v>
      </c>
      <c r="B375" s="56">
        <v>1.0</v>
      </c>
      <c r="C375" s="57">
        <v>1.2903E14</v>
      </c>
      <c r="D375" s="58">
        <v>1.0</v>
      </c>
      <c r="F375" s="59" t="s">
        <v>100</v>
      </c>
      <c r="G375" s="60">
        <v>45961.0</v>
      </c>
      <c r="H375" s="58">
        <v>1.0</v>
      </c>
      <c r="I375" s="58" t="s">
        <v>187</v>
      </c>
      <c r="J375" s="61">
        <v>4.64567125864E11</v>
      </c>
      <c r="K375" s="62" t="s">
        <v>188</v>
      </c>
      <c r="L375" s="62">
        <v>2038710.0</v>
      </c>
      <c r="M375" s="63"/>
      <c r="N375" s="63"/>
      <c r="O375" s="62" t="s">
        <v>536</v>
      </c>
      <c r="P375" s="63"/>
      <c r="Q375" s="63"/>
      <c r="R375" s="62" t="s">
        <v>537</v>
      </c>
      <c r="S375" s="62">
        <v>86323.0</v>
      </c>
      <c r="T375" s="58" t="s">
        <v>105</v>
      </c>
      <c r="U375" s="59">
        <v>112.92</v>
      </c>
      <c r="V375" s="59">
        <v>96.7</v>
      </c>
      <c r="W375" s="58">
        <v>7.28</v>
      </c>
      <c r="X375" s="58">
        <v>7.0</v>
      </c>
      <c r="Y375" s="58">
        <v>10.0</v>
      </c>
      <c r="Z375" s="59">
        <v>103.98</v>
      </c>
      <c r="AA375" s="58">
        <v>0.0</v>
      </c>
      <c r="AB375" s="58">
        <v>0.0</v>
      </c>
      <c r="AC375" s="58">
        <v>0.0</v>
      </c>
      <c r="AD375" s="58">
        <v>0.0</v>
      </c>
      <c r="AE375" s="58">
        <v>0.0</v>
      </c>
      <c r="AF375" s="58">
        <v>0.0</v>
      </c>
      <c r="AG375" s="58">
        <v>0.0</v>
      </c>
      <c r="AH375" s="58">
        <v>0.0</v>
      </c>
      <c r="AI375" s="58">
        <v>0.0</v>
      </c>
      <c r="AJ375" s="58">
        <v>0.0</v>
      </c>
      <c r="AK375" s="58">
        <v>0.0</v>
      </c>
      <c r="AL375" s="58">
        <v>0.0</v>
      </c>
      <c r="AM375" s="58">
        <v>0.0</v>
      </c>
      <c r="AN375" s="58">
        <v>0.0</v>
      </c>
      <c r="AO375" s="58">
        <v>0.0</v>
      </c>
      <c r="AP375" s="58">
        <v>8.94</v>
      </c>
      <c r="AQ375" s="58">
        <v>0.0</v>
      </c>
      <c r="AR375" s="58">
        <v>0.0</v>
      </c>
      <c r="AS375" s="58">
        <v>0.0</v>
      </c>
      <c r="AT375" s="58">
        <v>0.0</v>
      </c>
      <c r="AU375" s="58">
        <v>0.0</v>
      </c>
      <c r="AV375" s="58">
        <v>0.0</v>
      </c>
      <c r="AW375" s="58">
        <v>0.0</v>
      </c>
      <c r="AX375" s="58">
        <v>0.0</v>
      </c>
      <c r="AY375" s="58">
        <v>0.0</v>
      </c>
      <c r="AZ375" s="58">
        <v>0.0</v>
      </c>
      <c r="BA375" s="58">
        <v>0.0</v>
      </c>
      <c r="BB375" s="58">
        <v>8.94</v>
      </c>
      <c r="BC375" s="58" t="s">
        <v>106</v>
      </c>
      <c r="BG375" s="58">
        <v>-10.4</v>
      </c>
      <c r="BH375" s="58" t="s">
        <v>107</v>
      </c>
      <c r="BI375" s="58" t="s">
        <v>108</v>
      </c>
      <c r="BJ375" s="58" t="s">
        <v>109</v>
      </c>
      <c r="BK375" s="58" t="s">
        <v>538</v>
      </c>
      <c r="BN375" s="58" t="s">
        <v>111</v>
      </c>
      <c r="BO375" s="58" t="s">
        <v>112</v>
      </c>
      <c r="BP375" s="58" t="s">
        <v>113</v>
      </c>
      <c r="BQ375" s="58" t="s">
        <v>114</v>
      </c>
      <c r="BR375" s="58">
        <v>3.12</v>
      </c>
      <c r="BU375" s="72"/>
      <c r="BW375" s="64" t="str">
        <f>if(OR(F375="SALE",F375="REFUNDED"),IFERROR(Vlookup(I375,'Listing SKU - Fill SKU Mapping'!A:C,3,false),"Map"),"")</f>
        <v>Keystone</v>
      </c>
      <c r="BX375" s="64" t="str">
        <f>IF(OR(F375="SALE",F375="REFUNDED")=TRUE,iferror(Vlookup(I375,'Listing SKU - Fill SKU Mapping'!A:B,2,false),"Map"),"")</f>
        <v>IMP42X</v>
      </c>
      <c r="BY375" s="64">
        <f>IF(OR(F375="SALE",F375="REFUNDED")=TRUE,iferror(Vlookup(I375,'Listing SKU - Fill SKU Mapping'!A:D,4,false),"Map"),"")</f>
        <v>51.28</v>
      </c>
      <c r="BZ375" s="66">
        <f t="shared" si="1"/>
        <v>11.5</v>
      </c>
      <c r="CA375" s="66">
        <f t="shared" si="2"/>
        <v>62.78</v>
      </c>
      <c r="CB375" s="66">
        <f t="shared" si="3"/>
        <v>33.92</v>
      </c>
      <c r="CC375" s="64" t="str">
        <f>if(F375="REFUNDED",iferror(Vlookup(I375,'Listing SKU - Fill SKU Mapping'!A:B,2,false),"Map"),"")</f>
        <v/>
      </c>
      <c r="CD375" s="64" t="str">
        <f>if(F375="REFUNDED",iferror(Vlookup(I375,'Listing SKU - Fill SKU Mapping'!A:C,3,false),"Map"),"")</f>
        <v/>
      </c>
      <c r="CE375" s="64" t="str">
        <f t="shared" si="4"/>
        <v>2025</v>
      </c>
      <c r="CF375" s="64" t="str">
        <f t="shared" si="5"/>
        <v>October</v>
      </c>
      <c r="CG375" s="64" t="str">
        <f t="shared" si="6"/>
        <v/>
      </c>
    </row>
    <row r="376">
      <c r="A376" s="55">
        <v>2.0001E14</v>
      </c>
      <c r="B376" s="56">
        <v>1.0</v>
      </c>
      <c r="C376" s="57">
        <v>1.2903E14</v>
      </c>
      <c r="D376" s="58">
        <v>1.0</v>
      </c>
      <c r="F376" s="59" t="s">
        <v>100</v>
      </c>
      <c r="G376" s="60">
        <v>45959.0</v>
      </c>
      <c r="H376" s="58">
        <v>1.0</v>
      </c>
      <c r="I376" s="58" t="s">
        <v>539</v>
      </c>
      <c r="J376" s="61">
        <v>4.64567106528E11</v>
      </c>
      <c r="K376" s="62" t="s">
        <v>540</v>
      </c>
      <c r="L376" s="62">
        <v>2038710.0</v>
      </c>
      <c r="M376" s="63"/>
      <c r="N376" s="63"/>
      <c r="O376" s="62" t="s">
        <v>137</v>
      </c>
      <c r="P376" s="63"/>
      <c r="Q376" s="63"/>
      <c r="R376" s="62" t="s">
        <v>541</v>
      </c>
      <c r="S376" s="62">
        <v>43223.0</v>
      </c>
      <c r="T376" s="58" t="s">
        <v>105</v>
      </c>
      <c r="U376" s="59">
        <v>103.66</v>
      </c>
      <c r="V376" s="59">
        <v>89.26</v>
      </c>
      <c r="W376" s="58">
        <v>6.72</v>
      </c>
      <c r="X376" s="58">
        <v>7.0</v>
      </c>
      <c r="Y376" s="58">
        <v>10.0</v>
      </c>
      <c r="Z376" s="59">
        <v>95.98</v>
      </c>
      <c r="AA376" s="58">
        <v>0.0</v>
      </c>
      <c r="AB376" s="58">
        <v>0.0</v>
      </c>
      <c r="AC376" s="58">
        <v>0.0</v>
      </c>
      <c r="AD376" s="58">
        <v>0.0</v>
      </c>
      <c r="AE376" s="58">
        <v>0.0</v>
      </c>
      <c r="AF376" s="58">
        <v>0.0</v>
      </c>
      <c r="AG376" s="58">
        <v>0.0</v>
      </c>
      <c r="AH376" s="58">
        <v>0.0</v>
      </c>
      <c r="AI376" s="58">
        <v>0.0</v>
      </c>
      <c r="AJ376" s="58">
        <v>0.0</v>
      </c>
      <c r="AK376" s="58">
        <v>0.0</v>
      </c>
      <c r="AL376" s="58">
        <v>0.0</v>
      </c>
      <c r="AM376" s="58">
        <v>0.0</v>
      </c>
      <c r="AN376" s="58">
        <v>0.0</v>
      </c>
      <c r="AO376" s="58">
        <v>0.0</v>
      </c>
      <c r="AP376" s="58">
        <v>7.68</v>
      </c>
      <c r="AQ376" s="58">
        <v>0.0</v>
      </c>
      <c r="AR376" s="58">
        <v>0.0</v>
      </c>
      <c r="AS376" s="58">
        <v>0.0</v>
      </c>
      <c r="AT376" s="58">
        <v>0.0</v>
      </c>
      <c r="AU376" s="58">
        <v>0.0</v>
      </c>
      <c r="AV376" s="58">
        <v>0.0</v>
      </c>
      <c r="AW376" s="58">
        <v>0.0</v>
      </c>
      <c r="AX376" s="58">
        <v>0.0</v>
      </c>
      <c r="AY376" s="58">
        <v>0.0</v>
      </c>
      <c r="AZ376" s="58">
        <v>0.0</v>
      </c>
      <c r="BA376" s="58">
        <v>0.0</v>
      </c>
      <c r="BB376" s="58">
        <v>7.68</v>
      </c>
      <c r="BC376" s="58" t="s">
        <v>106</v>
      </c>
      <c r="BG376" s="58">
        <v>-9.6</v>
      </c>
      <c r="BH376" s="58" t="s">
        <v>107</v>
      </c>
      <c r="BI376" s="58" t="s">
        <v>108</v>
      </c>
      <c r="BJ376" s="58" t="s">
        <v>109</v>
      </c>
      <c r="BK376" s="58" t="s">
        <v>538</v>
      </c>
      <c r="BN376" s="58" t="s">
        <v>111</v>
      </c>
      <c r="BO376" s="58" t="s">
        <v>112</v>
      </c>
      <c r="BP376" s="58" t="s">
        <v>113</v>
      </c>
      <c r="BQ376" s="58" t="s">
        <v>114</v>
      </c>
      <c r="BR376" s="58">
        <v>2.88</v>
      </c>
      <c r="BU376" s="72"/>
      <c r="BW376" s="64" t="str">
        <f>if(OR(F376="SALE",F376="REFUNDED"),IFERROR(Vlookup(I376,'Listing SKU - Fill SKU Mapping'!A:C,3,false),"Map"),"")</f>
        <v>Keystone</v>
      </c>
      <c r="BX376" s="64" t="str">
        <f>IF(OR(F376="SALE",F376="REFUNDED")=TRUE,iferror(Vlookup(I376,'Listing SKU - Fill SKU Mapping'!A:B,2,false),"Map"),"")</f>
        <v>IMP355BLK</v>
      </c>
      <c r="BY376" s="64">
        <f>IF(OR(F376="SALE",F376="REFUNDED")=TRUE,iferror(Vlookup(I376,'Listing SKU - Fill SKU Mapping'!A:D,4,false),"Map"),"")</f>
        <v>46.16</v>
      </c>
      <c r="BZ376" s="66">
        <f t="shared" si="1"/>
        <v>11.5</v>
      </c>
      <c r="CA376" s="66">
        <f t="shared" si="2"/>
        <v>57.66</v>
      </c>
      <c r="CB376" s="66">
        <f t="shared" si="3"/>
        <v>31.6</v>
      </c>
      <c r="CC376" s="64" t="str">
        <f>if(F376="REFUNDED",iferror(Vlookup(I376,'Listing SKU - Fill SKU Mapping'!A:B,2,false),"Map"),"")</f>
        <v/>
      </c>
      <c r="CD376" s="64" t="str">
        <f>if(F376="REFUNDED",iferror(Vlookup(I376,'Listing SKU - Fill SKU Mapping'!A:C,3,false),"Map"),"")</f>
        <v/>
      </c>
      <c r="CE376" s="64" t="str">
        <f t="shared" si="4"/>
        <v>2025</v>
      </c>
      <c r="CF376" s="64" t="str">
        <f t="shared" si="5"/>
        <v>October</v>
      </c>
      <c r="CG376" s="64" t="str">
        <f t="shared" si="6"/>
        <v/>
      </c>
    </row>
    <row r="377">
      <c r="A377" s="55">
        <v>2.0001E14</v>
      </c>
      <c r="B377" s="56">
        <v>1.0</v>
      </c>
      <c r="C377" s="57">
        <v>1.2903E14</v>
      </c>
      <c r="D377" s="58">
        <v>1.0</v>
      </c>
      <c r="F377" s="59" t="s">
        <v>100</v>
      </c>
      <c r="G377" s="60">
        <v>45959.0</v>
      </c>
      <c r="H377" s="58">
        <v>1.0</v>
      </c>
      <c r="I377" s="58" t="s">
        <v>542</v>
      </c>
      <c r="J377" s="61">
        <v>4.67129941803E11</v>
      </c>
      <c r="K377" s="62" t="s">
        <v>543</v>
      </c>
      <c r="L377" s="62">
        <v>2038710.0</v>
      </c>
      <c r="M377" s="63"/>
      <c r="N377" s="63"/>
      <c r="O377" s="62" t="s">
        <v>261</v>
      </c>
      <c r="P377" s="63"/>
      <c r="Q377" s="63"/>
      <c r="R377" s="62" t="s">
        <v>544</v>
      </c>
      <c r="S377" s="62">
        <v>55338.0</v>
      </c>
      <c r="T377" s="58" t="s">
        <v>105</v>
      </c>
      <c r="U377" s="59">
        <v>122.88</v>
      </c>
      <c r="V377" s="59">
        <v>106.93</v>
      </c>
      <c r="W377" s="58">
        <v>8.05</v>
      </c>
      <c r="X377" s="58">
        <v>7.0</v>
      </c>
      <c r="Y377" s="58">
        <v>10.0</v>
      </c>
      <c r="Z377" s="59">
        <v>114.98</v>
      </c>
      <c r="AA377" s="58">
        <v>0.0</v>
      </c>
      <c r="AB377" s="58">
        <v>0.0</v>
      </c>
      <c r="AC377" s="58">
        <v>0.0</v>
      </c>
      <c r="AD377" s="58">
        <v>0.0</v>
      </c>
      <c r="AE377" s="58">
        <v>0.0</v>
      </c>
      <c r="AF377" s="58">
        <v>0.0</v>
      </c>
      <c r="AG377" s="58">
        <v>0.0</v>
      </c>
      <c r="AH377" s="58">
        <v>0.0</v>
      </c>
      <c r="AI377" s="58">
        <v>0.0</v>
      </c>
      <c r="AJ377" s="58">
        <v>0.0</v>
      </c>
      <c r="AK377" s="58">
        <v>0.0</v>
      </c>
      <c r="AL377" s="58">
        <v>0.0</v>
      </c>
      <c r="AM377" s="58">
        <v>0.0</v>
      </c>
      <c r="AN377" s="58">
        <v>0.0</v>
      </c>
      <c r="AO377" s="58">
        <v>0.0</v>
      </c>
      <c r="AP377" s="58">
        <v>7.9</v>
      </c>
      <c r="AQ377" s="58">
        <v>0.0</v>
      </c>
      <c r="AR377" s="58">
        <v>0.0</v>
      </c>
      <c r="AS377" s="58">
        <v>0.0</v>
      </c>
      <c r="AT377" s="58">
        <v>0.0</v>
      </c>
      <c r="AU377" s="58">
        <v>0.0</v>
      </c>
      <c r="AV377" s="58">
        <v>0.0</v>
      </c>
      <c r="AW377" s="58">
        <v>0.0</v>
      </c>
      <c r="AX377" s="58">
        <v>0.0</v>
      </c>
      <c r="AY377" s="58">
        <v>0.0</v>
      </c>
      <c r="AZ377" s="58">
        <v>0.0</v>
      </c>
      <c r="BA377" s="58">
        <v>0.0</v>
      </c>
      <c r="BB377" s="58">
        <v>7.9</v>
      </c>
      <c r="BC377" s="58" t="s">
        <v>106</v>
      </c>
      <c r="BG377" s="58">
        <v>-11.5</v>
      </c>
      <c r="BH377" s="58" t="s">
        <v>107</v>
      </c>
      <c r="BI377" s="58" t="s">
        <v>108</v>
      </c>
      <c r="BJ377" s="58" t="s">
        <v>109</v>
      </c>
      <c r="BK377" s="58" t="s">
        <v>538</v>
      </c>
      <c r="BN377" s="58" t="s">
        <v>111</v>
      </c>
      <c r="BO377" s="58" t="s">
        <v>112</v>
      </c>
      <c r="BP377" s="58" t="s">
        <v>113</v>
      </c>
      <c r="BQ377" s="58" t="s">
        <v>114</v>
      </c>
      <c r="BR377" s="58">
        <v>3.45</v>
      </c>
      <c r="BU377" s="72"/>
      <c r="BW377" s="64" t="str">
        <f>if(OR(F377="SALE",F377="REFUNDED"),IFERROR(Vlookup(I377,'Listing SKU - Fill SKU Mapping'!A:C,3,false),"Map"),"")</f>
        <v>Keystone</v>
      </c>
      <c r="BX377" s="64" t="str">
        <f>IF(OR(F377="SALE",F377="REFUNDED")=TRUE,iferror(Vlookup(I377,'Listing SKU - Fill SKU Mapping'!A:B,2,false),"Map"),"")</f>
        <v>52217C</v>
      </c>
      <c r="BY377" s="64">
        <f>IF(OR(F377="SALE",F377="REFUNDED")=TRUE,iferror(Vlookup(I377,'Listing SKU - Fill SKU Mapping'!A:D,4,false),"Map"),"")</f>
        <v>51.28</v>
      </c>
      <c r="BZ377" s="66">
        <f t="shared" si="1"/>
        <v>11.5</v>
      </c>
      <c r="CA377" s="66">
        <f t="shared" si="2"/>
        <v>62.78</v>
      </c>
      <c r="CB377" s="66">
        <f t="shared" si="3"/>
        <v>44.15</v>
      </c>
      <c r="CC377" s="64" t="str">
        <f>if(F377="REFUNDED",iferror(Vlookup(I377,'Listing SKU - Fill SKU Mapping'!A:B,2,false),"Map"),"")</f>
        <v/>
      </c>
      <c r="CD377" s="64" t="str">
        <f>if(F377="REFUNDED",iferror(Vlookup(I377,'Listing SKU - Fill SKU Mapping'!A:C,3,false),"Map"),"")</f>
        <v/>
      </c>
      <c r="CE377" s="64" t="str">
        <f t="shared" si="4"/>
        <v>2025</v>
      </c>
      <c r="CF377" s="64" t="str">
        <f t="shared" si="5"/>
        <v>October</v>
      </c>
      <c r="CG377" s="64" t="str">
        <f t="shared" si="6"/>
        <v/>
      </c>
    </row>
    <row r="378">
      <c r="A378" s="55">
        <v>2.0001E14</v>
      </c>
      <c r="B378" s="56">
        <v>5.0</v>
      </c>
      <c r="C378" s="57">
        <v>1.2903E14</v>
      </c>
      <c r="D378" s="58">
        <v>5.0</v>
      </c>
      <c r="F378" s="59" t="s">
        <v>100</v>
      </c>
      <c r="G378" s="60">
        <v>45959.0</v>
      </c>
      <c r="H378" s="58">
        <v>1.0</v>
      </c>
      <c r="I378" s="58" t="s">
        <v>159</v>
      </c>
      <c r="J378" s="61">
        <v>4.60776234854E11</v>
      </c>
      <c r="K378" s="62" t="s">
        <v>160</v>
      </c>
      <c r="L378" s="62">
        <v>2038710.0</v>
      </c>
      <c r="M378" s="63"/>
      <c r="N378" s="63"/>
      <c r="O378" s="62" t="s">
        <v>103</v>
      </c>
      <c r="P378" s="63"/>
      <c r="Q378" s="63"/>
      <c r="R378" s="62" t="s">
        <v>545</v>
      </c>
      <c r="S378" s="62">
        <v>33880.0</v>
      </c>
      <c r="T378" s="58" t="s">
        <v>105</v>
      </c>
      <c r="U378" s="59">
        <v>105.91</v>
      </c>
      <c r="V378" s="59">
        <v>92.05</v>
      </c>
      <c r="W378" s="58">
        <v>6.93</v>
      </c>
      <c r="X378" s="58">
        <v>7.0</v>
      </c>
      <c r="Y378" s="58">
        <v>10.0</v>
      </c>
      <c r="Z378" s="59">
        <v>98.98</v>
      </c>
      <c r="AA378" s="58">
        <v>0.0</v>
      </c>
      <c r="AB378" s="58">
        <v>0.0</v>
      </c>
      <c r="AC378" s="58">
        <v>0.0</v>
      </c>
      <c r="AD378" s="58">
        <v>0.0</v>
      </c>
      <c r="AE378" s="58">
        <v>0.0</v>
      </c>
      <c r="AF378" s="58">
        <v>0.0</v>
      </c>
      <c r="AG378" s="58">
        <v>0.0</v>
      </c>
      <c r="AH378" s="58">
        <v>0.0</v>
      </c>
      <c r="AI378" s="58">
        <v>0.0</v>
      </c>
      <c r="AJ378" s="58">
        <v>0.0</v>
      </c>
      <c r="AK378" s="58">
        <v>0.0</v>
      </c>
      <c r="AL378" s="58">
        <v>0.0</v>
      </c>
      <c r="AM378" s="58">
        <v>0.0</v>
      </c>
      <c r="AN378" s="58">
        <v>0.0</v>
      </c>
      <c r="AO378" s="58">
        <v>0.0</v>
      </c>
      <c r="AP378" s="58">
        <v>6.93</v>
      </c>
      <c r="AQ378" s="58">
        <v>0.0</v>
      </c>
      <c r="AR378" s="58">
        <v>0.0</v>
      </c>
      <c r="AS378" s="58">
        <v>0.0</v>
      </c>
      <c r="AT378" s="58">
        <v>0.0</v>
      </c>
      <c r="AU378" s="58">
        <v>0.0</v>
      </c>
      <c r="AV378" s="58">
        <v>0.0</v>
      </c>
      <c r="AW378" s="58">
        <v>0.0</v>
      </c>
      <c r="AX378" s="58">
        <v>0.0</v>
      </c>
      <c r="AY378" s="58">
        <v>0.0</v>
      </c>
      <c r="AZ378" s="58">
        <v>0.0</v>
      </c>
      <c r="BA378" s="58">
        <v>0.0</v>
      </c>
      <c r="BB378" s="58">
        <v>6.93</v>
      </c>
      <c r="BC378" s="58" t="s">
        <v>106</v>
      </c>
      <c r="BG378" s="58">
        <v>-9.9</v>
      </c>
      <c r="BH378" s="58" t="s">
        <v>107</v>
      </c>
      <c r="BI378" s="58" t="s">
        <v>108</v>
      </c>
      <c r="BJ378" s="58" t="s">
        <v>109</v>
      </c>
      <c r="BK378" s="58" t="s">
        <v>538</v>
      </c>
      <c r="BN378" s="58" t="s">
        <v>111</v>
      </c>
      <c r="BO378" s="58" t="s">
        <v>112</v>
      </c>
      <c r="BP378" s="58" t="s">
        <v>113</v>
      </c>
      <c r="BQ378" s="58" t="s">
        <v>114</v>
      </c>
      <c r="BR378" s="58">
        <v>2.97</v>
      </c>
      <c r="BU378" s="72"/>
      <c r="BW378" s="64" t="str">
        <f>if(OR(F378="SALE",F378="REFUNDED"),IFERROR(Vlookup(I378,'Listing SKU - Fill SKU Mapping'!A:C,3,false),"Map"),"")</f>
        <v>Keystone</v>
      </c>
      <c r="BX378" s="64" t="str">
        <f>IF(OR(F378="SALE",F378="REFUNDED")=TRUE,iferror(Vlookup(I378,'Listing SKU - Fill SKU Mapping'!A:B,2,false),"Map"),"")</f>
        <v>IMP371BLK</v>
      </c>
      <c r="BY378" s="64">
        <f>IF(OR(F378="SALE",F378="REFUNDED")=TRUE,iferror(Vlookup(I378,'Listing SKU - Fill SKU Mapping'!A:D,4,false),"Map"),"")</f>
        <v>43.79</v>
      </c>
      <c r="BZ378" s="66">
        <f t="shared" si="1"/>
        <v>11.5</v>
      </c>
      <c r="CA378" s="66">
        <f t="shared" si="2"/>
        <v>55.29</v>
      </c>
      <c r="CB378" s="66">
        <f t="shared" si="3"/>
        <v>36.76</v>
      </c>
      <c r="CC378" s="64" t="str">
        <f>if(F378="REFUNDED",iferror(Vlookup(I378,'Listing SKU - Fill SKU Mapping'!A:B,2,false),"Map"),"")</f>
        <v/>
      </c>
      <c r="CD378" s="64" t="str">
        <f>if(F378="REFUNDED",iferror(Vlookup(I378,'Listing SKU - Fill SKU Mapping'!A:C,3,false),"Map"),"")</f>
        <v/>
      </c>
      <c r="CE378" s="64" t="str">
        <f t="shared" si="4"/>
        <v>2025</v>
      </c>
      <c r="CF378" s="64" t="str">
        <f t="shared" si="5"/>
        <v>October</v>
      </c>
      <c r="CG378" s="64" t="str">
        <f t="shared" si="6"/>
        <v/>
      </c>
    </row>
    <row r="379">
      <c r="A379" s="55">
        <v>2.0001E14</v>
      </c>
      <c r="B379" s="56">
        <v>1.0</v>
      </c>
      <c r="C379" s="57">
        <v>1.2903E14</v>
      </c>
      <c r="D379" s="58">
        <v>1.0</v>
      </c>
      <c r="F379" s="59" t="s">
        <v>100</v>
      </c>
      <c r="G379" s="60">
        <v>45951.0</v>
      </c>
      <c r="H379" s="58">
        <v>1.0</v>
      </c>
      <c r="I379" s="58" t="s">
        <v>322</v>
      </c>
      <c r="J379" s="61">
        <v>4.67129914746E11</v>
      </c>
      <c r="K379" s="62" t="s">
        <v>546</v>
      </c>
      <c r="L379" s="62">
        <v>2038710.0</v>
      </c>
      <c r="M379" s="63"/>
      <c r="N379" s="63"/>
      <c r="O379" s="62" t="s">
        <v>103</v>
      </c>
      <c r="P379" s="63"/>
      <c r="Q379" s="63"/>
      <c r="R379" s="62" t="s">
        <v>547</v>
      </c>
      <c r="S379" s="62">
        <v>33437.0</v>
      </c>
      <c r="T379" s="58" t="s">
        <v>105</v>
      </c>
      <c r="U379" s="59">
        <v>101.63</v>
      </c>
      <c r="V379" s="59">
        <v>88.33</v>
      </c>
      <c r="W379" s="58">
        <v>6.65</v>
      </c>
      <c r="X379" s="58">
        <v>7.0</v>
      </c>
      <c r="Y379" s="58">
        <v>10.0</v>
      </c>
      <c r="Z379" s="59">
        <v>94.98</v>
      </c>
      <c r="AA379" s="58">
        <v>0.0</v>
      </c>
      <c r="AB379" s="58">
        <v>0.0</v>
      </c>
      <c r="AC379" s="58">
        <v>0.0</v>
      </c>
      <c r="AD379" s="58">
        <v>0.0</v>
      </c>
      <c r="AE379" s="58">
        <v>0.0</v>
      </c>
      <c r="AF379" s="58">
        <v>0.0</v>
      </c>
      <c r="AG379" s="58">
        <v>0.0</v>
      </c>
      <c r="AH379" s="58">
        <v>0.0</v>
      </c>
      <c r="AI379" s="58">
        <v>0.0</v>
      </c>
      <c r="AJ379" s="58">
        <v>0.0</v>
      </c>
      <c r="AK379" s="58">
        <v>0.0</v>
      </c>
      <c r="AL379" s="58">
        <v>0.0</v>
      </c>
      <c r="AM379" s="58">
        <v>0.0</v>
      </c>
      <c r="AN379" s="58">
        <v>0.0</v>
      </c>
      <c r="AO379" s="58">
        <v>0.0</v>
      </c>
      <c r="AP379" s="58">
        <v>6.65</v>
      </c>
      <c r="AQ379" s="58">
        <v>0.0</v>
      </c>
      <c r="AR379" s="58">
        <v>0.0</v>
      </c>
      <c r="AS379" s="58">
        <v>0.0</v>
      </c>
      <c r="AT379" s="58">
        <v>0.0</v>
      </c>
      <c r="AU379" s="58">
        <v>0.0</v>
      </c>
      <c r="AV379" s="58">
        <v>0.0</v>
      </c>
      <c r="AW379" s="58">
        <v>0.0</v>
      </c>
      <c r="AX379" s="58">
        <v>0.0</v>
      </c>
      <c r="AY379" s="58">
        <v>0.0</v>
      </c>
      <c r="AZ379" s="58">
        <v>0.0</v>
      </c>
      <c r="BA379" s="58">
        <v>0.0</v>
      </c>
      <c r="BB379" s="58">
        <v>6.65</v>
      </c>
      <c r="BC379" s="58" t="s">
        <v>106</v>
      </c>
      <c r="BG379" s="58">
        <v>-9.5</v>
      </c>
      <c r="BH379" s="58" t="s">
        <v>107</v>
      </c>
      <c r="BI379" s="58" t="s">
        <v>108</v>
      </c>
      <c r="BJ379" s="58" t="s">
        <v>109</v>
      </c>
      <c r="BK379" s="58" t="s">
        <v>548</v>
      </c>
      <c r="BN379" s="58" t="s">
        <v>111</v>
      </c>
      <c r="BO379" s="58" t="s">
        <v>112</v>
      </c>
      <c r="BP379" s="58" t="s">
        <v>113</v>
      </c>
      <c r="BQ379" s="58" t="s">
        <v>114</v>
      </c>
      <c r="BR379" s="58">
        <v>2.85</v>
      </c>
      <c r="BU379" s="72"/>
      <c r="BW379" s="64" t="str">
        <f>if(OR(F379="SALE",F379="REFUNDED"),IFERROR(Vlookup(I379,'Listing SKU - Fill SKU Mapping'!A:C,3,false),"Map"),"")</f>
        <v>Keystone</v>
      </c>
      <c r="BX379" s="64" t="str">
        <f>IF(OR(F379="SALE",F379="REFUNDED")=TRUE,iferror(Vlookup(I379,'Listing SKU - Fill SKU Mapping'!A:B,2,false),"Map"),"")</f>
        <v>52116BLK</v>
      </c>
      <c r="BY379" s="64">
        <f>IF(OR(F379="SALE",F379="REFUNDED")=TRUE,iferror(Vlookup(I379,'Listing SKU - Fill SKU Mapping'!A:D,4,false),"Map"),"")</f>
        <v>39.05</v>
      </c>
      <c r="BZ379" s="66">
        <f t="shared" si="1"/>
        <v>11.5</v>
      </c>
      <c r="CA379" s="66">
        <f t="shared" si="2"/>
        <v>50.55</v>
      </c>
      <c r="CB379" s="66">
        <f t="shared" si="3"/>
        <v>37.78</v>
      </c>
      <c r="CC379" s="64" t="str">
        <f>if(F379="REFUNDED",iferror(Vlookup(I379,'Listing SKU - Fill SKU Mapping'!A:B,2,false),"Map"),"")</f>
        <v/>
      </c>
      <c r="CD379" s="64" t="str">
        <f>if(F379="REFUNDED",iferror(Vlookup(I379,'Listing SKU - Fill SKU Mapping'!A:C,3,false),"Map"),"")</f>
        <v/>
      </c>
      <c r="CE379" s="64" t="str">
        <f t="shared" si="4"/>
        <v>2025</v>
      </c>
      <c r="CF379" s="64" t="str">
        <f t="shared" si="5"/>
        <v>October</v>
      </c>
      <c r="CG379" s="64" t="str">
        <f t="shared" si="6"/>
        <v/>
      </c>
    </row>
    <row r="380">
      <c r="A380" s="55">
        <v>2.0001E14</v>
      </c>
      <c r="B380" s="56">
        <v>1.0</v>
      </c>
      <c r="C380" s="57">
        <v>1.2903E14</v>
      </c>
      <c r="D380" s="58">
        <v>1.0</v>
      </c>
      <c r="F380" s="59" t="s">
        <v>100</v>
      </c>
      <c r="G380" s="60">
        <v>45961.0</v>
      </c>
      <c r="H380" s="58">
        <v>1.0</v>
      </c>
      <c r="I380" s="58" t="s">
        <v>354</v>
      </c>
      <c r="J380" s="61">
        <v>4.6712995803E11</v>
      </c>
      <c r="K380" s="62" t="s">
        <v>549</v>
      </c>
      <c r="L380" s="62">
        <v>2038710.0</v>
      </c>
      <c r="M380" s="63"/>
      <c r="N380" s="63"/>
      <c r="O380" s="62" t="s">
        <v>122</v>
      </c>
      <c r="P380" s="63"/>
      <c r="Q380" s="63"/>
      <c r="R380" s="62" t="s">
        <v>550</v>
      </c>
      <c r="S380" s="62">
        <v>37708.0</v>
      </c>
      <c r="T380" s="58" t="s">
        <v>105</v>
      </c>
      <c r="U380" s="59">
        <v>115.98</v>
      </c>
      <c r="V380" s="59">
        <v>119.02</v>
      </c>
      <c r="W380" s="58">
        <v>8.96</v>
      </c>
      <c r="X380" s="58">
        <v>7.0</v>
      </c>
      <c r="Y380" s="58">
        <v>10.0</v>
      </c>
      <c r="Z380" s="59">
        <v>115.98</v>
      </c>
      <c r="AA380" s="58">
        <v>0.0</v>
      </c>
      <c r="AB380" s="58">
        <v>0.0</v>
      </c>
      <c r="AC380" s="58">
        <v>0.0</v>
      </c>
      <c r="AD380" s="58">
        <v>0.0</v>
      </c>
      <c r="AE380" s="58">
        <v>0.0</v>
      </c>
      <c r="AF380" s="58">
        <v>0.0</v>
      </c>
      <c r="AG380" s="58">
        <v>0.0</v>
      </c>
      <c r="AH380" s="58">
        <v>0.0</v>
      </c>
      <c r="AI380" s="58">
        <v>0.0</v>
      </c>
      <c r="AJ380" s="58">
        <v>0.0</v>
      </c>
      <c r="AK380" s="58">
        <v>0.0</v>
      </c>
      <c r="AL380" s="58">
        <v>0.0</v>
      </c>
      <c r="AM380" s="58">
        <v>0.0</v>
      </c>
      <c r="AN380" s="58">
        <v>0.0</v>
      </c>
      <c r="AO380" s="58">
        <v>0.0</v>
      </c>
      <c r="AP380" s="58">
        <v>0.0</v>
      </c>
      <c r="AQ380" s="58">
        <v>0.0</v>
      </c>
      <c r="AR380" s="58">
        <v>0.0</v>
      </c>
      <c r="AS380" s="58">
        <v>0.0</v>
      </c>
      <c r="AT380" s="58">
        <v>0.0</v>
      </c>
      <c r="AU380" s="58">
        <v>0.0</v>
      </c>
      <c r="AV380" s="58">
        <v>0.0</v>
      </c>
      <c r="AW380" s="58">
        <v>0.0</v>
      </c>
      <c r="AX380" s="58">
        <v>0.0</v>
      </c>
      <c r="AY380" s="58">
        <v>0.0</v>
      </c>
      <c r="AZ380" s="58">
        <v>0.0</v>
      </c>
      <c r="BA380" s="58">
        <v>0.0</v>
      </c>
      <c r="BB380" s="58">
        <v>0.0</v>
      </c>
      <c r="BC380" s="58" t="s">
        <v>106</v>
      </c>
      <c r="BF380" s="58">
        <v>127.98</v>
      </c>
      <c r="BG380" s="58">
        <v>-12.8</v>
      </c>
      <c r="BH380" s="58" t="s">
        <v>107</v>
      </c>
      <c r="BI380" s="58" t="s">
        <v>108</v>
      </c>
      <c r="BJ380" s="58" t="s">
        <v>109</v>
      </c>
      <c r="BK380" s="58" t="s">
        <v>551</v>
      </c>
      <c r="BN380" s="58" t="s">
        <v>111</v>
      </c>
      <c r="BO380" s="58" t="s">
        <v>112</v>
      </c>
      <c r="BP380" s="58" t="s">
        <v>113</v>
      </c>
      <c r="BQ380" s="58" t="s">
        <v>317</v>
      </c>
      <c r="BR380" s="58">
        <v>3.84</v>
      </c>
      <c r="BT380" s="58">
        <v>-12.0</v>
      </c>
      <c r="BU380" s="73" t="s">
        <v>318</v>
      </c>
      <c r="BW380" s="64" t="str">
        <f>if(OR(F380="SALE",F380="REFUNDED"),IFERROR(Vlookup(I380,'Listing SKU - Fill SKU Mapping'!A:C,3,false),"Map"),"")</f>
        <v>Keystone</v>
      </c>
      <c r="BX380" s="64" t="str">
        <f>IF(OR(F380="SALE",F380="REFUNDED")=TRUE,iferror(Vlookup(I380,'Listing SKU - Fill SKU Mapping'!A:B,2,false),"Map"),"")</f>
        <v>43118BLK</v>
      </c>
      <c r="BY380" s="64">
        <f>IF(OR(F380="SALE",F380="REFUNDED")=TRUE,iferror(Vlookup(I380,'Listing SKU - Fill SKU Mapping'!A:D,4,false),"Map"),"")</f>
        <v>59.17</v>
      </c>
      <c r="BZ380" s="66">
        <f t="shared" si="1"/>
        <v>11.5</v>
      </c>
      <c r="CA380" s="66">
        <f t="shared" si="2"/>
        <v>70.67</v>
      </c>
      <c r="CB380" s="66">
        <f t="shared" si="3"/>
        <v>48.35</v>
      </c>
      <c r="CC380" s="64" t="str">
        <f>if(F380="REFUNDED",iferror(Vlookup(I380,'Listing SKU - Fill SKU Mapping'!A:B,2,false),"Map"),"")</f>
        <v/>
      </c>
      <c r="CD380" s="64" t="str">
        <f>if(F380="REFUNDED",iferror(Vlookup(I380,'Listing SKU - Fill SKU Mapping'!A:C,3,false),"Map"),"")</f>
        <v/>
      </c>
      <c r="CE380" s="64" t="str">
        <f t="shared" si="4"/>
        <v>2025</v>
      </c>
      <c r="CF380" s="64" t="str">
        <f t="shared" si="5"/>
        <v>October</v>
      </c>
      <c r="CG380" s="64" t="str">
        <f t="shared" si="6"/>
        <v/>
      </c>
    </row>
    <row r="381">
      <c r="A381" s="55">
        <v>2.0001E14</v>
      </c>
      <c r="B381" s="56">
        <v>1.0</v>
      </c>
      <c r="C381" s="57">
        <v>1.2903E14</v>
      </c>
      <c r="D381" s="58">
        <v>1.0</v>
      </c>
      <c r="F381" s="59" t="s">
        <v>100</v>
      </c>
      <c r="G381" s="60">
        <v>45953.0</v>
      </c>
      <c r="H381" s="58">
        <v>1.0</v>
      </c>
      <c r="I381" s="58" t="s">
        <v>552</v>
      </c>
      <c r="J381" s="61">
        <v>4.60776233918E11</v>
      </c>
      <c r="K381" s="62" t="s">
        <v>553</v>
      </c>
      <c r="L381" s="62">
        <v>2038710.0</v>
      </c>
      <c r="M381" s="63"/>
      <c r="N381" s="63"/>
      <c r="O381" s="62" t="s">
        <v>126</v>
      </c>
      <c r="P381" s="63"/>
      <c r="Q381" s="63"/>
      <c r="R381" s="62" t="s">
        <v>554</v>
      </c>
      <c r="S381" s="62">
        <v>27320.0</v>
      </c>
      <c r="T381" s="58" t="s">
        <v>105</v>
      </c>
      <c r="U381" s="59">
        <v>131.54</v>
      </c>
      <c r="V381" s="59">
        <v>119.02</v>
      </c>
      <c r="W381" s="58">
        <v>8.96</v>
      </c>
      <c r="X381" s="58">
        <v>7.0</v>
      </c>
      <c r="Y381" s="58">
        <v>10.0</v>
      </c>
      <c r="Z381" s="59">
        <v>122.93</v>
      </c>
      <c r="AA381" s="58">
        <v>0.0</v>
      </c>
      <c r="AB381" s="58">
        <v>0.0</v>
      </c>
      <c r="AC381" s="58">
        <v>0.0</v>
      </c>
      <c r="AD381" s="58">
        <v>0.0</v>
      </c>
      <c r="AE381" s="58">
        <v>0.0</v>
      </c>
      <c r="AF381" s="58">
        <v>0.0</v>
      </c>
      <c r="AG381" s="58">
        <v>0.0</v>
      </c>
      <c r="AH381" s="58">
        <v>0.0</v>
      </c>
      <c r="AI381" s="58">
        <v>0.0</v>
      </c>
      <c r="AJ381" s="58">
        <v>0.0</v>
      </c>
      <c r="AK381" s="58">
        <v>0.0</v>
      </c>
      <c r="AL381" s="58">
        <v>0.0</v>
      </c>
      <c r="AM381" s="58">
        <v>0.0</v>
      </c>
      <c r="AN381" s="58">
        <v>0.0</v>
      </c>
      <c r="AO381" s="58">
        <v>0.0</v>
      </c>
      <c r="AP381" s="58">
        <v>8.61</v>
      </c>
      <c r="AQ381" s="58">
        <v>0.0</v>
      </c>
      <c r="AR381" s="58">
        <v>0.0</v>
      </c>
      <c r="AS381" s="58">
        <v>0.0</v>
      </c>
      <c r="AT381" s="58">
        <v>0.0</v>
      </c>
      <c r="AU381" s="58">
        <v>0.0</v>
      </c>
      <c r="AV381" s="58">
        <v>0.0</v>
      </c>
      <c r="AW381" s="58">
        <v>0.0</v>
      </c>
      <c r="AX381" s="58">
        <v>0.0</v>
      </c>
      <c r="AY381" s="58">
        <v>0.0</v>
      </c>
      <c r="AZ381" s="58">
        <v>0.0</v>
      </c>
      <c r="BA381" s="58">
        <v>0.0</v>
      </c>
      <c r="BB381" s="58">
        <v>8.61</v>
      </c>
      <c r="BC381" s="58" t="s">
        <v>106</v>
      </c>
      <c r="BF381" s="58">
        <v>127.98</v>
      </c>
      <c r="BG381" s="58">
        <v>-12.8</v>
      </c>
      <c r="BH381" s="58" t="s">
        <v>107</v>
      </c>
      <c r="BI381" s="58" t="s">
        <v>108</v>
      </c>
      <c r="BJ381" s="58" t="s">
        <v>109</v>
      </c>
      <c r="BK381" s="58" t="s">
        <v>548</v>
      </c>
      <c r="BN381" s="58" t="s">
        <v>111</v>
      </c>
      <c r="BO381" s="58" t="s">
        <v>112</v>
      </c>
      <c r="BP381" s="58" t="s">
        <v>113</v>
      </c>
      <c r="BQ381" s="58" t="s">
        <v>317</v>
      </c>
      <c r="BR381" s="58">
        <v>3.84</v>
      </c>
      <c r="BT381" s="58">
        <v>-5.05</v>
      </c>
      <c r="BU381" s="73" t="s">
        <v>318</v>
      </c>
      <c r="BW381" s="64" t="str">
        <f>if(OR(F381="SALE",F381="REFUNDED"),IFERROR(Vlookup(I381,'Listing SKU - Fill SKU Mapping'!A:C,3,false),"Map"),"")</f>
        <v>Keystone</v>
      </c>
      <c r="BX381" s="64" t="str">
        <f>IF(OR(F381="SALE",F381="REFUNDED")=TRUE,iferror(Vlookup(I381,'Listing SKU - Fill SKU Mapping'!A:B,2,false),"Map"),"")</f>
        <v>IMP361X</v>
      </c>
      <c r="BY381" s="64">
        <f>IF(OR(F381="SALE",F381="REFUNDED")=TRUE,iferror(Vlookup(I381,'Listing SKU - Fill SKU Mapping'!A:D,4,false),"Map"),"")</f>
        <v>62.33</v>
      </c>
      <c r="BZ381" s="66">
        <f t="shared" si="1"/>
        <v>11.5</v>
      </c>
      <c r="CA381" s="66">
        <f t="shared" si="2"/>
        <v>73.83</v>
      </c>
      <c r="CB381" s="66">
        <f t="shared" si="3"/>
        <v>45.19</v>
      </c>
      <c r="CC381" s="64" t="str">
        <f>if(F381="REFUNDED",iferror(Vlookup(I381,'Listing SKU - Fill SKU Mapping'!A:B,2,false),"Map"),"")</f>
        <v/>
      </c>
      <c r="CD381" s="64" t="str">
        <f>if(F381="REFUNDED",iferror(Vlookup(I381,'Listing SKU - Fill SKU Mapping'!A:C,3,false),"Map"),"")</f>
        <v/>
      </c>
      <c r="CE381" s="64" t="str">
        <f t="shared" si="4"/>
        <v>2025</v>
      </c>
      <c r="CF381" s="64" t="str">
        <f t="shared" si="5"/>
        <v>October</v>
      </c>
      <c r="CG381" s="64" t="str">
        <f t="shared" si="6"/>
        <v/>
      </c>
    </row>
    <row r="382">
      <c r="A382" s="55">
        <v>2.0001E14</v>
      </c>
      <c r="B382" s="56">
        <v>2.0</v>
      </c>
      <c r="C382" s="57">
        <v>1.2903E14</v>
      </c>
      <c r="D382" s="58">
        <v>2.0</v>
      </c>
      <c r="F382" s="59" t="s">
        <v>100</v>
      </c>
      <c r="G382" s="60">
        <v>45950.0</v>
      </c>
      <c r="H382" s="58">
        <v>1.0</v>
      </c>
      <c r="I382" s="58" t="s">
        <v>420</v>
      </c>
      <c r="J382" s="61">
        <v>4.50400888287E11</v>
      </c>
      <c r="K382" s="62" t="s">
        <v>483</v>
      </c>
      <c r="L382" s="62">
        <v>2038710.0</v>
      </c>
      <c r="M382" s="63"/>
      <c r="N382" s="63"/>
      <c r="O382" s="62" t="s">
        <v>145</v>
      </c>
      <c r="P382" s="63"/>
      <c r="Q382" s="63"/>
      <c r="R382" s="62" t="s">
        <v>555</v>
      </c>
      <c r="S382" s="62">
        <v>30507.0</v>
      </c>
      <c r="T382" s="58" t="s">
        <v>437</v>
      </c>
      <c r="U382" s="59">
        <v>21.38</v>
      </c>
      <c r="V382" s="59">
        <v>22.98</v>
      </c>
      <c r="W382" s="58">
        <v>0.0</v>
      </c>
      <c r="X382" s="58">
        <v>0.0</v>
      </c>
      <c r="Y382" s="58">
        <v>12.0</v>
      </c>
      <c r="Z382" s="59">
        <v>19.98</v>
      </c>
      <c r="AA382" s="58">
        <v>0.0</v>
      </c>
      <c r="AB382" s="58">
        <v>0.0</v>
      </c>
      <c r="AC382" s="58">
        <v>0.0</v>
      </c>
      <c r="AD382" s="58">
        <v>0.0</v>
      </c>
      <c r="AE382" s="58">
        <v>0.0</v>
      </c>
      <c r="AF382" s="58">
        <v>0.0</v>
      </c>
      <c r="AG382" s="58">
        <v>0.0</v>
      </c>
      <c r="AH382" s="58">
        <v>0.0</v>
      </c>
      <c r="AI382" s="58">
        <v>0.0</v>
      </c>
      <c r="AJ382" s="58">
        <v>0.0</v>
      </c>
      <c r="AK382" s="58">
        <v>0.0</v>
      </c>
      <c r="AL382" s="58">
        <v>0.0</v>
      </c>
      <c r="AM382" s="58">
        <v>0.0</v>
      </c>
      <c r="AN382" s="58">
        <v>0.0</v>
      </c>
      <c r="AO382" s="58">
        <v>0.0</v>
      </c>
      <c r="AP382" s="58">
        <v>1.4</v>
      </c>
      <c r="AQ382" s="58">
        <v>0.0</v>
      </c>
      <c r="AR382" s="58">
        <v>0.0</v>
      </c>
      <c r="AS382" s="58">
        <v>0.0</v>
      </c>
      <c r="AT382" s="58">
        <v>0.0</v>
      </c>
      <c r="AU382" s="58">
        <v>0.0</v>
      </c>
      <c r="AV382" s="58">
        <v>0.0</v>
      </c>
      <c r="AW382" s="58">
        <v>0.0</v>
      </c>
      <c r="AX382" s="58">
        <v>0.0</v>
      </c>
      <c r="AY382" s="58">
        <v>0.0</v>
      </c>
      <c r="AZ382" s="58">
        <v>0.0</v>
      </c>
      <c r="BA382" s="58">
        <v>0.0</v>
      </c>
      <c r="BB382" s="58">
        <v>1.4</v>
      </c>
      <c r="BC382" s="58" t="s">
        <v>106</v>
      </c>
      <c r="BF382" s="58">
        <v>22.98</v>
      </c>
      <c r="BG382" s="58">
        <v>-2.76</v>
      </c>
      <c r="BH382" s="58" t="s">
        <v>421</v>
      </c>
      <c r="BI382" s="58" t="s">
        <v>422</v>
      </c>
      <c r="BJ382" s="58" t="s">
        <v>423</v>
      </c>
      <c r="BK382" s="58" t="s">
        <v>556</v>
      </c>
      <c r="BN382" s="58" t="s">
        <v>111</v>
      </c>
      <c r="BO382" s="58" t="s">
        <v>424</v>
      </c>
      <c r="BP382" s="58" t="s">
        <v>113</v>
      </c>
      <c r="BQ382" s="58" t="s">
        <v>317</v>
      </c>
      <c r="BR382" s="58">
        <v>2.76</v>
      </c>
      <c r="BT382" s="58">
        <v>-3.0</v>
      </c>
      <c r="BU382" s="73" t="s">
        <v>318</v>
      </c>
      <c r="BW382" s="64" t="str">
        <f>if(OR(F382="SALE",F382="REFUNDED"),IFERROR(Vlookup(I382,'Listing SKU - Fill SKU Mapping'!A:C,3,false),"Map"),"")</f>
        <v>Map</v>
      </c>
      <c r="BX382" s="64" t="str">
        <f>IF(OR(F382="SALE",F382="REFUNDED")=TRUE,iferror(Vlookup(I382,'Listing SKU - Fill SKU Mapping'!A:B,2,false),"Map"),"")</f>
        <v>Map</v>
      </c>
      <c r="BY382" s="64" t="str">
        <f>IF(OR(F382="SALE",F382="REFUNDED")=TRUE,iferror(Vlookup(I382,'Listing SKU - Fill SKU Mapping'!A:D,4,false),"Map"),"")</f>
        <v>Map</v>
      </c>
      <c r="BZ382" s="66" t="str">
        <f t="shared" si="1"/>
        <v/>
      </c>
      <c r="CA382" s="64" t="str">
        <f t="shared" si="2"/>
        <v/>
      </c>
      <c r="CB382" s="64">
        <f t="shared" si="3"/>
        <v>22.98</v>
      </c>
      <c r="CC382" s="64" t="str">
        <f>if(F382="REFUNDED",iferror(Vlookup(I382,'Listing SKU - Fill SKU Mapping'!A:B,2,false),"Map"),"")</f>
        <v/>
      </c>
      <c r="CD382" s="64" t="str">
        <f>if(F382="REFUNDED",iferror(Vlookup(I382,'Listing SKU - Fill SKU Mapping'!A:C,3,false),"Map"),"")</f>
        <v/>
      </c>
      <c r="CE382" s="64" t="str">
        <f t="shared" si="4"/>
        <v>2025</v>
      </c>
      <c r="CF382" s="64" t="str">
        <f t="shared" si="5"/>
        <v>October</v>
      </c>
      <c r="CG382" s="64" t="str">
        <f t="shared" si="6"/>
        <v/>
      </c>
    </row>
    <row r="383">
      <c r="A383" s="55">
        <v>2.0001E14</v>
      </c>
      <c r="B383" s="56">
        <v>2.0</v>
      </c>
      <c r="C383" s="57">
        <v>1.2903E14</v>
      </c>
      <c r="D383" s="58">
        <v>2.0</v>
      </c>
      <c r="F383" s="59" t="s">
        <v>158</v>
      </c>
      <c r="G383" s="60">
        <v>45950.0</v>
      </c>
      <c r="H383" s="58">
        <v>1.0</v>
      </c>
      <c r="I383" s="58" t="s">
        <v>420</v>
      </c>
      <c r="J383" s="61">
        <v>4.50400888287E11</v>
      </c>
      <c r="K383" s="62" t="s">
        <v>483</v>
      </c>
      <c r="L383" s="62">
        <v>2038710.0</v>
      </c>
      <c r="M383" s="63"/>
      <c r="N383" s="63"/>
      <c r="O383" s="62" t="s">
        <v>145</v>
      </c>
      <c r="P383" s="63"/>
      <c r="Q383" s="63"/>
      <c r="R383" s="62" t="s">
        <v>555</v>
      </c>
      <c r="S383" s="62">
        <v>30507.0</v>
      </c>
      <c r="T383" s="58" t="s">
        <v>437</v>
      </c>
      <c r="U383" s="59">
        <v>0.0</v>
      </c>
      <c r="V383" s="59">
        <v>-6.15</v>
      </c>
      <c r="W383" s="58">
        <v>6.15</v>
      </c>
      <c r="X383" s="58">
        <v>0.0</v>
      </c>
      <c r="Z383" s="59">
        <v>0.0</v>
      </c>
      <c r="AA383" s="58">
        <v>0.0</v>
      </c>
      <c r="AB383" s="58">
        <v>0.0</v>
      </c>
      <c r="AC383" s="58">
        <v>0.0</v>
      </c>
      <c r="AD383" s="58">
        <v>0.0</v>
      </c>
      <c r="AE383" s="58">
        <v>0.0</v>
      </c>
      <c r="AF383" s="58">
        <v>0.0</v>
      </c>
      <c r="AG383" s="58">
        <v>0.0</v>
      </c>
      <c r="AH383" s="58">
        <v>0.0</v>
      </c>
      <c r="AI383" s="58">
        <v>0.0</v>
      </c>
      <c r="AJ383" s="58">
        <v>0.0</v>
      </c>
      <c r="AK383" s="58">
        <v>0.0</v>
      </c>
      <c r="AL383" s="58">
        <v>0.0</v>
      </c>
      <c r="AM383" s="58">
        <v>0.0</v>
      </c>
      <c r="AN383" s="58">
        <v>0.0</v>
      </c>
      <c r="AO383" s="58">
        <v>0.0</v>
      </c>
      <c r="AP383" s="58">
        <v>0.0</v>
      </c>
      <c r="AQ383" s="58">
        <v>0.0</v>
      </c>
      <c r="AR383" s="58">
        <v>0.0</v>
      </c>
      <c r="AS383" s="58">
        <v>0.0</v>
      </c>
      <c r="AT383" s="58">
        <v>0.0</v>
      </c>
      <c r="AU383" s="58">
        <v>0.0</v>
      </c>
      <c r="AV383" s="58">
        <v>0.0</v>
      </c>
      <c r="AW383" s="58">
        <v>0.0</v>
      </c>
      <c r="AX383" s="58">
        <v>0.0</v>
      </c>
      <c r="AY383" s="58">
        <v>0.0</v>
      </c>
      <c r="AZ383" s="58">
        <v>0.0</v>
      </c>
      <c r="BA383" s="58">
        <v>0.0</v>
      </c>
      <c r="BB383" s="58">
        <v>0.0</v>
      </c>
      <c r="BC383" s="58" t="s">
        <v>106</v>
      </c>
      <c r="BD383" s="58" t="s">
        <v>425</v>
      </c>
      <c r="BE383" s="58">
        <v>5041.0</v>
      </c>
      <c r="BF383" s="58">
        <v>22.98</v>
      </c>
      <c r="BH383" s="58" t="s">
        <v>421</v>
      </c>
      <c r="BI383" s="58" t="s">
        <v>422</v>
      </c>
      <c r="BN383" s="58" t="s">
        <v>111</v>
      </c>
      <c r="BO383" s="58" t="s">
        <v>424</v>
      </c>
      <c r="BU383" s="72"/>
      <c r="BW383" s="64" t="str">
        <f>if(OR(F383="SALE",F383="REFUNDED"),IFERROR(Vlookup(I383,'Listing SKU - Fill SKU Mapping'!A:C,3,false),"Map"),"")</f>
        <v/>
      </c>
      <c r="BX383" s="64" t="str">
        <f>IF(OR(F383="SALE",F383="REFUNDED")=TRUE,iferror(Vlookup(I383,'Listing SKU - Fill SKU Mapping'!A:B,2,false),"Map"),"")</f>
        <v/>
      </c>
      <c r="BY383" s="64" t="str">
        <f>IF(OR(F383="SALE",F383="REFUNDED")=TRUE,iferror(Vlookup(I383,'Listing SKU - Fill SKU Mapping'!A:D,4,false),"Map"),"")</f>
        <v/>
      </c>
      <c r="BZ383" s="66" t="str">
        <f t="shared" si="1"/>
        <v/>
      </c>
      <c r="CA383" s="64" t="str">
        <f t="shared" si="2"/>
        <v/>
      </c>
      <c r="CB383" s="64" t="str">
        <f t="shared" si="3"/>
        <v/>
      </c>
      <c r="CC383" s="64" t="str">
        <f>if(F383="REFUNDED",iferror(Vlookup(I383,'Listing SKU - Fill SKU Mapping'!A:B,2,false),"Map"),"")</f>
        <v/>
      </c>
      <c r="CD383" s="64" t="str">
        <f>if(F383="REFUNDED",iferror(Vlookup(I383,'Listing SKU - Fill SKU Mapping'!A:C,3,false),"Map"),"")</f>
        <v/>
      </c>
      <c r="CE383" s="64" t="str">
        <f t="shared" si="4"/>
        <v>2025</v>
      </c>
      <c r="CF383" s="64" t="str">
        <f t="shared" si="5"/>
        <v>October</v>
      </c>
      <c r="CG383" s="64" t="str">
        <f t="shared" si="6"/>
        <v/>
      </c>
    </row>
    <row r="384">
      <c r="A384" s="55">
        <v>2.0001E14</v>
      </c>
      <c r="B384" s="56">
        <v>1.0</v>
      </c>
      <c r="C384" s="57">
        <v>1.2903E14</v>
      </c>
      <c r="D384" s="58">
        <v>1.0</v>
      </c>
      <c r="F384" s="59" t="s">
        <v>100</v>
      </c>
      <c r="G384" s="60">
        <v>45952.0</v>
      </c>
      <c r="H384" s="58">
        <v>1.0</v>
      </c>
      <c r="I384" s="58" t="s">
        <v>557</v>
      </c>
      <c r="J384" s="61">
        <v>4.67129958696E11</v>
      </c>
      <c r="K384" s="62" t="s">
        <v>558</v>
      </c>
      <c r="L384" s="62">
        <v>2038710.0</v>
      </c>
      <c r="M384" s="63"/>
      <c r="N384" s="63"/>
      <c r="O384" s="62" t="s">
        <v>174</v>
      </c>
      <c r="P384" s="63"/>
      <c r="Q384" s="63"/>
      <c r="R384" s="62" t="s">
        <v>175</v>
      </c>
      <c r="S384" s="62">
        <v>77008.0</v>
      </c>
      <c r="T384" s="58" t="s">
        <v>105</v>
      </c>
      <c r="U384" s="59">
        <v>120.14</v>
      </c>
      <c r="V384" s="59">
        <v>103.21</v>
      </c>
      <c r="W384" s="58">
        <v>7.77</v>
      </c>
      <c r="X384" s="58">
        <v>7.0</v>
      </c>
      <c r="Y384" s="58">
        <v>10.0</v>
      </c>
      <c r="Z384" s="59">
        <v>110.98</v>
      </c>
      <c r="AA384" s="58">
        <v>0.0</v>
      </c>
      <c r="AB384" s="58">
        <v>0.0</v>
      </c>
      <c r="AC384" s="58">
        <v>0.0</v>
      </c>
      <c r="AD384" s="58">
        <v>0.0</v>
      </c>
      <c r="AE384" s="58">
        <v>0.0</v>
      </c>
      <c r="AF384" s="58">
        <v>0.0</v>
      </c>
      <c r="AG384" s="58">
        <v>0.0</v>
      </c>
      <c r="AH384" s="58">
        <v>0.0</v>
      </c>
      <c r="AI384" s="58">
        <v>0.0</v>
      </c>
      <c r="AJ384" s="58">
        <v>0.0</v>
      </c>
      <c r="AK384" s="58">
        <v>0.0</v>
      </c>
      <c r="AL384" s="58">
        <v>0.0</v>
      </c>
      <c r="AM384" s="58">
        <v>0.0</v>
      </c>
      <c r="AN384" s="58">
        <v>0.0</v>
      </c>
      <c r="AO384" s="58">
        <v>0.0</v>
      </c>
      <c r="AP384" s="58">
        <v>9.16</v>
      </c>
      <c r="AQ384" s="58">
        <v>0.0</v>
      </c>
      <c r="AR384" s="58">
        <v>0.0</v>
      </c>
      <c r="AS384" s="58">
        <v>0.0</v>
      </c>
      <c r="AT384" s="58">
        <v>0.0</v>
      </c>
      <c r="AU384" s="58">
        <v>0.0</v>
      </c>
      <c r="AV384" s="58">
        <v>0.0</v>
      </c>
      <c r="AW384" s="58">
        <v>0.0</v>
      </c>
      <c r="AX384" s="58">
        <v>0.0</v>
      </c>
      <c r="AY384" s="58">
        <v>0.0</v>
      </c>
      <c r="AZ384" s="58">
        <v>0.0</v>
      </c>
      <c r="BA384" s="58">
        <v>0.0</v>
      </c>
      <c r="BB384" s="58">
        <v>9.16</v>
      </c>
      <c r="BC384" s="58" t="s">
        <v>106</v>
      </c>
      <c r="BG384" s="58">
        <v>-11.1</v>
      </c>
      <c r="BH384" s="58" t="s">
        <v>107</v>
      </c>
      <c r="BI384" s="58" t="s">
        <v>108</v>
      </c>
      <c r="BJ384" s="58" t="s">
        <v>109</v>
      </c>
      <c r="BK384" s="58" t="s">
        <v>548</v>
      </c>
      <c r="BN384" s="58" t="s">
        <v>111</v>
      </c>
      <c r="BO384" s="58" t="s">
        <v>112</v>
      </c>
      <c r="BP384" s="58" t="s">
        <v>113</v>
      </c>
      <c r="BQ384" s="58" t="s">
        <v>114</v>
      </c>
      <c r="BR384" s="58">
        <v>3.33</v>
      </c>
      <c r="BU384" s="72"/>
      <c r="BW384" s="64" t="str">
        <f>if(OR(F384="SALE",F384="REFUNDED"),IFERROR(Vlookup(I384,'Listing SKU - Fill SKU Mapping'!A:C,3,false),"Map"),"")</f>
        <v>Keystone</v>
      </c>
      <c r="BX384" s="64" t="str">
        <f>IF(OR(F384="SALE",F384="REFUNDED")=TRUE,iferror(Vlookup(I384,'Listing SKU - Fill SKU Mapping'!A:B,2,false),"Map"),"")</f>
        <v>51917C</v>
      </c>
      <c r="BY384" s="64">
        <f>IF(OR(F384="SALE",F384="REFUNDED")=TRUE,iferror(Vlookup(I384,'Listing SKU - Fill SKU Mapping'!A:D,4,false),"Map"),"")</f>
        <v>48.52</v>
      </c>
      <c r="BZ384" s="66">
        <f t="shared" si="1"/>
        <v>11.5</v>
      </c>
      <c r="CA384" s="66">
        <f t="shared" si="2"/>
        <v>60.02</v>
      </c>
      <c r="CB384" s="66">
        <f t="shared" si="3"/>
        <v>43.19</v>
      </c>
      <c r="CC384" s="64" t="str">
        <f>if(F384="REFUNDED",iferror(Vlookup(I384,'Listing SKU - Fill SKU Mapping'!A:B,2,false),"Map"),"")</f>
        <v/>
      </c>
      <c r="CD384" s="64" t="str">
        <f>if(F384="REFUNDED",iferror(Vlookup(I384,'Listing SKU - Fill SKU Mapping'!A:C,3,false),"Map"),"")</f>
        <v/>
      </c>
      <c r="CE384" s="64" t="str">
        <f t="shared" si="4"/>
        <v>2025</v>
      </c>
      <c r="CF384" s="64" t="str">
        <f t="shared" si="5"/>
        <v>October</v>
      </c>
      <c r="CG384" s="64" t="str">
        <f t="shared" si="6"/>
        <v/>
      </c>
    </row>
    <row r="385">
      <c r="A385" s="55">
        <v>2.0001E14</v>
      </c>
      <c r="B385" s="56">
        <v>1.0</v>
      </c>
      <c r="C385" s="57">
        <v>1.2903E14</v>
      </c>
      <c r="D385" s="58">
        <v>1.0</v>
      </c>
      <c r="F385" s="59" t="s">
        <v>100</v>
      </c>
      <c r="G385" s="60">
        <v>45960.0</v>
      </c>
      <c r="H385" s="58">
        <v>1.0</v>
      </c>
      <c r="I385" s="58" t="s">
        <v>220</v>
      </c>
      <c r="J385" s="61">
        <v>4.60776238135E11</v>
      </c>
      <c r="K385" s="62" t="s">
        <v>221</v>
      </c>
      <c r="L385" s="62">
        <v>2038710.0</v>
      </c>
      <c r="M385" s="63"/>
      <c r="N385" s="63"/>
      <c r="O385" s="62" t="s">
        <v>142</v>
      </c>
      <c r="P385" s="63"/>
      <c r="Q385" s="63"/>
      <c r="R385" s="62" t="s">
        <v>559</v>
      </c>
      <c r="S385" s="62">
        <v>71360.0</v>
      </c>
      <c r="T385" s="58" t="s">
        <v>105</v>
      </c>
      <c r="U385" s="59">
        <v>108.89</v>
      </c>
      <c r="V385" s="59">
        <v>102.28</v>
      </c>
      <c r="W385" s="58">
        <v>7.7</v>
      </c>
      <c r="X385" s="58">
        <v>7.0</v>
      </c>
      <c r="Y385" s="58">
        <v>10.0</v>
      </c>
      <c r="Z385" s="59">
        <v>99.9</v>
      </c>
      <c r="AA385" s="58">
        <v>0.0</v>
      </c>
      <c r="AB385" s="58">
        <v>0.0</v>
      </c>
      <c r="AC385" s="58">
        <v>0.0</v>
      </c>
      <c r="AD385" s="58">
        <v>0.0</v>
      </c>
      <c r="AE385" s="58">
        <v>0.0</v>
      </c>
      <c r="AF385" s="58">
        <v>0.0</v>
      </c>
      <c r="AG385" s="58">
        <v>0.0</v>
      </c>
      <c r="AH385" s="58">
        <v>0.0</v>
      </c>
      <c r="AI385" s="58">
        <v>0.0</v>
      </c>
      <c r="AJ385" s="58">
        <v>0.0</v>
      </c>
      <c r="AK385" s="58">
        <v>0.0</v>
      </c>
      <c r="AL385" s="58">
        <v>0.0</v>
      </c>
      <c r="AM385" s="58">
        <v>0.0</v>
      </c>
      <c r="AN385" s="58">
        <v>0.0</v>
      </c>
      <c r="AO385" s="58">
        <v>0.0</v>
      </c>
      <c r="AP385" s="58">
        <v>8.99</v>
      </c>
      <c r="AQ385" s="58">
        <v>0.0</v>
      </c>
      <c r="AR385" s="58">
        <v>0.0</v>
      </c>
      <c r="AS385" s="58">
        <v>0.0</v>
      </c>
      <c r="AT385" s="58">
        <v>0.0</v>
      </c>
      <c r="AU385" s="58">
        <v>0.0</v>
      </c>
      <c r="AV385" s="58">
        <v>0.0</v>
      </c>
      <c r="AW385" s="58">
        <v>0.0</v>
      </c>
      <c r="AX385" s="58">
        <v>0.0</v>
      </c>
      <c r="AY385" s="58">
        <v>0.0</v>
      </c>
      <c r="AZ385" s="58">
        <v>0.0</v>
      </c>
      <c r="BA385" s="58">
        <v>0.0</v>
      </c>
      <c r="BB385" s="58">
        <v>8.99</v>
      </c>
      <c r="BC385" s="58" t="s">
        <v>106</v>
      </c>
      <c r="BF385" s="58">
        <v>109.98</v>
      </c>
      <c r="BG385" s="58">
        <v>-11.0</v>
      </c>
      <c r="BH385" s="58" t="s">
        <v>107</v>
      </c>
      <c r="BI385" s="58" t="s">
        <v>108</v>
      </c>
      <c r="BJ385" s="58" t="s">
        <v>109</v>
      </c>
      <c r="BK385" s="58" t="s">
        <v>538</v>
      </c>
      <c r="BN385" s="58" t="s">
        <v>111</v>
      </c>
      <c r="BO385" s="58" t="s">
        <v>112</v>
      </c>
      <c r="BP385" s="58" t="s">
        <v>113</v>
      </c>
      <c r="BQ385" s="58" t="s">
        <v>317</v>
      </c>
      <c r="BR385" s="58">
        <v>3.3</v>
      </c>
      <c r="BT385" s="58">
        <v>-10.08</v>
      </c>
      <c r="BU385" s="73" t="s">
        <v>318</v>
      </c>
      <c r="BW385" s="64" t="str">
        <f>if(OR(F385="SALE",F385="REFUNDED"),IFERROR(Vlookup(I385,'Listing SKU - Fill SKU Mapping'!A:C,3,false),"Map"),"")</f>
        <v>Keystone</v>
      </c>
      <c r="BX385" s="64" t="str">
        <f>IF(OR(F385="SALE",F385="REFUNDED")=TRUE,iferror(Vlookup(I385,'Listing SKU - Fill SKU Mapping'!A:B,2,false),"Map"),"")</f>
        <v>IMP409BLK</v>
      </c>
      <c r="BY385" s="64">
        <f>IF(OR(F385="SALE",F385="REFUNDED")=TRUE,iferror(Vlookup(I385,'Listing SKU - Fill SKU Mapping'!A:D,4,false),"Map"),"")</f>
        <v>50.49</v>
      </c>
      <c r="BZ385" s="66">
        <f t="shared" si="1"/>
        <v>11.5</v>
      </c>
      <c r="CA385" s="66">
        <f t="shared" si="2"/>
        <v>61.99</v>
      </c>
      <c r="CB385" s="66">
        <f t="shared" si="3"/>
        <v>40.29</v>
      </c>
      <c r="CC385" s="64" t="str">
        <f>if(F385="REFUNDED",iferror(Vlookup(I385,'Listing SKU - Fill SKU Mapping'!A:B,2,false),"Map"),"")</f>
        <v/>
      </c>
      <c r="CD385" s="64" t="str">
        <f>if(F385="REFUNDED",iferror(Vlookup(I385,'Listing SKU - Fill SKU Mapping'!A:C,3,false),"Map"),"")</f>
        <v/>
      </c>
      <c r="CE385" s="64" t="str">
        <f t="shared" si="4"/>
        <v>2025</v>
      </c>
      <c r="CF385" s="64" t="str">
        <f t="shared" si="5"/>
        <v>October</v>
      </c>
      <c r="CG385" s="64" t="str">
        <f t="shared" si="6"/>
        <v/>
      </c>
    </row>
    <row r="386">
      <c r="A386" s="55">
        <v>2.0001E14</v>
      </c>
      <c r="B386" s="56">
        <v>1.0</v>
      </c>
      <c r="C386" s="57">
        <v>1.2903E14</v>
      </c>
      <c r="D386" s="58">
        <v>1.0</v>
      </c>
      <c r="F386" s="59" t="s">
        <v>100</v>
      </c>
      <c r="G386" s="60">
        <v>45957.0</v>
      </c>
      <c r="H386" s="58">
        <v>1.0</v>
      </c>
      <c r="I386" s="58" t="s">
        <v>560</v>
      </c>
      <c r="J386" s="61">
        <v>4.67129926251E11</v>
      </c>
      <c r="K386" s="62" t="s">
        <v>561</v>
      </c>
      <c r="L386" s="62">
        <v>2038710.0</v>
      </c>
      <c r="M386" s="63"/>
      <c r="N386" s="63"/>
      <c r="O386" s="62" t="s">
        <v>174</v>
      </c>
      <c r="P386" s="63"/>
      <c r="Q386" s="63"/>
      <c r="R386" s="62" t="s">
        <v>562</v>
      </c>
      <c r="S386" s="62">
        <v>76706.0</v>
      </c>
      <c r="T386" s="58" t="s">
        <v>105</v>
      </c>
      <c r="U386" s="59">
        <v>111.23</v>
      </c>
      <c r="V386" s="59">
        <v>97.63</v>
      </c>
      <c r="W386" s="58">
        <v>7.35</v>
      </c>
      <c r="X386" s="58">
        <v>7.0</v>
      </c>
      <c r="Y386" s="58">
        <v>10.0</v>
      </c>
      <c r="Z386" s="59">
        <v>102.75</v>
      </c>
      <c r="AA386" s="58">
        <v>0.0</v>
      </c>
      <c r="AB386" s="58">
        <v>0.0</v>
      </c>
      <c r="AC386" s="58">
        <v>0.0</v>
      </c>
      <c r="AD386" s="58">
        <v>0.0</v>
      </c>
      <c r="AE386" s="58">
        <v>0.0</v>
      </c>
      <c r="AF386" s="58">
        <v>0.0</v>
      </c>
      <c r="AG386" s="58">
        <v>0.0</v>
      </c>
      <c r="AH386" s="58">
        <v>0.0</v>
      </c>
      <c r="AI386" s="58">
        <v>0.0</v>
      </c>
      <c r="AJ386" s="58">
        <v>0.0</v>
      </c>
      <c r="AK386" s="58">
        <v>0.0</v>
      </c>
      <c r="AL386" s="58">
        <v>0.0</v>
      </c>
      <c r="AM386" s="58">
        <v>0.0</v>
      </c>
      <c r="AN386" s="58">
        <v>0.0</v>
      </c>
      <c r="AO386" s="58">
        <v>0.0</v>
      </c>
      <c r="AP386" s="58">
        <v>8.48</v>
      </c>
      <c r="AQ386" s="58">
        <v>0.0</v>
      </c>
      <c r="AR386" s="58">
        <v>0.0</v>
      </c>
      <c r="AS386" s="58">
        <v>0.0</v>
      </c>
      <c r="AT386" s="58">
        <v>0.0</v>
      </c>
      <c r="AU386" s="58">
        <v>0.0</v>
      </c>
      <c r="AV386" s="58">
        <v>0.0</v>
      </c>
      <c r="AW386" s="58">
        <v>0.0</v>
      </c>
      <c r="AX386" s="58">
        <v>0.0</v>
      </c>
      <c r="AY386" s="58">
        <v>0.0</v>
      </c>
      <c r="AZ386" s="58">
        <v>0.0</v>
      </c>
      <c r="BA386" s="58">
        <v>0.0</v>
      </c>
      <c r="BB386" s="58">
        <v>8.48</v>
      </c>
      <c r="BC386" s="58" t="s">
        <v>106</v>
      </c>
      <c r="BF386" s="58">
        <v>104.98</v>
      </c>
      <c r="BG386" s="58">
        <v>-10.5</v>
      </c>
      <c r="BH386" s="58" t="s">
        <v>107</v>
      </c>
      <c r="BI386" s="58" t="s">
        <v>108</v>
      </c>
      <c r="BJ386" s="58" t="s">
        <v>109</v>
      </c>
      <c r="BK386" s="58" t="s">
        <v>538</v>
      </c>
      <c r="BN386" s="58" t="s">
        <v>111</v>
      </c>
      <c r="BO386" s="58" t="s">
        <v>112</v>
      </c>
      <c r="BP386" s="58" t="s">
        <v>113</v>
      </c>
      <c r="BQ386" s="58" t="s">
        <v>317</v>
      </c>
      <c r="BR386" s="58">
        <v>3.15</v>
      </c>
      <c r="BT386" s="58">
        <v>-2.23</v>
      </c>
      <c r="BU386" s="73" t="s">
        <v>318</v>
      </c>
      <c r="BW386" s="64" t="str">
        <f>if(OR(F386="SALE",F386="REFUNDED"),IFERROR(Vlookup(I386,'Listing SKU - Fill SKU Mapping'!A:C,3,false),"Map"),"")</f>
        <v>Keystone</v>
      </c>
      <c r="BX386" s="64" t="str">
        <f>IF(OR(F386="SALE",F386="REFUNDED")=TRUE,iferror(Vlookup(I386,'Listing SKU - Fill SKU Mapping'!A:B,2,false),"Map"),"")</f>
        <v>44115C</v>
      </c>
      <c r="BY386" s="64">
        <f>IF(OR(F386="SALE",F386="REFUNDED")=TRUE,iferror(Vlookup(I386,'Listing SKU - Fill SKU Mapping'!A:D,4,false),"Map"),"")</f>
        <v>44.97</v>
      </c>
      <c r="BZ386" s="66">
        <f t="shared" si="1"/>
        <v>11.5</v>
      </c>
      <c r="CA386" s="66">
        <f t="shared" si="2"/>
        <v>56.47</v>
      </c>
      <c r="CB386" s="66">
        <f t="shared" si="3"/>
        <v>41.16</v>
      </c>
      <c r="CC386" s="64" t="str">
        <f>if(F386="REFUNDED",iferror(Vlookup(I386,'Listing SKU - Fill SKU Mapping'!A:B,2,false),"Map"),"")</f>
        <v/>
      </c>
      <c r="CD386" s="64" t="str">
        <f>if(F386="REFUNDED",iferror(Vlookup(I386,'Listing SKU - Fill SKU Mapping'!A:C,3,false),"Map"),"")</f>
        <v/>
      </c>
      <c r="CE386" s="64" t="str">
        <f t="shared" si="4"/>
        <v>2025</v>
      </c>
      <c r="CF386" s="64" t="str">
        <f t="shared" si="5"/>
        <v>October</v>
      </c>
      <c r="CG386" s="64" t="str">
        <f t="shared" si="6"/>
        <v/>
      </c>
    </row>
    <row r="387">
      <c r="A387" s="55">
        <v>2.0001E14</v>
      </c>
      <c r="B387" s="56">
        <v>2.0</v>
      </c>
      <c r="C387" s="57">
        <v>1.2903E14</v>
      </c>
      <c r="D387" s="58">
        <v>2.0</v>
      </c>
      <c r="F387" s="59" t="s">
        <v>100</v>
      </c>
      <c r="G387" s="60">
        <v>45950.0</v>
      </c>
      <c r="H387" s="58">
        <v>1.0</v>
      </c>
      <c r="I387" s="58" t="s">
        <v>382</v>
      </c>
      <c r="J387" s="61">
        <v>4.67129914852E11</v>
      </c>
      <c r="K387" s="62" t="s">
        <v>563</v>
      </c>
      <c r="L387" s="62">
        <v>2038710.0</v>
      </c>
      <c r="M387" s="63"/>
      <c r="N387" s="63"/>
      <c r="O387" s="62" t="s">
        <v>536</v>
      </c>
      <c r="P387" s="63"/>
      <c r="Q387" s="63"/>
      <c r="R387" s="62" t="s">
        <v>564</v>
      </c>
      <c r="S387" s="62">
        <v>85037.0</v>
      </c>
      <c r="T387" s="58" t="s">
        <v>105</v>
      </c>
      <c r="U387" s="59">
        <v>83.36</v>
      </c>
      <c r="V387" s="59">
        <v>81.82</v>
      </c>
      <c r="W387" s="58">
        <v>6.16</v>
      </c>
      <c r="X387" s="58">
        <v>7.0</v>
      </c>
      <c r="Y387" s="58">
        <v>10.0</v>
      </c>
      <c r="Z387" s="59">
        <v>76.9</v>
      </c>
      <c r="AA387" s="58">
        <v>0.0</v>
      </c>
      <c r="AB387" s="58">
        <v>0.0</v>
      </c>
      <c r="AC387" s="58">
        <v>0.0</v>
      </c>
      <c r="AD387" s="58">
        <v>0.0</v>
      </c>
      <c r="AE387" s="58">
        <v>0.0</v>
      </c>
      <c r="AF387" s="58">
        <v>0.0</v>
      </c>
      <c r="AG387" s="58">
        <v>0.0</v>
      </c>
      <c r="AH387" s="58">
        <v>0.0</v>
      </c>
      <c r="AI387" s="58">
        <v>0.0</v>
      </c>
      <c r="AJ387" s="58">
        <v>0.0</v>
      </c>
      <c r="AK387" s="58">
        <v>0.0</v>
      </c>
      <c r="AL387" s="58">
        <v>0.0</v>
      </c>
      <c r="AM387" s="58">
        <v>0.0</v>
      </c>
      <c r="AN387" s="58">
        <v>0.0</v>
      </c>
      <c r="AO387" s="58">
        <v>0.0</v>
      </c>
      <c r="AP387" s="58">
        <v>6.46</v>
      </c>
      <c r="AQ387" s="58">
        <v>0.0</v>
      </c>
      <c r="AR387" s="58">
        <v>0.0</v>
      </c>
      <c r="AS387" s="58">
        <v>0.0</v>
      </c>
      <c r="AT387" s="58">
        <v>0.0</v>
      </c>
      <c r="AU387" s="58">
        <v>0.0</v>
      </c>
      <c r="AV387" s="58">
        <v>0.0</v>
      </c>
      <c r="AW387" s="58">
        <v>0.0</v>
      </c>
      <c r="AX387" s="58">
        <v>0.0</v>
      </c>
      <c r="AY387" s="58">
        <v>0.0</v>
      </c>
      <c r="AZ387" s="58">
        <v>0.0</v>
      </c>
      <c r="BA387" s="58">
        <v>0.0</v>
      </c>
      <c r="BB387" s="58">
        <v>6.46</v>
      </c>
      <c r="BC387" s="58" t="s">
        <v>106</v>
      </c>
      <c r="BF387" s="58">
        <v>87.98</v>
      </c>
      <c r="BG387" s="58">
        <v>-8.8</v>
      </c>
      <c r="BH387" s="58" t="s">
        <v>107</v>
      </c>
      <c r="BI387" s="58" t="s">
        <v>108</v>
      </c>
      <c r="BJ387" s="58" t="s">
        <v>109</v>
      </c>
      <c r="BK387" s="58" t="s">
        <v>535</v>
      </c>
      <c r="BN387" s="58" t="s">
        <v>111</v>
      </c>
      <c r="BO387" s="58" t="s">
        <v>112</v>
      </c>
      <c r="BP387" s="58" t="s">
        <v>113</v>
      </c>
      <c r="BQ387" s="58" t="s">
        <v>317</v>
      </c>
      <c r="BR387" s="58">
        <v>2.64</v>
      </c>
      <c r="BT387" s="58">
        <v>-11.08</v>
      </c>
      <c r="BU387" s="73" t="s">
        <v>318</v>
      </c>
      <c r="BW387" s="64" t="str">
        <f>if(OR(F387="SALE",F387="REFUNDED"),IFERROR(Vlookup(I387,'Listing SKU - Fill SKU Mapping'!A:C,3,false),"Map"),"")</f>
        <v>Keystone</v>
      </c>
      <c r="BX387" s="64" t="str">
        <f>IF(OR(F387="SALE",F387="REFUNDED")=TRUE,iferror(Vlookup(I387,'Listing SKU - Fill SKU Mapping'!A:B,2,false),"Map"),"")</f>
        <v>43116BLK</v>
      </c>
      <c r="BY387" s="64">
        <f>IF(OR(F387="SALE",F387="REFUNDED")=TRUE,iferror(Vlookup(I387,'Listing SKU - Fill SKU Mapping'!A:D,4,false),"Map"),"")</f>
        <v>34.32</v>
      </c>
      <c r="BZ387" s="66">
        <f t="shared" si="1"/>
        <v>11.5</v>
      </c>
      <c r="CA387" s="66">
        <f t="shared" si="2"/>
        <v>45.82</v>
      </c>
      <c r="CB387" s="66">
        <f t="shared" si="3"/>
        <v>36</v>
      </c>
      <c r="CC387" s="64" t="str">
        <f>if(F387="REFUNDED",iferror(Vlookup(I387,'Listing SKU - Fill SKU Mapping'!A:B,2,false),"Map"),"")</f>
        <v/>
      </c>
      <c r="CD387" s="64" t="str">
        <f>if(F387="REFUNDED",iferror(Vlookup(I387,'Listing SKU - Fill SKU Mapping'!A:C,3,false),"Map"),"")</f>
        <v/>
      </c>
      <c r="CE387" s="64" t="str">
        <f t="shared" si="4"/>
        <v>2025</v>
      </c>
      <c r="CF387" s="64" t="str">
        <f t="shared" si="5"/>
        <v>October</v>
      </c>
      <c r="CG387" s="64" t="str">
        <f t="shared" si="6"/>
        <v/>
      </c>
    </row>
    <row r="388">
      <c r="A388" s="55">
        <v>2.0001E14</v>
      </c>
      <c r="B388" s="56">
        <v>1.0</v>
      </c>
      <c r="C388" s="57">
        <v>1.2903E14</v>
      </c>
      <c r="D388" s="58">
        <v>1.0</v>
      </c>
      <c r="F388" s="59" t="s">
        <v>100</v>
      </c>
      <c r="G388" s="60">
        <v>45961.0</v>
      </c>
      <c r="H388" s="58">
        <v>1.0</v>
      </c>
      <c r="I388" s="58" t="s">
        <v>311</v>
      </c>
      <c r="J388" s="61">
        <v>4.67129941919E11</v>
      </c>
      <c r="K388" s="62" t="s">
        <v>312</v>
      </c>
      <c r="L388" s="62">
        <v>2038710.0</v>
      </c>
      <c r="M388" s="63"/>
      <c r="N388" s="63"/>
      <c r="O388" s="62" t="s">
        <v>137</v>
      </c>
      <c r="P388" s="63"/>
      <c r="Q388" s="63"/>
      <c r="R388" s="62" t="s">
        <v>565</v>
      </c>
      <c r="S388" s="62">
        <v>45440.0</v>
      </c>
      <c r="T388" s="58" t="s">
        <v>105</v>
      </c>
      <c r="U388" s="59">
        <v>74.07</v>
      </c>
      <c r="V388" s="59">
        <v>71.59</v>
      </c>
      <c r="W388" s="58">
        <v>5.39</v>
      </c>
      <c r="X388" s="58">
        <v>7.0</v>
      </c>
      <c r="Y388" s="58">
        <v>10.0</v>
      </c>
      <c r="Z388" s="59">
        <v>68.9</v>
      </c>
      <c r="AA388" s="58">
        <v>0.0</v>
      </c>
      <c r="AB388" s="58">
        <v>0.0</v>
      </c>
      <c r="AC388" s="58">
        <v>0.0</v>
      </c>
      <c r="AD388" s="58">
        <v>0.0</v>
      </c>
      <c r="AE388" s="58">
        <v>0.0</v>
      </c>
      <c r="AF388" s="58">
        <v>0.0</v>
      </c>
      <c r="AG388" s="58">
        <v>0.0</v>
      </c>
      <c r="AH388" s="58">
        <v>0.0</v>
      </c>
      <c r="AI388" s="58">
        <v>0.0</v>
      </c>
      <c r="AJ388" s="58">
        <v>0.0</v>
      </c>
      <c r="AK388" s="58">
        <v>0.0</v>
      </c>
      <c r="AL388" s="58">
        <v>0.0</v>
      </c>
      <c r="AM388" s="58">
        <v>0.0</v>
      </c>
      <c r="AN388" s="58">
        <v>0.0</v>
      </c>
      <c r="AO388" s="58">
        <v>0.0</v>
      </c>
      <c r="AP388" s="58">
        <v>5.17</v>
      </c>
      <c r="AQ388" s="58">
        <v>0.0</v>
      </c>
      <c r="AR388" s="58">
        <v>0.0</v>
      </c>
      <c r="AS388" s="58">
        <v>0.0</v>
      </c>
      <c r="AT388" s="58">
        <v>0.0</v>
      </c>
      <c r="AU388" s="58">
        <v>0.0</v>
      </c>
      <c r="AV388" s="58">
        <v>0.0</v>
      </c>
      <c r="AW388" s="58">
        <v>0.0</v>
      </c>
      <c r="AX388" s="58">
        <v>0.0</v>
      </c>
      <c r="AY388" s="58">
        <v>0.0</v>
      </c>
      <c r="AZ388" s="58">
        <v>0.0</v>
      </c>
      <c r="BA388" s="58">
        <v>0.0</v>
      </c>
      <c r="BB388" s="58">
        <v>5.17</v>
      </c>
      <c r="BC388" s="58" t="s">
        <v>106</v>
      </c>
      <c r="BF388" s="58">
        <v>76.98</v>
      </c>
      <c r="BG388" s="58">
        <v>-7.7</v>
      </c>
      <c r="BH388" s="58" t="s">
        <v>107</v>
      </c>
      <c r="BI388" s="58" t="s">
        <v>108</v>
      </c>
      <c r="BJ388" s="58" t="s">
        <v>109</v>
      </c>
      <c r="BK388" s="58" t="s">
        <v>551</v>
      </c>
      <c r="BN388" s="58" t="s">
        <v>111</v>
      </c>
      <c r="BO388" s="58" t="s">
        <v>112</v>
      </c>
      <c r="BP388" s="58" t="s">
        <v>113</v>
      </c>
      <c r="BQ388" s="58" t="s">
        <v>317</v>
      </c>
      <c r="BR388" s="58">
        <v>2.31</v>
      </c>
      <c r="BT388" s="58">
        <v>-8.08</v>
      </c>
      <c r="BU388" s="73" t="s">
        <v>318</v>
      </c>
      <c r="BW388" s="64" t="str">
        <f>if(OR(F388="SALE",F388="REFUNDED"),IFERROR(Vlookup(I388,'Listing SKU - Fill SKU Mapping'!A:C,3,false),"Map"),"")</f>
        <v>Keystone</v>
      </c>
      <c r="BX388" s="64" t="str">
        <f>IF(OR(F388="SALE",F388="REFUNDED")=TRUE,iferror(Vlookup(I388,'Listing SKU - Fill SKU Mapping'!A:B,2,false),"Map"),"")</f>
        <v>51416S</v>
      </c>
      <c r="BY388" s="64">
        <f>IF(OR(F388="SALE",F388="REFUNDED")=TRUE,iferror(Vlookup(I388,'Listing SKU - Fill SKU Mapping'!A:D,4,false),"Map"),"")</f>
        <v>28.01</v>
      </c>
      <c r="BZ388" s="66">
        <f t="shared" si="1"/>
        <v>11.5</v>
      </c>
      <c r="CA388" s="66">
        <f t="shared" si="2"/>
        <v>39.51</v>
      </c>
      <c r="CB388" s="66">
        <f t="shared" si="3"/>
        <v>32.08</v>
      </c>
      <c r="CC388" s="64" t="str">
        <f>if(F388="REFUNDED",iferror(Vlookup(I388,'Listing SKU - Fill SKU Mapping'!A:B,2,false),"Map"),"")</f>
        <v/>
      </c>
      <c r="CD388" s="64" t="str">
        <f>if(F388="REFUNDED",iferror(Vlookup(I388,'Listing SKU - Fill SKU Mapping'!A:C,3,false),"Map"),"")</f>
        <v/>
      </c>
      <c r="CE388" s="64" t="str">
        <f t="shared" si="4"/>
        <v>2025</v>
      </c>
      <c r="CF388" s="64" t="str">
        <f t="shared" si="5"/>
        <v>October</v>
      </c>
      <c r="CG388" s="64" t="str">
        <f t="shared" si="6"/>
        <v/>
      </c>
    </row>
    <row r="389">
      <c r="A389" s="55">
        <v>2.0001E14</v>
      </c>
      <c r="B389" s="56">
        <v>1.0</v>
      </c>
      <c r="C389" s="57">
        <v>1.2903E14</v>
      </c>
      <c r="D389" s="58">
        <v>1.0</v>
      </c>
      <c r="F389" s="59" t="s">
        <v>100</v>
      </c>
      <c r="G389" s="60">
        <v>45954.0</v>
      </c>
      <c r="H389" s="58">
        <v>1.0</v>
      </c>
      <c r="I389" s="58" t="s">
        <v>326</v>
      </c>
      <c r="J389" s="61">
        <v>4.60776228945E11</v>
      </c>
      <c r="K389" s="62" t="s">
        <v>566</v>
      </c>
      <c r="L389" s="62">
        <v>2038710.0</v>
      </c>
      <c r="M389" s="63"/>
      <c r="N389" s="63"/>
      <c r="O389" s="62" t="s">
        <v>567</v>
      </c>
      <c r="P389" s="63"/>
      <c r="Q389" s="63"/>
      <c r="R389" s="62" t="s">
        <v>568</v>
      </c>
      <c r="S389" s="62">
        <v>26187.0</v>
      </c>
      <c r="T389" s="58" t="s">
        <v>105</v>
      </c>
      <c r="U389" s="59">
        <v>108.05</v>
      </c>
      <c r="V389" s="59">
        <v>93.91</v>
      </c>
      <c r="W389" s="58">
        <v>7.07</v>
      </c>
      <c r="X389" s="58">
        <v>7.0</v>
      </c>
      <c r="Y389" s="58">
        <v>10.0</v>
      </c>
      <c r="Z389" s="59">
        <v>100.98</v>
      </c>
      <c r="AA389" s="58">
        <v>0.0</v>
      </c>
      <c r="AB389" s="58">
        <v>0.0</v>
      </c>
      <c r="AC389" s="58">
        <v>0.0</v>
      </c>
      <c r="AD389" s="58">
        <v>0.0</v>
      </c>
      <c r="AE389" s="58">
        <v>0.0</v>
      </c>
      <c r="AF389" s="58">
        <v>0.0</v>
      </c>
      <c r="AG389" s="58">
        <v>0.0</v>
      </c>
      <c r="AH389" s="58">
        <v>0.0</v>
      </c>
      <c r="AI389" s="58">
        <v>0.0</v>
      </c>
      <c r="AJ389" s="58">
        <v>0.0</v>
      </c>
      <c r="AK389" s="58">
        <v>0.0</v>
      </c>
      <c r="AL389" s="58">
        <v>0.0</v>
      </c>
      <c r="AM389" s="58">
        <v>0.0</v>
      </c>
      <c r="AN389" s="58">
        <v>0.0</v>
      </c>
      <c r="AO389" s="58">
        <v>0.0</v>
      </c>
      <c r="AP389" s="58">
        <v>7.07</v>
      </c>
      <c r="AQ389" s="58">
        <v>0.0</v>
      </c>
      <c r="AR389" s="58">
        <v>0.0</v>
      </c>
      <c r="AS389" s="58">
        <v>0.0</v>
      </c>
      <c r="AT389" s="58">
        <v>0.0</v>
      </c>
      <c r="AU389" s="58">
        <v>0.0</v>
      </c>
      <c r="AV389" s="58">
        <v>0.0</v>
      </c>
      <c r="AW389" s="58">
        <v>0.0</v>
      </c>
      <c r="AX389" s="58">
        <v>0.0</v>
      </c>
      <c r="AY389" s="58">
        <v>0.0</v>
      </c>
      <c r="AZ389" s="58">
        <v>0.0</v>
      </c>
      <c r="BA389" s="58">
        <v>0.0</v>
      </c>
      <c r="BB389" s="58">
        <v>7.07</v>
      </c>
      <c r="BC389" s="58" t="s">
        <v>106</v>
      </c>
      <c r="BG389" s="58">
        <v>-10.1</v>
      </c>
      <c r="BH389" s="58" t="s">
        <v>107</v>
      </c>
      <c r="BI389" s="58" t="s">
        <v>108</v>
      </c>
      <c r="BJ389" s="58" t="s">
        <v>109</v>
      </c>
      <c r="BK389" s="58" t="s">
        <v>538</v>
      </c>
      <c r="BN389" s="58" t="s">
        <v>111</v>
      </c>
      <c r="BO389" s="58" t="s">
        <v>112</v>
      </c>
      <c r="BP389" s="58" t="s">
        <v>113</v>
      </c>
      <c r="BQ389" s="58" t="s">
        <v>114</v>
      </c>
      <c r="BR389" s="58">
        <v>3.03</v>
      </c>
      <c r="BU389" s="72"/>
      <c r="BW389" s="64" t="str">
        <f>if(OR(F389="SALE",F389="REFUNDED"),IFERROR(Vlookup(I389,'Listing SKU - Fill SKU Mapping'!A:C,3,false),"Map"),"")</f>
        <v>Keystone</v>
      </c>
      <c r="BX389" s="64" t="str">
        <f>IF(OR(F389="SALE",F389="REFUNDED")=TRUE,iferror(Vlookup(I389,'Listing SKU - Fill SKU Mapping'!A:B,2,false),"Map"),"")</f>
        <v>IMP373BLK</v>
      </c>
      <c r="BY389" s="64">
        <f>IF(OR(F389="SALE",F389="REFUNDED")=TRUE,iferror(Vlookup(I389,'Listing SKU - Fill SKU Mapping'!A:D,4,false),"Map"),"")</f>
        <v>44.97</v>
      </c>
      <c r="BZ389" s="66">
        <f t="shared" si="1"/>
        <v>11.5</v>
      </c>
      <c r="CA389" s="66">
        <f t="shared" si="2"/>
        <v>56.47</v>
      </c>
      <c r="CB389" s="66">
        <f t="shared" si="3"/>
        <v>37.44</v>
      </c>
      <c r="CC389" s="64" t="str">
        <f>if(F389="REFUNDED",iferror(Vlookup(I389,'Listing SKU - Fill SKU Mapping'!A:B,2,false),"Map"),"")</f>
        <v/>
      </c>
      <c r="CD389" s="64" t="str">
        <f>if(F389="REFUNDED",iferror(Vlookup(I389,'Listing SKU - Fill SKU Mapping'!A:C,3,false),"Map"),"")</f>
        <v/>
      </c>
      <c r="CE389" s="64" t="str">
        <f t="shared" si="4"/>
        <v>2025</v>
      </c>
      <c r="CF389" s="64" t="str">
        <f t="shared" si="5"/>
        <v>October</v>
      </c>
      <c r="CG389" s="64" t="str">
        <f t="shared" si="6"/>
        <v/>
      </c>
    </row>
    <row r="390">
      <c r="A390" s="55">
        <v>2.0001E14</v>
      </c>
      <c r="B390" s="56">
        <v>2.0</v>
      </c>
      <c r="C390" s="57">
        <v>1.2903E14</v>
      </c>
      <c r="D390" s="58">
        <v>2.0</v>
      </c>
      <c r="F390" s="59" t="s">
        <v>100</v>
      </c>
      <c r="G390" s="60">
        <v>45956.0</v>
      </c>
      <c r="H390" s="58">
        <v>1.0</v>
      </c>
      <c r="I390" s="58" t="s">
        <v>326</v>
      </c>
      <c r="J390" s="61">
        <v>4.60776228945E11</v>
      </c>
      <c r="K390" s="62" t="s">
        <v>566</v>
      </c>
      <c r="L390" s="62">
        <v>2038710.0</v>
      </c>
      <c r="M390" s="63"/>
      <c r="N390" s="63"/>
      <c r="O390" s="62" t="s">
        <v>126</v>
      </c>
      <c r="P390" s="63"/>
      <c r="Q390" s="63"/>
      <c r="R390" s="62" t="s">
        <v>494</v>
      </c>
      <c r="S390" s="62">
        <v>28215.0</v>
      </c>
      <c r="T390" s="58" t="s">
        <v>105</v>
      </c>
      <c r="U390" s="59">
        <v>108.3</v>
      </c>
      <c r="V390" s="59">
        <v>93.91</v>
      </c>
      <c r="W390" s="58">
        <v>7.07</v>
      </c>
      <c r="X390" s="58">
        <v>7.0</v>
      </c>
      <c r="Y390" s="58">
        <v>10.0</v>
      </c>
      <c r="Z390" s="59">
        <v>100.98</v>
      </c>
      <c r="AA390" s="58">
        <v>0.0</v>
      </c>
      <c r="AB390" s="58">
        <v>0.0</v>
      </c>
      <c r="AC390" s="58">
        <v>0.0</v>
      </c>
      <c r="AD390" s="58">
        <v>0.0</v>
      </c>
      <c r="AE390" s="58">
        <v>0.0</v>
      </c>
      <c r="AF390" s="58">
        <v>0.0</v>
      </c>
      <c r="AG390" s="58">
        <v>0.0</v>
      </c>
      <c r="AH390" s="58">
        <v>0.0</v>
      </c>
      <c r="AI390" s="58">
        <v>0.0</v>
      </c>
      <c r="AJ390" s="58">
        <v>0.0</v>
      </c>
      <c r="AK390" s="58">
        <v>0.0</v>
      </c>
      <c r="AL390" s="58">
        <v>0.0</v>
      </c>
      <c r="AM390" s="58">
        <v>0.0</v>
      </c>
      <c r="AN390" s="58">
        <v>0.0</v>
      </c>
      <c r="AO390" s="58">
        <v>0.0</v>
      </c>
      <c r="AP390" s="58">
        <v>7.32</v>
      </c>
      <c r="AQ390" s="58">
        <v>0.0</v>
      </c>
      <c r="AR390" s="58">
        <v>0.0</v>
      </c>
      <c r="AS390" s="58">
        <v>0.0</v>
      </c>
      <c r="AT390" s="58">
        <v>0.0</v>
      </c>
      <c r="AU390" s="58">
        <v>0.0</v>
      </c>
      <c r="AV390" s="58">
        <v>0.0</v>
      </c>
      <c r="AW390" s="58">
        <v>0.0</v>
      </c>
      <c r="AX390" s="58">
        <v>0.0</v>
      </c>
      <c r="AY390" s="58">
        <v>0.0</v>
      </c>
      <c r="AZ390" s="58">
        <v>0.0</v>
      </c>
      <c r="BA390" s="58">
        <v>0.0</v>
      </c>
      <c r="BB390" s="58">
        <v>7.32</v>
      </c>
      <c r="BC390" s="58" t="s">
        <v>106</v>
      </c>
      <c r="BG390" s="58">
        <v>-10.1</v>
      </c>
      <c r="BH390" s="58" t="s">
        <v>107</v>
      </c>
      <c r="BI390" s="58" t="s">
        <v>108</v>
      </c>
      <c r="BJ390" s="58" t="s">
        <v>109</v>
      </c>
      <c r="BK390" s="58" t="s">
        <v>538</v>
      </c>
      <c r="BN390" s="58" t="s">
        <v>111</v>
      </c>
      <c r="BO390" s="58" t="s">
        <v>112</v>
      </c>
      <c r="BP390" s="58" t="s">
        <v>113</v>
      </c>
      <c r="BQ390" s="58" t="s">
        <v>114</v>
      </c>
      <c r="BR390" s="58">
        <v>3.03</v>
      </c>
      <c r="BU390" s="72"/>
      <c r="BW390" s="64" t="str">
        <f>if(OR(F390="SALE",F390="REFUNDED"),IFERROR(Vlookup(I390,'Listing SKU - Fill SKU Mapping'!A:C,3,false),"Map"),"")</f>
        <v>Keystone</v>
      </c>
      <c r="BX390" s="64" t="str">
        <f>IF(OR(F390="SALE",F390="REFUNDED")=TRUE,iferror(Vlookup(I390,'Listing SKU - Fill SKU Mapping'!A:B,2,false),"Map"),"")</f>
        <v>IMP373BLK</v>
      </c>
      <c r="BY390" s="64">
        <f>IF(OR(F390="SALE",F390="REFUNDED")=TRUE,iferror(Vlookup(I390,'Listing SKU - Fill SKU Mapping'!A:D,4,false),"Map"),"")</f>
        <v>44.97</v>
      </c>
      <c r="BZ390" s="66">
        <f t="shared" si="1"/>
        <v>11.5</v>
      </c>
      <c r="CA390" s="66">
        <f t="shared" si="2"/>
        <v>56.47</v>
      </c>
      <c r="CB390" s="66">
        <f t="shared" si="3"/>
        <v>37.44</v>
      </c>
      <c r="CC390" s="64" t="str">
        <f>if(F390="REFUNDED",iferror(Vlookup(I390,'Listing SKU - Fill SKU Mapping'!A:B,2,false),"Map"),"")</f>
        <v/>
      </c>
      <c r="CD390" s="64" t="str">
        <f>if(F390="REFUNDED",iferror(Vlookup(I390,'Listing SKU - Fill SKU Mapping'!A:C,3,false),"Map"),"")</f>
        <v/>
      </c>
      <c r="CE390" s="64" t="str">
        <f t="shared" si="4"/>
        <v>2025</v>
      </c>
      <c r="CF390" s="64" t="str">
        <f t="shared" si="5"/>
        <v>October</v>
      </c>
      <c r="CG390" s="64" t="str">
        <f t="shared" si="6"/>
        <v/>
      </c>
    </row>
    <row r="391">
      <c r="A391" s="55">
        <v>2.0001E14</v>
      </c>
      <c r="B391" s="56">
        <v>1.0</v>
      </c>
      <c r="C391" s="57">
        <v>1.2903E14</v>
      </c>
      <c r="D391" s="58">
        <v>1.0</v>
      </c>
      <c r="F391" s="59" t="s">
        <v>100</v>
      </c>
      <c r="G391" s="60">
        <v>45956.0</v>
      </c>
      <c r="H391" s="58">
        <v>1.0</v>
      </c>
      <c r="I391" s="58" t="s">
        <v>524</v>
      </c>
      <c r="J391" s="61">
        <v>4.66885049433E11</v>
      </c>
      <c r="K391" s="62" t="s">
        <v>525</v>
      </c>
      <c r="L391" s="62">
        <v>2038710.0</v>
      </c>
      <c r="M391" s="63"/>
      <c r="N391" s="63"/>
      <c r="O391" s="62" t="s">
        <v>536</v>
      </c>
      <c r="P391" s="63"/>
      <c r="Q391" s="63"/>
      <c r="R391" s="62" t="s">
        <v>564</v>
      </c>
      <c r="S391" s="62">
        <v>85020.0</v>
      </c>
      <c r="T391" s="58" t="s">
        <v>105</v>
      </c>
      <c r="U391" s="59">
        <v>73.6</v>
      </c>
      <c r="V391" s="59">
        <v>70.66</v>
      </c>
      <c r="W391" s="58">
        <v>5.32</v>
      </c>
      <c r="X391" s="58">
        <v>7.0</v>
      </c>
      <c r="Y391" s="58">
        <v>10.0</v>
      </c>
      <c r="Z391" s="59">
        <v>67.9</v>
      </c>
      <c r="AA391" s="58">
        <v>0.0</v>
      </c>
      <c r="AB391" s="58">
        <v>0.0</v>
      </c>
      <c r="AC391" s="58">
        <v>0.0</v>
      </c>
      <c r="AD391" s="58">
        <v>0.0</v>
      </c>
      <c r="AE391" s="58">
        <v>0.0</v>
      </c>
      <c r="AF391" s="58">
        <v>0.0</v>
      </c>
      <c r="AG391" s="58">
        <v>0.0</v>
      </c>
      <c r="AH391" s="58">
        <v>0.0</v>
      </c>
      <c r="AI391" s="58">
        <v>0.0</v>
      </c>
      <c r="AJ391" s="58">
        <v>0.0</v>
      </c>
      <c r="AK391" s="58">
        <v>0.0</v>
      </c>
      <c r="AL391" s="58">
        <v>0.0</v>
      </c>
      <c r="AM391" s="58">
        <v>0.0</v>
      </c>
      <c r="AN391" s="58">
        <v>0.0</v>
      </c>
      <c r="AO391" s="58">
        <v>0.0</v>
      </c>
      <c r="AP391" s="58">
        <v>5.7</v>
      </c>
      <c r="AQ391" s="58">
        <v>0.0</v>
      </c>
      <c r="AR391" s="58">
        <v>0.0</v>
      </c>
      <c r="AS391" s="58">
        <v>0.0</v>
      </c>
      <c r="AT391" s="58">
        <v>0.0</v>
      </c>
      <c r="AU391" s="58">
        <v>0.0</v>
      </c>
      <c r="AV391" s="58">
        <v>0.0</v>
      </c>
      <c r="AW391" s="58">
        <v>0.0</v>
      </c>
      <c r="AX391" s="58">
        <v>0.0</v>
      </c>
      <c r="AY391" s="58">
        <v>0.0</v>
      </c>
      <c r="AZ391" s="58">
        <v>0.0</v>
      </c>
      <c r="BA391" s="58">
        <v>0.0</v>
      </c>
      <c r="BB391" s="58">
        <v>5.7</v>
      </c>
      <c r="BC391" s="58" t="s">
        <v>106</v>
      </c>
      <c r="BF391" s="58">
        <v>75.98</v>
      </c>
      <c r="BG391" s="58">
        <v>-7.6</v>
      </c>
      <c r="BH391" s="58" t="s">
        <v>107</v>
      </c>
      <c r="BI391" s="58" t="s">
        <v>108</v>
      </c>
      <c r="BJ391" s="58" t="s">
        <v>109</v>
      </c>
      <c r="BK391" s="58" t="s">
        <v>538</v>
      </c>
      <c r="BN391" s="58" t="s">
        <v>111</v>
      </c>
      <c r="BO391" s="58" t="s">
        <v>112</v>
      </c>
      <c r="BP391" s="58" t="s">
        <v>113</v>
      </c>
      <c r="BQ391" s="58" t="s">
        <v>317</v>
      </c>
      <c r="BR391" s="58">
        <v>2.28</v>
      </c>
      <c r="BT391" s="58">
        <v>-8.08</v>
      </c>
      <c r="BU391" s="73" t="s">
        <v>318</v>
      </c>
      <c r="BW391" s="64" t="str">
        <f>if(OR(F391="SALE",F391="REFUNDED"),IFERROR(Vlookup(I391,'Listing SKU - Fill SKU Mapping'!A:C,3,false),"Map"),"")</f>
        <v>Keystone</v>
      </c>
      <c r="BX391" s="64" t="str">
        <f>IF(OR(F391="SALE",F391="REFUNDED")=TRUE,iferror(Vlookup(I391,'Listing SKU - Fill SKU Mapping'!A:B,2,false),"Map"),"")</f>
        <v>103716BLK</v>
      </c>
      <c r="BY391" s="64">
        <f>IF(OR(F391="SALE",F391="REFUNDED")=TRUE,iferror(Vlookup(I391,'Listing SKU - Fill SKU Mapping'!A:D,4,false),"Map"),"")</f>
        <v>27.22</v>
      </c>
      <c r="BZ391" s="66">
        <f t="shared" si="1"/>
        <v>11.5</v>
      </c>
      <c r="CA391" s="66">
        <f t="shared" si="2"/>
        <v>38.72</v>
      </c>
      <c r="CB391" s="66">
        <f t="shared" si="3"/>
        <v>31.94</v>
      </c>
      <c r="CC391" s="64" t="str">
        <f>if(F391="REFUNDED",iferror(Vlookup(I391,'Listing SKU - Fill SKU Mapping'!A:B,2,false),"Map"),"")</f>
        <v/>
      </c>
      <c r="CD391" s="64" t="str">
        <f>if(F391="REFUNDED",iferror(Vlookup(I391,'Listing SKU - Fill SKU Mapping'!A:C,3,false),"Map"),"")</f>
        <v/>
      </c>
      <c r="CE391" s="64" t="str">
        <f t="shared" si="4"/>
        <v>2025</v>
      </c>
      <c r="CF391" s="64" t="str">
        <f t="shared" si="5"/>
        <v>October</v>
      </c>
      <c r="CG391" s="64" t="str">
        <f t="shared" si="6"/>
        <v/>
      </c>
    </row>
    <row r="392">
      <c r="A392" s="55">
        <v>2.0001E14</v>
      </c>
      <c r="B392" s="56">
        <v>1.0</v>
      </c>
      <c r="C392" s="57">
        <v>1.2903E14</v>
      </c>
      <c r="D392" s="58">
        <v>1.0</v>
      </c>
      <c r="F392" s="59" t="s">
        <v>100</v>
      </c>
      <c r="G392" s="60">
        <v>45950.0</v>
      </c>
      <c r="H392" s="58">
        <v>1.0</v>
      </c>
      <c r="I392" s="58" t="s">
        <v>420</v>
      </c>
      <c r="J392" s="61">
        <v>4.50400888287E11</v>
      </c>
      <c r="K392" s="62" t="s">
        <v>483</v>
      </c>
      <c r="L392" s="62">
        <v>2038710.0</v>
      </c>
      <c r="M392" s="63"/>
      <c r="N392" s="63"/>
      <c r="O392" s="62" t="s">
        <v>261</v>
      </c>
      <c r="P392" s="63"/>
      <c r="Q392" s="63"/>
      <c r="R392" s="62" t="s">
        <v>569</v>
      </c>
      <c r="S392" s="62">
        <v>56330.0</v>
      </c>
      <c r="T392" s="58" t="s">
        <v>437</v>
      </c>
      <c r="U392" s="59">
        <v>21.45</v>
      </c>
      <c r="V392" s="59">
        <v>21.05</v>
      </c>
      <c r="W392" s="58">
        <v>1.93</v>
      </c>
      <c r="X392" s="58">
        <v>8.4</v>
      </c>
      <c r="Y392" s="58">
        <v>12.0</v>
      </c>
      <c r="Z392" s="59">
        <v>19.98</v>
      </c>
      <c r="AA392" s="58">
        <v>0.0</v>
      </c>
      <c r="AB392" s="58">
        <v>0.0</v>
      </c>
      <c r="AC392" s="58">
        <v>0.0</v>
      </c>
      <c r="AD392" s="58">
        <v>0.0</v>
      </c>
      <c r="AE392" s="58">
        <v>0.0</v>
      </c>
      <c r="AF392" s="58">
        <v>0.0</v>
      </c>
      <c r="AG392" s="58">
        <v>0.0</v>
      </c>
      <c r="AH392" s="58">
        <v>0.0</v>
      </c>
      <c r="AI392" s="58">
        <v>0.0</v>
      </c>
      <c r="AJ392" s="58">
        <v>0.0</v>
      </c>
      <c r="AK392" s="58">
        <v>0.0</v>
      </c>
      <c r="AL392" s="58">
        <v>0.0</v>
      </c>
      <c r="AM392" s="58">
        <v>0.0</v>
      </c>
      <c r="AN392" s="58">
        <v>0.0</v>
      </c>
      <c r="AO392" s="58">
        <v>0.0</v>
      </c>
      <c r="AP392" s="58">
        <v>1.47</v>
      </c>
      <c r="AQ392" s="58">
        <v>0.0</v>
      </c>
      <c r="AR392" s="58">
        <v>0.0</v>
      </c>
      <c r="AS392" s="58">
        <v>0.0</v>
      </c>
      <c r="AT392" s="58">
        <v>0.0</v>
      </c>
      <c r="AU392" s="58">
        <v>0.0</v>
      </c>
      <c r="AV392" s="58">
        <v>0.0</v>
      </c>
      <c r="AW392" s="58">
        <v>0.0</v>
      </c>
      <c r="AX392" s="58">
        <v>0.0</v>
      </c>
      <c r="AY392" s="58">
        <v>0.0</v>
      </c>
      <c r="AZ392" s="58">
        <v>0.0</v>
      </c>
      <c r="BA392" s="58">
        <v>0.0</v>
      </c>
      <c r="BB392" s="58">
        <v>1.47</v>
      </c>
      <c r="BC392" s="58" t="s">
        <v>106</v>
      </c>
      <c r="BF392" s="58">
        <v>22.98</v>
      </c>
      <c r="BG392" s="58">
        <v>-2.76</v>
      </c>
      <c r="BH392" s="58" t="s">
        <v>421</v>
      </c>
      <c r="BI392" s="58" t="s">
        <v>422</v>
      </c>
      <c r="BJ392" s="58" t="s">
        <v>423</v>
      </c>
      <c r="BK392" s="58" t="s">
        <v>535</v>
      </c>
      <c r="BN392" s="58" t="s">
        <v>111</v>
      </c>
      <c r="BO392" s="58" t="s">
        <v>424</v>
      </c>
      <c r="BP392" s="58" t="s">
        <v>113</v>
      </c>
      <c r="BQ392" s="58" t="s">
        <v>317</v>
      </c>
      <c r="BR392" s="58">
        <v>0.83</v>
      </c>
      <c r="BT392" s="58">
        <v>-3.0</v>
      </c>
      <c r="BU392" s="73" t="s">
        <v>318</v>
      </c>
      <c r="BW392" s="64" t="str">
        <f>if(OR(F392="SALE",F392="REFUNDED"),IFERROR(Vlookup(I392,'Listing SKU - Fill SKU Mapping'!A:C,3,false),"Map"),"")</f>
        <v>Map</v>
      </c>
      <c r="BX392" s="64" t="str">
        <f>IF(OR(F392="SALE",F392="REFUNDED")=TRUE,iferror(Vlookup(I392,'Listing SKU - Fill SKU Mapping'!A:B,2,false),"Map"),"")</f>
        <v>Map</v>
      </c>
      <c r="BY392" s="64" t="str">
        <f>IF(OR(F392="SALE",F392="REFUNDED")=TRUE,iferror(Vlookup(I392,'Listing SKU - Fill SKU Mapping'!A:D,4,false),"Map"),"")</f>
        <v>Map</v>
      </c>
      <c r="BZ392" s="66" t="str">
        <f t="shared" si="1"/>
        <v/>
      </c>
      <c r="CA392" s="64" t="str">
        <f t="shared" si="2"/>
        <v/>
      </c>
      <c r="CB392" s="64">
        <f t="shared" si="3"/>
        <v>21.05</v>
      </c>
      <c r="CC392" s="64" t="str">
        <f>if(F392="REFUNDED",iferror(Vlookup(I392,'Listing SKU - Fill SKU Mapping'!A:B,2,false),"Map"),"")</f>
        <v/>
      </c>
      <c r="CD392" s="64" t="str">
        <f>if(F392="REFUNDED",iferror(Vlookup(I392,'Listing SKU - Fill SKU Mapping'!A:C,3,false),"Map"),"")</f>
        <v/>
      </c>
      <c r="CE392" s="64" t="str">
        <f t="shared" si="4"/>
        <v>2025</v>
      </c>
      <c r="CF392" s="64" t="str">
        <f t="shared" si="5"/>
        <v>October</v>
      </c>
      <c r="CG392" s="64" t="str">
        <f t="shared" si="6"/>
        <v/>
      </c>
    </row>
    <row r="393">
      <c r="A393" s="55">
        <v>2.0001E14</v>
      </c>
      <c r="B393" s="56">
        <v>1.0</v>
      </c>
      <c r="C393" s="57">
        <v>1.2903E14</v>
      </c>
      <c r="D393" s="58">
        <v>1.0</v>
      </c>
      <c r="F393" s="59" t="s">
        <v>158</v>
      </c>
      <c r="G393" s="60">
        <v>45950.0</v>
      </c>
      <c r="H393" s="58">
        <v>1.0</v>
      </c>
      <c r="I393" s="58" t="s">
        <v>420</v>
      </c>
      <c r="J393" s="61">
        <v>4.50400888287E11</v>
      </c>
      <c r="K393" s="62" t="s">
        <v>483</v>
      </c>
      <c r="L393" s="62">
        <v>2038710.0</v>
      </c>
      <c r="M393" s="63"/>
      <c r="N393" s="63"/>
      <c r="O393" s="62" t="s">
        <v>261</v>
      </c>
      <c r="P393" s="63"/>
      <c r="Q393" s="63"/>
      <c r="R393" s="62" t="s">
        <v>569</v>
      </c>
      <c r="S393" s="62">
        <v>56330.0</v>
      </c>
      <c r="T393" s="58" t="s">
        <v>437</v>
      </c>
      <c r="U393" s="59">
        <v>0.0</v>
      </c>
      <c r="V393" s="59">
        <v>-6.15</v>
      </c>
      <c r="W393" s="58">
        <v>6.15</v>
      </c>
      <c r="X393" s="58">
        <v>0.0</v>
      </c>
      <c r="Z393" s="59">
        <v>0.0</v>
      </c>
      <c r="AA393" s="58">
        <v>0.0</v>
      </c>
      <c r="AB393" s="58">
        <v>0.0</v>
      </c>
      <c r="AC393" s="58">
        <v>0.0</v>
      </c>
      <c r="AD393" s="58">
        <v>0.0</v>
      </c>
      <c r="AE393" s="58">
        <v>0.0</v>
      </c>
      <c r="AF393" s="58">
        <v>0.0</v>
      </c>
      <c r="AG393" s="58">
        <v>0.0</v>
      </c>
      <c r="AH393" s="58">
        <v>0.0</v>
      </c>
      <c r="AI393" s="58">
        <v>0.0</v>
      </c>
      <c r="AJ393" s="58">
        <v>0.0</v>
      </c>
      <c r="AK393" s="58">
        <v>0.0</v>
      </c>
      <c r="AL393" s="58">
        <v>0.0</v>
      </c>
      <c r="AM393" s="58">
        <v>0.0</v>
      </c>
      <c r="AN393" s="58">
        <v>0.0</v>
      </c>
      <c r="AO393" s="58">
        <v>0.0</v>
      </c>
      <c r="AP393" s="58">
        <v>0.0</v>
      </c>
      <c r="AQ393" s="58">
        <v>0.0</v>
      </c>
      <c r="AR393" s="58">
        <v>0.0</v>
      </c>
      <c r="AS393" s="58">
        <v>0.0</v>
      </c>
      <c r="AT393" s="58">
        <v>0.0</v>
      </c>
      <c r="AU393" s="58">
        <v>0.0</v>
      </c>
      <c r="AV393" s="58">
        <v>0.0</v>
      </c>
      <c r="AW393" s="58">
        <v>0.0</v>
      </c>
      <c r="AX393" s="58">
        <v>0.0</v>
      </c>
      <c r="AY393" s="58">
        <v>0.0</v>
      </c>
      <c r="AZ393" s="58">
        <v>0.0</v>
      </c>
      <c r="BA393" s="58">
        <v>0.0</v>
      </c>
      <c r="BB393" s="58">
        <v>0.0</v>
      </c>
      <c r="BC393" s="58" t="s">
        <v>106</v>
      </c>
      <c r="BD393" s="58" t="s">
        <v>425</v>
      </c>
      <c r="BE393" s="58">
        <v>5041.0</v>
      </c>
      <c r="BF393" s="58">
        <v>22.98</v>
      </c>
      <c r="BH393" s="58" t="s">
        <v>421</v>
      </c>
      <c r="BI393" s="58" t="s">
        <v>422</v>
      </c>
      <c r="BN393" s="58" t="s">
        <v>111</v>
      </c>
      <c r="BO393" s="58" t="s">
        <v>424</v>
      </c>
      <c r="BU393" s="72"/>
      <c r="BW393" s="64" t="str">
        <f>if(OR(F393="SALE",F393="REFUNDED"),IFERROR(Vlookup(I393,'Listing SKU - Fill SKU Mapping'!A:C,3,false),"Map"),"")</f>
        <v/>
      </c>
      <c r="BX393" s="64" t="str">
        <f>IF(OR(F393="SALE",F393="REFUNDED")=TRUE,iferror(Vlookup(I393,'Listing SKU - Fill SKU Mapping'!A:B,2,false),"Map"),"")</f>
        <v/>
      </c>
      <c r="BY393" s="64" t="str">
        <f>IF(OR(F393="SALE",F393="REFUNDED")=TRUE,iferror(Vlookup(I393,'Listing SKU - Fill SKU Mapping'!A:D,4,false),"Map"),"")</f>
        <v/>
      </c>
      <c r="BZ393" s="66" t="str">
        <f t="shared" si="1"/>
        <v/>
      </c>
      <c r="CA393" s="64" t="str">
        <f t="shared" si="2"/>
        <v/>
      </c>
      <c r="CB393" s="64" t="str">
        <f t="shared" si="3"/>
        <v/>
      </c>
      <c r="CC393" s="64" t="str">
        <f>if(F393="REFUNDED",iferror(Vlookup(I393,'Listing SKU - Fill SKU Mapping'!A:B,2,false),"Map"),"")</f>
        <v/>
      </c>
      <c r="CD393" s="64" t="str">
        <f>if(F393="REFUNDED",iferror(Vlookup(I393,'Listing SKU - Fill SKU Mapping'!A:C,3,false),"Map"),"")</f>
        <v/>
      </c>
      <c r="CE393" s="64" t="str">
        <f t="shared" si="4"/>
        <v>2025</v>
      </c>
      <c r="CF393" s="64" t="str">
        <f t="shared" si="5"/>
        <v>October</v>
      </c>
      <c r="CG393" s="64" t="str">
        <f t="shared" si="6"/>
        <v/>
      </c>
    </row>
    <row r="394">
      <c r="A394" s="55">
        <v>2.0001E14</v>
      </c>
      <c r="B394" s="56">
        <v>1.0</v>
      </c>
      <c r="C394" s="57">
        <v>1.2903E14</v>
      </c>
      <c r="D394" s="58">
        <v>1.0</v>
      </c>
      <c r="F394" s="59" t="s">
        <v>128</v>
      </c>
      <c r="G394" s="60">
        <v>45948.0</v>
      </c>
      <c r="H394" s="58">
        <v>1.0</v>
      </c>
      <c r="I394" s="58" t="s">
        <v>451</v>
      </c>
      <c r="J394" s="61">
        <v>4.68102658305E11</v>
      </c>
      <c r="K394" s="62" t="s">
        <v>452</v>
      </c>
      <c r="L394" s="62">
        <v>2038710.0</v>
      </c>
      <c r="M394" s="63"/>
      <c r="N394" s="63"/>
      <c r="O394" s="63"/>
      <c r="P394" s="63"/>
      <c r="Q394" s="63"/>
      <c r="R394" s="62" t="s">
        <v>175</v>
      </c>
      <c r="S394" s="62">
        <v>77053.0</v>
      </c>
      <c r="U394" s="59">
        <v>-55.15</v>
      </c>
      <c r="V394" s="59">
        <v>-47.38</v>
      </c>
      <c r="W394" s="58">
        <v>-3.57</v>
      </c>
      <c r="X394" s="58">
        <v>0.0</v>
      </c>
      <c r="Y394" s="58">
        <v>0.0</v>
      </c>
      <c r="Z394" s="59">
        <v>0.0</v>
      </c>
      <c r="AA394" s="58">
        <v>-50.95</v>
      </c>
      <c r="AB394" s="58">
        <v>0.0</v>
      </c>
      <c r="AC394" s="58">
        <v>0.0</v>
      </c>
      <c r="AD394" s="58">
        <v>0.0</v>
      </c>
      <c r="AE394" s="58">
        <v>0.0</v>
      </c>
      <c r="AF394" s="58">
        <v>0.0</v>
      </c>
      <c r="AG394" s="58">
        <v>0.0</v>
      </c>
      <c r="AH394" s="58">
        <v>0.0</v>
      </c>
      <c r="AI394" s="58">
        <v>0.0</v>
      </c>
      <c r="AJ394" s="58">
        <v>0.0</v>
      </c>
      <c r="AK394" s="58">
        <v>0.0</v>
      </c>
      <c r="AL394" s="58">
        <v>0.0</v>
      </c>
      <c r="AM394" s="58">
        <v>0.0</v>
      </c>
      <c r="AN394" s="58">
        <v>0.0</v>
      </c>
      <c r="AO394" s="58">
        <v>0.0</v>
      </c>
      <c r="AP394" s="58">
        <v>0.0</v>
      </c>
      <c r="AQ394" s="58">
        <v>0.0</v>
      </c>
      <c r="AR394" s="58">
        <v>0.0</v>
      </c>
      <c r="AS394" s="58">
        <v>0.0</v>
      </c>
      <c r="AT394" s="58">
        <v>0.0</v>
      </c>
      <c r="AU394" s="58">
        <v>-4.2</v>
      </c>
      <c r="AV394" s="58">
        <v>0.0</v>
      </c>
      <c r="AW394" s="58">
        <v>0.0</v>
      </c>
      <c r="AX394" s="58">
        <v>0.0</v>
      </c>
      <c r="AY394" s="58">
        <v>0.0</v>
      </c>
      <c r="AZ394" s="58">
        <v>0.0</v>
      </c>
      <c r="BA394" s="58">
        <v>0.0</v>
      </c>
      <c r="BB394" s="58">
        <v>-4.2</v>
      </c>
      <c r="BC394" s="58" t="s">
        <v>106</v>
      </c>
      <c r="BD394" s="58" t="s">
        <v>156</v>
      </c>
      <c r="BE394" s="58">
        <v>5010.0</v>
      </c>
      <c r="BH394" s="58" t="s">
        <v>107</v>
      </c>
      <c r="BI394" s="58" t="s">
        <v>108</v>
      </c>
      <c r="BL394" s="58">
        <v>1000.0</v>
      </c>
      <c r="BM394" s="58" t="s">
        <v>130</v>
      </c>
      <c r="BN394" s="58" t="s">
        <v>111</v>
      </c>
      <c r="BO394" s="58" t="s">
        <v>112</v>
      </c>
      <c r="BU394" s="72"/>
      <c r="BW394" s="64" t="str">
        <f>if(OR(F394="SALE",F394="REFUNDED"),IFERROR(Vlookup(I394,'Listing SKU - Fill SKU Mapping'!A:C,3,false),"Map"),"")</f>
        <v>Keystone</v>
      </c>
      <c r="BX394" s="64" t="str">
        <f>IF(OR(F394="SALE",F394="REFUNDED")=TRUE,iferror(Vlookup(I394,'Listing SKU - Fill SKU Mapping'!A:B,2,false),"Map"),"")</f>
        <v>C5646</v>
      </c>
      <c r="BY394" s="64">
        <f>IF(OR(F394="SALE",F394="REFUNDED")=TRUE,iferror(Vlookup(I394,'Listing SKU - Fill SKU Mapping'!A:D,4,false),"Map"),"")</f>
        <v>18.54</v>
      </c>
      <c r="BZ394" s="66">
        <f t="shared" si="1"/>
        <v>11.5</v>
      </c>
      <c r="CA394" s="66">
        <f t="shared" si="2"/>
        <v>30.04</v>
      </c>
      <c r="CB394" s="64" t="str">
        <f t="shared" si="3"/>
        <v/>
      </c>
      <c r="CC394" s="64" t="str">
        <f>if(F394="REFUNDED",iferror(Vlookup(I394,'Listing SKU - Fill SKU Mapping'!A:B,2,false),"Map"),"")</f>
        <v>C5646</v>
      </c>
      <c r="CD394" s="64" t="str">
        <f>if(F394="REFUNDED",iferror(Vlookup(I394,'Listing SKU - Fill SKU Mapping'!A:C,3,false),"Map"),"")</f>
        <v>Keystone</v>
      </c>
      <c r="CE394" s="64" t="str">
        <f t="shared" si="4"/>
        <v>2025</v>
      </c>
      <c r="CF394" s="64" t="str">
        <f t="shared" si="5"/>
        <v>October</v>
      </c>
      <c r="CG394" s="64" t="str">
        <f t="shared" si="6"/>
        <v/>
      </c>
    </row>
    <row r="395">
      <c r="A395" s="55">
        <v>2.0001E14</v>
      </c>
      <c r="B395" s="56">
        <v>1.0</v>
      </c>
      <c r="C395" s="57">
        <v>1.2903E14</v>
      </c>
      <c r="D395" s="58">
        <v>1.0</v>
      </c>
      <c r="F395" s="59" t="s">
        <v>100</v>
      </c>
      <c r="G395" s="60">
        <v>45954.0</v>
      </c>
      <c r="H395" s="58">
        <v>1.0</v>
      </c>
      <c r="I395" s="58" t="s">
        <v>570</v>
      </c>
      <c r="J395" s="61">
        <v>4.67129938834E11</v>
      </c>
      <c r="K395" s="62" t="s">
        <v>571</v>
      </c>
      <c r="L395" s="62">
        <v>2038710.0</v>
      </c>
      <c r="M395" s="63"/>
      <c r="N395" s="63"/>
      <c r="O395" s="62" t="s">
        <v>149</v>
      </c>
      <c r="P395" s="63"/>
      <c r="Q395" s="63"/>
      <c r="R395" s="62" t="s">
        <v>572</v>
      </c>
      <c r="S395" s="62">
        <v>38732.0</v>
      </c>
      <c r="T395" s="58" t="s">
        <v>105</v>
      </c>
      <c r="U395" s="59">
        <v>78.78</v>
      </c>
      <c r="V395" s="59">
        <v>75.31</v>
      </c>
      <c r="W395" s="58">
        <v>5.67</v>
      </c>
      <c r="X395" s="58">
        <v>7.0</v>
      </c>
      <c r="Y395" s="58">
        <v>10.0</v>
      </c>
      <c r="Z395" s="59">
        <v>73.63</v>
      </c>
      <c r="AA395" s="58">
        <v>0.0</v>
      </c>
      <c r="AB395" s="58">
        <v>0.0</v>
      </c>
      <c r="AC395" s="58">
        <v>0.0</v>
      </c>
      <c r="AD395" s="58">
        <v>0.0</v>
      </c>
      <c r="AE395" s="58">
        <v>0.0</v>
      </c>
      <c r="AF395" s="58">
        <v>0.0</v>
      </c>
      <c r="AG395" s="58">
        <v>0.0</v>
      </c>
      <c r="AH395" s="58">
        <v>0.0</v>
      </c>
      <c r="AI395" s="58">
        <v>0.0</v>
      </c>
      <c r="AJ395" s="58">
        <v>0.0</v>
      </c>
      <c r="AK395" s="58">
        <v>0.0</v>
      </c>
      <c r="AL395" s="58">
        <v>0.0</v>
      </c>
      <c r="AM395" s="58">
        <v>0.0</v>
      </c>
      <c r="AN395" s="58">
        <v>0.0</v>
      </c>
      <c r="AO395" s="58">
        <v>0.0</v>
      </c>
      <c r="AP395" s="58">
        <v>5.15</v>
      </c>
      <c r="AQ395" s="58">
        <v>0.0</v>
      </c>
      <c r="AR395" s="58">
        <v>0.0</v>
      </c>
      <c r="AS395" s="58">
        <v>0.0</v>
      </c>
      <c r="AT395" s="58">
        <v>0.0</v>
      </c>
      <c r="AU395" s="58">
        <v>0.0</v>
      </c>
      <c r="AV395" s="58">
        <v>0.0</v>
      </c>
      <c r="AW395" s="58">
        <v>0.0</v>
      </c>
      <c r="AX395" s="58">
        <v>0.0</v>
      </c>
      <c r="AY395" s="58">
        <v>0.0</v>
      </c>
      <c r="AZ395" s="58">
        <v>0.0</v>
      </c>
      <c r="BA395" s="58">
        <v>0.0</v>
      </c>
      <c r="BB395" s="58">
        <v>5.15</v>
      </c>
      <c r="BC395" s="58" t="s">
        <v>106</v>
      </c>
      <c r="BF395" s="58">
        <v>80.98</v>
      </c>
      <c r="BG395" s="58">
        <v>-8.1</v>
      </c>
      <c r="BH395" s="58" t="s">
        <v>107</v>
      </c>
      <c r="BI395" s="58" t="s">
        <v>108</v>
      </c>
      <c r="BJ395" s="58" t="s">
        <v>109</v>
      </c>
      <c r="BK395" s="58" t="s">
        <v>538</v>
      </c>
      <c r="BN395" s="58" t="s">
        <v>111</v>
      </c>
      <c r="BO395" s="58" t="s">
        <v>112</v>
      </c>
      <c r="BP395" s="58" t="s">
        <v>113</v>
      </c>
      <c r="BQ395" s="58" t="s">
        <v>317</v>
      </c>
      <c r="BR395" s="58">
        <v>2.43</v>
      </c>
      <c r="BT395" s="58">
        <v>-7.35</v>
      </c>
      <c r="BU395" s="73" t="s">
        <v>318</v>
      </c>
      <c r="BW395" s="64" t="str">
        <f>if(OR(F395="SALE",F395="REFUNDED"),IFERROR(Vlookup(I395,'Listing SKU - Fill SKU Mapping'!A:C,3,false),"Map"),"")</f>
        <v>Keystone</v>
      </c>
      <c r="BX395" s="64" t="str">
        <f>IF(OR(F395="SALE",F395="REFUNDED")=TRUE,iferror(Vlookup(I395,'Listing SKU - Fill SKU Mapping'!A:B,2,false),"Map"),"")</f>
        <v>53816BLK</v>
      </c>
      <c r="BY395" s="64">
        <f>IF(OR(F395="SALE",F395="REFUNDED")=TRUE,iferror(Vlookup(I395,'Listing SKU - Fill SKU Mapping'!A:D,4,false),"Map"),"")</f>
        <v>29.99</v>
      </c>
      <c r="BZ395" s="66">
        <f t="shared" si="1"/>
        <v>11.5</v>
      </c>
      <c r="CA395" s="66">
        <f t="shared" si="2"/>
        <v>41.49</v>
      </c>
      <c r="CB395" s="66">
        <f t="shared" si="3"/>
        <v>33.82</v>
      </c>
      <c r="CC395" s="64" t="str">
        <f>if(F395="REFUNDED",iferror(Vlookup(I395,'Listing SKU - Fill SKU Mapping'!A:B,2,false),"Map"),"")</f>
        <v/>
      </c>
      <c r="CD395" s="64" t="str">
        <f>if(F395="REFUNDED",iferror(Vlookup(I395,'Listing SKU - Fill SKU Mapping'!A:C,3,false),"Map"),"")</f>
        <v/>
      </c>
      <c r="CE395" s="64" t="str">
        <f t="shared" si="4"/>
        <v>2025</v>
      </c>
      <c r="CF395" s="64" t="str">
        <f t="shared" si="5"/>
        <v>October</v>
      </c>
      <c r="CG395" s="64" t="str">
        <f t="shared" si="6"/>
        <v/>
      </c>
    </row>
    <row r="396">
      <c r="A396" s="55">
        <v>2.0001E14</v>
      </c>
      <c r="B396" s="56">
        <v>1.0</v>
      </c>
      <c r="C396" s="57">
        <v>1.2903E14</v>
      </c>
      <c r="D396" s="58">
        <v>1.0</v>
      </c>
      <c r="F396" s="59" t="s">
        <v>128</v>
      </c>
      <c r="G396" s="60">
        <v>45951.0</v>
      </c>
      <c r="H396" s="58">
        <v>1.0</v>
      </c>
      <c r="I396" s="58" t="s">
        <v>435</v>
      </c>
      <c r="J396" s="61">
        <v>4.67129958023E11</v>
      </c>
      <c r="K396" s="62" t="s">
        <v>573</v>
      </c>
      <c r="L396" s="62">
        <v>2038710.0</v>
      </c>
      <c r="M396" s="63"/>
      <c r="N396" s="63"/>
      <c r="O396" s="63"/>
      <c r="P396" s="63"/>
      <c r="Q396" s="63"/>
      <c r="R396" s="62" t="s">
        <v>564</v>
      </c>
      <c r="S396" s="62">
        <v>85041.0</v>
      </c>
      <c r="U396" s="59">
        <v>-83.45</v>
      </c>
      <c r="V396" s="59">
        <v>-80.89</v>
      </c>
      <c r="W396" s="58">
        <v>-6.09</v>
      </c>
      <c r="X396" s="58">
        <v>0.0</v>
      </c>
      <c r="Y396" s="58">
        <v>0.0</v>
      </c>
      <c r="Z396" s="59">
        <v>0.0</v>
      </c>
      <c r="AA396" s="58">
        <v>-76.98</v>
      </c>
      <c r="AB396" s="58">
        <v>0.0</v>
      </c>
      <c r="AC396" s="58">
        <v>0.0</v>
      </c>
      <c r="AD396" s="58">
        <v>0.0</v>
      </c>
      <c r="AE396" s="58">
        <v>0.0</v>
      </c>
      <c r="AF396" s="58">
        <v>0.0</v>
      </c>
      <c r="AG396" s="58">
        <v>0.0</v>
      </c>
      <c r="AH396" s="58">
        <v>0.0</v>
      </c>
      <c r="AI396" s="58">
        <v>0.0</v>
      </c>
      <c r="AJ396" s="58">
        <v>0.0</v>
      </c>
      <c r="AK396" s="58">
        <v>0.0</v>
      </c>
      <c r="AL396" s="58">
        <v>0.0</v>
      </c>
      <c r="AM396" s="58">
        <v>0.0</v>
      </c>
      <c r="AN396" s="58">
        <v>0.0</v>
      </c>
      <c r="AO396" s="58">
        <v>0.0</v>
      </c>
      <c r="AP396" s="58">
        <v>0.0</v>
      </c>
      <c r="AQ396" s="58">
        <v>0.0</v>
      </c>
      <c r="AR396" s="58">
        <v>0.0</v>
      </c>
      <c r="AS396" s="58">
        <v>0.0</v>
      </c>
      <c r="AT396" s="58">
        <v>0.0</v>
      </c>
      <c r="AU396" s="58">
        <v>-6.47</v>
      </c>
      <c r="AV396" s="58">
        <v>0.0</v>
      </c>
      <c r="AW396" s="58">
        <v>0.0</v>
      </c>
      <c r="AX396" s="58">
        <v>0.0</v>
      </c>
      <c r="AY396" s="58">
        <v>0.0</v>
      </c>
      <c r="AZ396" s="58">
        <v>0.0</v>
      </c>
      <c r="BA396" s="58">
        <v>0.0</v>
      </c>
      <c r="BB396" s="58">
        <v>-6.47</v>
      </c>
      <c r="BC396" s="58" t="s">
        <v>106</v>
      </c>
      <c r="BD396" s="58" t="s">
        <v>156</v>
      </c>
      <c r="BE396" s="58">
        <v>5010.0</v>
      </c>
      <c r="BF396" s="58">
        <v>86.98</v>
      </c>
      <c r="BH396" s="58" t="s">
        <v>107</v>
      </c>
      <c r="BI396" s="58" t="s">
        <v>108</v>
      </c>
      <c r="BL396" s="58">
        <v>1000.0</v>
      </c>
      <c r="BM396" s="58" t="s">
        <v>130</v>
      </c>
      <c r="BN396" s="58" t="s">
        <v>111</v>
      </c>
      <c r="BO396" s="58" t="s">
        <v>112</v>
      </c>
      <c r="BT396" s="58">
        <v>10.0</v>
      </c>
      <c r="BU396" s="72"/>
      <c r="BW396" s="64" t="str">
        <f>if(OR(F396="SALE",F396="REFUNDED"),IFERROR(Vlookup(I396,'Listing SKU - Fill SKU Mapping'!A:C,3,false),"Map"),"")</f>
        <v>Keystone</v>
      </c>
      <c r="BX396" s="64" t="str">
        <f>IF(OR(F396="SALE",F396="REFUNDED")=TRUE,iferror(Vlookup(I396,'Listing SKU - Fill SKU Mapping'!A:B,2,false),"Map"),"")</f>
        <v>43117S</v>
      </c>
      <c r="BY396" s="64">
        <f>IF(OR(F396="SALE",F396="REFUNDED")=TRUE,iferror(Vlookup(I396,'Listing SKU - Fill SKU Mapping'!A:D,4,false),"Map"),"")</f>
        <v>33.93</v>
      </c>
      <c r="BZ396" s="66">
        <f t="shared" si="1"/>
        <v>11.5</v>
      </c>
      <c r="CA396" s="66">
        <f t="shared" si="2"/>
        <v>45.43</v>
      </c>
      <c r="CB396" s="64" t="str">
        <f t="shared" si="3"/>
        <v/>
      </c>
      <c r="CC396" s="64" t="str">
        <f>if(F396="REFUNDED",iferror(Vlookup(I396,'Listing SKU - Fill SKU Mapping'!A:B,2,false),"Map"),"")</f>
        <v>43117S</v>
      </c>
      <c r="CD396" s="64" t="str">
        <f>if(F396="REFUNDED",iferror(Vlookup(I396,'Listing SKU - Fill SKU Mapping'!A:C,3,false),"Map"),"")</f>
        <v>Keystone</v>
      </c>
      <c r="CE396" s="64" t="str">
        <f t="shared" si="4"/>
        <v>2025</v>
      </c>
      <c r="CF396" s="64" t="str">
        <f t="shared" si="5"/>
        <v>October</v>
      </c>
      <c r="CG396" s="64" t="str">
        <f t="shared" si="6"/>
        <v/>
      </c>
    </row>
    <row r="397">
      <c r="A397" s="55">
        <v>2.0001E14</v>
      </c>
      <c r="B397" s="56">
        <v>1.0</v>
      </c>
      <c r="C397" s="57">
        <v>1.2903E14</v>
      </c>
      <c r="D397" s="58">
        <v>1.0</v>
      </c>
      <c r="F397" s="59" t="s">
        <v>100</v>
      </c>
      <c r="G397" s="60">
        <v>45952.0</v>
      </c>
      <c r="H397" s="58">
        <v>1.0</v>
      </c>
      <c r="I397" s="58" t="s">
        <v>453</v>
      </c>
      <c r="J397" s="61">
        <v>4.67129937684E11</v>
      </c>
      <c r="K397" s="62" t="s">
        <v>454</v>
      </c>
      <c r="L397" s="62">
        <v>2038710.0</v>
      </c>
      <c r="M397" s="63"/>
      <c r="N397" s="63"/>
      <c r="O397" s="62" t="s">
        <v>161</v>
      </c>
      <c r="P397" s="63"/>
      <c r="Q397" s="63"/>
      <c r="R397" s="62" t="s">
        <v>574</v>
      </c>
      <c r="S397" s="62">
        <v>95133.0</v>
      </c>
      <c r="T397" s="58" t="s">
        <v>105</v>
      </c>
      <c r="U397" s="59">
        <v>80.91</v>
      </c>
      <c r="V397" s="59">
        <v>68.8</v>
      </c>
      <c r="W397" s="58">
        <v>5.18</v>
      </c>
      <c r="X397" s="58">
        <v>7.0</v>
      </c>
      <c r="Y397" s="58">
        <v>10.0</v>
      </c>
      <c r="Z397" s="59">
        <v>73.98</v>
      </c>
      <c r="AA397" s="58">
        <v>0.0</v>
      </c>
      <c r="AB397" s="58">
        <v>0.0</v>
      </c>
      <c r="AC397" s="58">
        <v>0.0</v>
      </c>
      <c r="AD397" s="58">
        <v>0.0</v>
      </c>
      <c r="AE397" s="58">
        <v>0.0</v>
      </c>
      <c r="AF397" s="58">
        <v>0.0</v>
      </c>
      <c r="AG397" s="58">
        <v>0.0</v>
      </c>
      <c r="AH397" s="58">
        <v>0.0</v>
      </c>
      <c r="AI397" s="58">
        <v>0.0</v>
      </c>
      <c r="AJ397" s="58">
        <v>0.0</v>
      </c>
      <c r="AK397" s="58">
        <v>0.0</v>
      </c>
      <c r="AL397" s="58">
        <v>0.0</v>
      </c>
      <c r="AM397" s="58">
        <v>0.0</v>
      </c>
      <c r="AN397" s="58">
        <v>0.0</v>
      </c>
      <c r="AO397" s="58">
        <v>0.0</v>
      </c>
      <c r="AP397" s="58">
        <v>6.93</v>
      </c>
      <c r="AQ397" s="58">
        <v>0.0</v>
      </c>
      <c r="AR397" s="58">
        <v>0.0</v>
      </c>
      <c r="AS397" s="58">
        <v>0.0</v>
      </c>
      <c r="AT397" s="58">
        <v>0.0</v>
      </c>
      <c r="AU397" s="58">
        <v>0.0</v>
      </c>
      <c r="AV397" s="58">
        <v>0.0</v>
      </c>
      <c r="AW397" s="58">
        <v>0.0</v>
      </c>
      <c r="AX397" s="58">
        <v>0.0</v>
      </c>
      <c r="AY397" s="58">
        <v>0.0</v>
      </c>
      <c r="AZ397" s="58">
        <v>0.0</v>
      </c>
      <c r="BA397" s="58">
        <v>0.0</v>
      </c>
      <c r="BB397" s="58">
        <v>6.93</v>
      </c>
      <c r="BC397" s="58" t="s">
        <v>106</v>
      </c>
      <c r="BG397" s="58">
        <v>-7.4</v>
      </c>
      <c r="BH397" s="58" t="s">
        <v>107</v>
      </c>
      <c r="BI397" s="58" t="s">
        <v>108</v>
      </c>
      <c r="BJ397" s="58" t="s">
        <v>109</v>
      </c>
      <c r="BK397" s="58" t="s">
        <v>459</v>
      </c>
      <c r="BN397" s="58" t="s">
        <v>111</v>
      </c>
      <c r="BO397" s="58" t="s">
        <v>112</v>
      </c>
      <c r="BP397" s="58" t="s">
        <v>113</v>
      </c>
      <c r="BQ397" s="58" t="s">
        <v>348</v>
      </c>
      <c r="BR397" s="58">
        <v>2.22</v>
      </c>
      <c r="BU397" s="72"/>
      <c r="BW397" s="64" t="str">
        <f>if(OR(F397="SALE",F397="REFUNDED"),IFERROR(Vlookup(I397,'Listing SKU - Fill SKU Mapping'!A:C,3,false),"Map"),"")</f>
        <v>Keystone</v>
      </c>
      <c r="BX397" s="64" t="str">
        <f>IF(OR(F397="SALE",F397="REFUNDED")=TRUE,iferror(Vlookup(I397,'Listing SKU - Fill SKU Mapping'!A:B,2,false),"Map"),"")</f>
        <v>42315S</v>
      </c>
      <c r="BY397" s="64">
        <f>IF(OR(F397="SALE",F397="REFUNDED")=TRUE,iferror(Vlookup(I397,'Listing SKU - Fill SKU Mapping'!A:D,4,false),"Map"),"")</f>
        <v>26.04</v>
      </c>
      <c r="BZ397" s="66">
        <f t="shared" si="1"/>
        <v>11.5</v>
      </c>
      <c r="CA397" s="66">
        <f t="shared" si="2"/>
        <v>37.54</v>
      </c>
      <c r="CB397" s="66">
        <f t="shared" si="3"/>
        <v>31.26</v>
      </c>
      <c r="CC397" s="64" t="str">
        <f>if(F397="REFUNDED",iferror(Vlookup(I397,'Listing SKU - Fill SKU Mapping'!A:B,2,false),"Map"),"")</f>
        <v/>
      </c>
      <c r="CD397" s="64" t="str">
        <f>if(F397="REFUNDED",iferror(Vlookup(I397,'Listing SKU - Fill SKU Mapping'!A:C,3,false),"Map"),"")</f>
        <v/>
      </c>
      <c r="CE397" s="64" t="str">
        <f t="shared" si="4"/>
        <v>2025</v>
      </c>
      <c r="CF397" s="64" t="str">
        <f t="shared" si="5"/>
        <v>October</v>
      </c>
      <c r="CG397" s="64" t="str">
        <f t="shared" si="6"/>
        <v/>
      </c>
    </row>
    <row r="398">
      <c r="A398" s="55">
        <v>2.0001E14</v>
      </c>
      <c r="B398" s="56">
        <v>1.0</v>
      </c>
      <c r="C398" s="57">
        <v>1.2903E14</v>
      </c>
      <c r="D398" s="58">
        <v>1.0</v>
      </c>
      <c r="F398" s="59" t="s">
        <v>100</v>
      </c>
      <c r="G398" s="60">
        <v>45954.0</v>
      </c>
      <c r="H398" s="58">
        <v>1.0</v>
      </c>
      <c r="I398" s="58" t="s">
        <v>327</v>
      </c>
      <c r="J398" s="61">
        <v>4.67129945405E11</v>
      </c>
      <c r="K398" s="62" t="s">
        <v>575</v>
      </c>
      <c r="L398" s="62">
        <v>2038710.0</v>
      </c>
      <c r="M398" s="63"/>
      <c r="N398" s="63"/>
      <c r="O398" s="62" t="s">
        <v>576</v>
      </c>
      <c r="P398" s="63"/>
      <c r="Q398" s="63"/>
      <c r="R398" s="62" t="s">
        <v>577</v>
      </c>
      <c r="S398" s="62">
        <v>89166.0</v>
      </c>
      <c r="T398" s="58" t="s">
        <v>105</v>
      </c>
      <c r="U398" s="59">
        <v>95.26</v>
      </c>
      <c r="V398" s="59">
        <v>92.05</v>
      </c>
      <c r="W398" s="58">
        <v>6.93</v>
      </c>
      <c r="X398" s="58">
        <v>7.0</v>
      </c>
      <c r="Y398" s="58">
        <v>10.0</v>
      </c>
      <c r="Z398" s="59">
        <v>87.9</v>
      </c>
      <c r="AA398" s="58">
        <v>0.0</v>
      </c>
      <c r="AB398" s="58">
        <v>0.0</v>
      </c>
      <c r="AC398" s="58">
        <v>0.0</v>
      </c>
      <c r="AD398" s="58">
        <v>0.0</v>
      </c>
      <c r="AE398" s="58">
        <v>0.0</v>
      </c>
      <c r="AF398" s="58">
        <v>0.0</v>
      </c>
      <c r="AG398" s="58">
        <v>0.0</v>
      </c>
      <c r="AH398" s="58">
        <v>0.0</v>
      </c>
      <c r="AI398" s="58">
        <v>0.0</v>
      </c>
      <c r="AJ398" s="58">
        <v>0.0</v>
      </c>
      <c r="AK398" s="58">
        <v>0.0</v>
      </c>
      <c r="AL398" s="58">
        <v>0.0</v>
      </c>
      <c r="AM398" s="58">
        <v>0.0</v>
      </c>
      <c r="AN398" s="58">
        <v>0.0</v>
      </c>
      <c r="AO398" s="58">
        <v>0.0</v>
      </c>
      <c r="AP398" s="58">
        <v>7.36</v>
      </c>
      <c r="AQ398" s="58">
        <v>0.0</v>
      </c>
      <c r="AR398" s="58">
        <v>0.0</v>
      </c>
      <c r="AS398" s="58">
        <v>0.0</v>
      </c>
      <c r="AT398" s="58">
        <v>0.0</v>
      </c>
      <c r="AU398" s="58">
        <v>0.0</v>
      </c>
      <c r="AV398" s="58">
        <v>0.0</v>
      </c>
      <c r="AW398" s="58">
        <v>0.0</v>
      </c>
      <c r="AX398" s="58">
        <v>0.0</v>
      </c>
      <c r="AY398" s="58">
        <v>0.0</v>
      </c>
      <c r="AZ398" s="58">
        <v>0.0</v>
      </c>
      <c r="BA398" s="58">
        <v>0.0</v>
      </c>
      <c r="BB398" s="58">
        <v>7.36</v>
      </c>
      <c r="BC398" s="58" t="s">
        <v>106</v>
      </c>
      <c r="BF398" s="58">
        <v>98.98</v>
      </c>
      <c r="BG398" s="58">
        <v>-9.9</v>
      </c>
      <c r="BH398" s="58" t="s">
        <v>107</v>
      </c>
      <c r="BI398" s="58" t="s">
        <v>108</v>
      </c>
      <c r="BJ398" s="58" t="s">
        <v>109</v>
      </c>
      <c r="BK398" s="58" t="s">
        <v>538</v>
      </c>
      <c r="BN398" s="58" t="s">
        <v>111</v>
      </c>
      <c r="BO398" s="58" t="s">
        <v>112</v>
      </c>
      <c r="BP398" s="58" t="s">
        <v>113</v>
      </c>
      <c r="BQ398" s="58" t="s">
        <v>317</v>
      </c>
      <c r="BR398" s="58">
        <v>2.97</v>
      </c>
      <c r="BT398" s="58">
        <v>-11.08</v>
      </c>
      <c r="BU398" s="73" t="s">
        <v>318</v>
      </c>
      <c r="BW398" s="64" t="str">
        <f>if(OR(F398="SALE",F398="REFUNDED"),IFERROR(Vlookup(I398,'Listing SKU - Fill SKU Mapping'!A:C,3,false),"Map"),"")</f>
        <v>Keystone</v>
      </c>
      <c r="BX398" s="64" t="str">
        <f>IF(OR(F398="SALE",F398="REFUNDED")=TRUE,iferror(Vlookup(I398,'Listing SKU - Fill SKU Mapping'!A:B,2,false),"Map"),"")</f>
        <v>50516C</v>
      </c>
      <c r="BY398" s="64">
        <f>IF(OR(F398="SALE",F398="REFUNDED")=TRUE,iferror(Vlookup(I398,'Listing SKU - Fill SKU Mapping'!A:D,4,false),"Map"),"")</f>
        <v>41.42</v>
      </c>
      <c r="BZ398" s="66">
        <f t="shared" si="1"/>
        <v>11.5</v>
      </c>
      <c r="CA398" s="66">
        <f t="shared" si="2"/>
        <v>52.92</v>
      </c>
      <c r="CB398" s="66">
        <f t="shared" si="3"/>
        <v>39.13</v>
      </c>
      <c r="CC398" s="64" t="str">
        <f>if(F398="REFUNDED",iferror(Vlookup(I398,'Listing SKU - Fill SKU Mapping'!A:B,2,false),"Map"),"")</f>
        <v/>
      </c>
      <c r="CD398" s="64" t="str">
        <f>if(F398="REFUNDED",iferror(Vlookup(I398,'Listing SKU - Fill SKU Mapping'!A:C,3,false),"Map"),"")</f>
        <v/>
      </c>
      <c r="CE398" s="64" t="str">
        <f t="shared" si="4"/>
        <v>2025</v>
      </c>
      <c r="CF398" s="64" t="str">
        <f t="shared" si="5"/>
        <v>October</v>
      </c>
      <c r="CG398" s="64" t="str">
        <f t="shared" si="6"/>
        <v/>
      </c>
    </row>
    <row r="399">
      <c r="A399" s="55">
        <v>2.0001E14</v>
      </c>
      <c r="B399" s="56">
        <v>1.0</v>
      </c>
      <c r="C399" s="57">
        <v>1.2903E14</v>
      </c>
      <c r="D399" s="58">
        <v>1.0</v>
      </c>
      <c r="F399" s="59" t="s">
        <v>128</v>
      </c>
      <c r="G399" s="60">
        <v>45960.0</v>
      </c>
      <c r="H399" s="58">
        <v>1.0</v>
      </c>
      <c r="I399" s="58" t="s">
        <v>327</v>
      </c>
      <c r="J399" s="61">
        <v>4.67129945405E11</v>
      </c>
      <c r="K399" s="62" t="s">
        <v>575</v>
      </c>
      <c r="L399" s="62">
        <v>2038710.0</v>
      </c>
      <c r="M399" s="63"/>
      <c r="N399" s="63"/>
      <c r="O399" s="63"/>
      <c r="P399" s="63"/>
      <c r="Q399" s="63"/>
      <c r="R399" s="62" t="s">
        <v>577</v>
      </c>
      <c r="S399" s="62">
        <v>89166.0</v>
      </c>
      <c r="U399" s="59">
        <v>-95.26</v>
      </c>
      <c r="V399" s="59">
        <v>-92.05</v>
      </c>
      <c r="W399" s="58">
        <v>-6.93</v>
      </c>
      <c r="X399" s="58">
        <v>0.0</v>
      </c>
      <c r="Y399" s="58">
        <v>0.0</v>
      </c>
      <c r="Z399" s="59">
        <v>0.0</v>
      </c>
      <c r="AA399" s="58">
        <v>-87.9</v>
      </c>
      <c r="AB399" s="58">
        <v>0.0</v>
      </c>
      <c r="AC399" s="58">
        <v>0.0</v>
      </c>
      <c r="AD399" s="58">
        <v>0.0</v>
      </c>
      <c r="AE399" s="58">
        <v>0.0</v>
      </c>
      <c r="AF399" s="58">
        <v>0.0</v>
      </c>
      <c r="AG399" s="58">
        <v>0.0</v>
      </c>
      <c r="AH399" s="58">
        <v>0.0</v>
      </c>
      <c r="AI399" s="58">
        <v>0.0</v>
      </c>
      <c r="AJ399" s="58">
        <v>0.0</v>
      </c>
      <c r="AK399" s="58">
        <v>0.0</v>
      </c>
      <c r="AL399" s="58">
        <v>0.0</v>
      </c>
      <c r="AM399" s="58">
        <v>0.0</v>
      </c>
      <c r="AN399" s="58">
        <v>0.0</v>
      </c>
      <c r="AO399" s="58">
        <v>0.0</v>
      </c>
      <c r="AP399" s="58">
        <v>0.0</v>
      </c>
      <c r="AQ399" s="58">
        <v>0.0</v>
      </c>
      <c r="AR399" s="58">
        <v>0.0</v>
      </c>
      <c r="AS399" s="58">
        <v>0.0</v>
      </c>
      <c r="AT399" s="58">
        <v>0.0</v>
      </c>
      <c r="AU399" s="58">
        <v>-7.36</v>
      </c>
      <c r="AV399" s="58">
        <v>0.0</v>
      </c>
      <c r="AW399" s="58">
        <v>0.0</v>
      </c>
      <c r="AX399" s="58">
        <v>0.0</v>
      </c>
      <c r="AY399" s="58">
        <v>0.0</v>
      </c>
      <c r="AZ399" s="58">
        <v>0.0</v>
      </c>
      <c r="BA399" s="58">
        <v>0.0</v>
      </c>
      <c r="BB399" s="58">
        <v>-7.36</v>
      </c>
      <c r="BC399" s="58" t="s">
        <v>106</v>
      </c>
      <c r="BD399" s="58" t="s">
        <v>156</v>
      </c>
      <c r="BE399" s="58">
        <v>5010.0</v>
      </c>
      <c r="BF399" s="58">
        <v>98.98</v>
      </c>
      <c r="BH399" s="58" t="s">
        <v>107</v>
      </c>
      <c r="BI399" s="58" t="s">
        <v>108</v>
      </c>
      <c r="BL399" s="58">
        <v>1023.0</v>
      </c>
      <c r="BM399" s="58" t="s">
        <v>578</v>
      </c>
      <c r="BN399" s="58" t="s">
        <v>111</v>
      </c>
      <c r="BO399" s="58" t="s">
        <v>112</v>
      </c>
      <c r="BT399" s="58">
        <v>11.08</v>
      </c>
      <c r="BU399" s="72"/>
      <c r="BW399" s="64" t="str">
        <f>if(OR(F399="SALE",F399="REFUNDED"),IFERROR(Vlookup(I399,'Listing SKU - Fill SKU Mapping'!A:C,3,false),"Map"),"")</f>
        <v>Keystone</v>
      </c>
      <c r="BX399" s="64" t="str">
        <f>IF(OR(F399="SALE",F399="REFUNDED")=TRUE,iferror(Vlookup(I399,'Listing SKU - Fill SKU Mapping'!A:B,2,false),"Map"),"")</f>
        <v>50516C</v>
      </c>
      <c r="BY399" s="64">
        <f>IF(OR(F399="SALE",F399="REFUNDED")=TRUE,iferror(Vlookup(I399,'Listing SKU - Fill SKU Mapping'!A:D,4,false),"Map"),"")</f>
        <v>41.42</v>
      </c>
      <c r="BZ399" s="66">
        <f t="shared" si="1"/>
        <v>11.5</v>
      </c>
      <c r="CA399" s="66">
        <f t="shared" si="2"/>
        <v>52.92</v>
      </c>
      <c r="CB399" s="64" t="str">
        <f t="shared" si="3"/>
        <v/>
      </c>
      <c r="CC399" s="64" t="str">
        <f>if(F399="REFUNDED",iferror(Vlookup(I399,'Listing SKU - Fill SKU Mapping'!A:B,2,false),"Map"),"")</f>
        <v>50516C</v>
      </c>
      <c r="CD399" s="64" t="str">
        <f>if(F399="REFUNDED",iferror(Vlookup(I399,'Listing SKU - Fill SKU Mapping'!A:C,3,false),"Map"),"")</f>
        <v>Keystone</v>
      </c>
      <c r="CE399" s="64" t="str">
        <f t="shared" si="4"/>
        <v>2025</v>
      </c>
      <c r="CF399" s="64" t="str">
        <f t="shared" si="5"/>
        <v>October</v>
      </c>
      <c r="CG399" s="64" t="str">
        <f t="shared" si="6"/>
        <v/>
      </c>
    </row>
    <row r="400">
      <c r="A400" s="55">
        <v>2.0001E14</v>
      </c>
      <c r="B400" s="56">
        <v>1.0</v>
      </c>
      <c r="C400" s="57">
        <v>1.2903E14</v>
      </c>
      <c r="D400" s="58">
        <v>1.0</v>
      </c>
      <c r="F400" s="59" t="s">
        <v>100</v>
      </c>
      <c r="G400" s="60">
        <v>45950.0</v>
      </c>
      <c r="H400" s="58">
        <v>1.0</v>
      </c>
      <c r="I400" s="58" t="s">
        <v>579</v>
      </c>
      <c r="J400" s="61">
        <v>4.69956343713E11</v>
      </c>
      <c r="K400" s="62" t="s">
        <v>580</v>
      </c>
      <c r="L400" s="62">
        <v>2038710.0</v>
      </c>
      <c r="M400" s="63"/>
      <c r="N400" s="63"/>
      <c r="O400" s="62" t="s">
        <v>103</v>
      </c>
      <c r="P400" s="63"/>
      <c r="Q400" s="63"/>
      <c r="R400" s="62" t="s">
        <v>581</v>
      </c>
      <c r="S400" s="62">
        <v>34450.0</v>
      </c>
      <c r="T400" s="58" t="s">
        <v>105</v>
      </c>
      <c r="U400" s="59">
        <v>109.16</v>
      </c>
      <c r="V400" s="59">
        <v>106.0</v>
      </c>
      <c r="W400" s="58">
        <v>7.98</v>
      </c>
      <c r="X400" s="58">
        <v>7.0</v>
      </c>
      <c r="Y400" s="58">
        <v>10.0</v>
      </c>
      <c r="Z400" s="59">
        <v>102.98</v>
      </c>
      <c r="AA400" s="58">
        <v>0.0</v>
      </c>
      <c r="AB400" s="58">
        <v>0.0</v>
      </c>
      <c r="AC400" s="58">
        <v>0.0</v>
      </c>
      <c r="AD400" s="58">
        <v>0.0</v>
      </c>
      <c r="AE400" s="58">
        <v>0.0</v>
      </c>
      <c r="AF400" s="58">
        <v>0.0</v>
      </c>
      <c r="AG400" s="58">
        <v>0.0</v>
      </c>
      <c r="AH400" s="58">
        <v>0.0</v>
      </c>
      <c r="AI400" s="58">
        <v>0.0</v>
      </c>
      <c r="AJ400" s="58">
        <v>0.0</v>
      </c>
      <c r="AK400" s="58">
        <v>0.0</v>
      </c>
      <c r="AL400" s="58">
        <v>0.0</v>
      </c>
      <c r="AM400" s="58">
        <v>0.0</v>
      </c>
      <c r="AN400" s="58">
        <v>0.0</v>
      </c>
      <c r="AO400" s="58">
        <v>0.0</v>
      </c>
      <c r="AP400" s="58">
        <v>6.18</v>
      </c>
      <c r="AQ400" s="58">
        <v>0.0</v>
      </c>
      <c r="AR400" s="58">
        <v>0.0</v>
      </c>
      <c r="AS400" s="58">
        <v>0.0</v>
      </c>
      <c r="AT400" s="58">
        <v>0.0</v>
      </c>
      <c r="AU400" s="58">
        <v>0.0</v>
      </c>
      <c r="AV400" s="58">
        <v>0.0</v>
      </c>
      <c r="AW400" s="58">
        <v>0.0</v>
      </c>
      <c r="AX400" s="58">
        <v>0.0</v>
      </c>
      <c r="AY400" s="58">
        <v>0.0</v>
      </c>
      <c r="AZ400" s="58">
        <v>0.0</v>
      </c>
      <c r="BA400" s="58">
        <v>0.0</v>
      </c>
      <c r="BB400" s="58">
        <v>6.18</v>
      </c>
      <c r="BC400" s="58" t="s">
        <v>106</v>
      </c>
      <c r="BF400" s="58">
        <v>113.98</v>
      </c>
      <c r="BG400" s="58">
        <v>-11.4</v>
      </c>
      <c r="BH400" s="58" t="s">
        <v>107</v>
      </c>
      <c r="BI400" s="58" t="s">
        <v>108</v>
      </c>
      <c r="BJ400" s="58" t="s">
        <v>109</v>
      </c>
      <c r="BK400" s="58" t="s">
        <v>535</v>
      </c>
      <c r="BN400" s="58" t="s">
        <v>111</v>
      </c>
      <c r="BO400" s="58" t="s">
        <v>112</v>
      </c>
      <c r="BP400" s="58" t="s">
        <v>113</v>
      </c>
      <c r="BQ400" s="58" t="s">
        <v>317</v>
      </c>
      <c r="BR400" s="58">
        <v>3.42</v>
      </c>
      <c r="BT400" s="58">
        <v>-11.0</v>
      </c>
      <c r="BU400" s="73" t="s">
        <v>318</v>
      </c>
      <c r="BW400" s="64" t="str">
        <f>if(OR(F400="SALE",F400="REFUNDED"),IFERROR(Vlookup(I400,'Listing SKU - Fill SKU Mapping'!A:C,3,false),"Map"),"")</f>
        <v>Keystone</v>
      </c>
      <c r="BX400" s="64" t="str">
        <f>IF(OR(F400="SALE",F400="REFUNDED")=TRUE,iferror(Vlookup(I400,'Listing SKU - Fill SKU Mapping'!A:B,2,false),"Map"),"")</f>
        <v>55216BLK</v>
      </c>
      <c r="BY400" s="64">
        <f>IF(OR(F400="SALE",F400="REFUNDED")=TRUE,iferror(Vlookup(I400,'Listing SKU - Fill SKU Mapping'!A:D,4,false),"Map"),"")</f>
        <v>50.89</v>
      </c>
      <c r="BZ400" s="66">
        <f t="shared" si="1"/>
        <v>11.5</v>
      </c>
      <c r="CA400" s="66">
        <f t="shared" si="2"/>
        <v>62.39</v>
      </c>
      <c r="CB400" s="66">
        <f t="shared" si="3"/>
        <v>43.61</v>
      </c>
      <c r="CC400" s="64" t="str">
        <f>if(F400="REFUNDED",iferror(Vlookup(I400,'Listing SKU - Fill SKU Mapping'!A:B,2,false),"Map"),"")</f>
        <v/>
      </c>
      <c r="CD400" s="64" t="str">
        <f>if(F400="REFUNDED",iferror(Vlookup(I400,'Listing SKU - Fill SKU Mapping'!A:C,3,false),"Map"),"")</f>
        <v/>
      </c>
      <c r="CE400" s="64" t="str">
        <f t="shared" si="4"/>
        <v>2025</v>
      </c>
      <c r="CF400" s="64" t="str">
        <f t="shared" si="5"/>
        <v>October</v>
      </c>
      <c r="CG400" s="64" t="str">
        <f t="shared" si="6"/>
        <v/>
      </c>
    </row>
    <row r="401">
      <c r="A401" s="55">
        <v>2.0001E14</v>
      </c>
      <c r="B401" s="56">
        <v>4.0</v>
      </c>
      <c r="C401" s="57">
        <v>1.2903E14</v>
      </c>
      <c r="D401" s="58">
        <v>4.0</v>
      </c>
      <c r="F401" s="59" t="s">
        <v>100</v>
      </c>
      <c r="G401" s="60">
        <v>45953.0</v>
      </c>
      <c r="H401" s="58">
        <v>1.0</v>
      </c>
      <c r="I401" s="58" t="s">
        <v>420</v>
      </c>
      <c r="J401" s="61">
        <v>4.50400888287E11</v>
      </c>
      <c r="K401" s="62" t="s">
        <v>483</v>
      </c>
      <c r="L401" s="62">
        <v>2038710.0</v>
      </c>
      <c r="M401" s="63"/>
      <c r="N401" s="63"/>
      <c r="O401" s="62" t="s">
        <v>274</v>
      </c>
      <c r="P401" s="63"/>
      <c r="Q401" s="63"/>
      <c r="R401" s="62" t="s">
        <v>582</v>
      </c>
      <c r="S401" s="62">
        <v>65708.0</v>
      </c>
      <c r="T401" s="58" t="s">
        <v>437</v>
      </c>
      <c r="U401" s="59">
        <v>21.77</v>
      </c>
      <c r="V401" s="59">
        <v>21.05</v>
      </c>
      <c r="W401" s="58">
        <v>1.93</v>
      </c>
      <c r="X401" s="58">
        <v>8.4</v>
      </c>
      <c r="Y401" s="58">
        <v>12.0</v>
      </c>
      <c r="Z401" s="59">
        <v>19.98</v>
      </c>
      <c r="AA401" s="58">
        <v>0.0</v>
      </c>
      <c r="AB401" s="58">
        <v>0.0</v>
      </c>
      <c r="AC401" s="58">
        <v>0.0</v>
      </c>
      <c r="AD401" s="58">
        <v>0.0</v>
      </c>
      <c r="AE401" s="58">
        <v>0.0</v>
      </c>
      <c r="AF401" s="58">
        <v>0.0</v>
      </c>
      <c r="AG401" s="58">
        <v>0.0</v>
      </c>
      <c r="AH401" s="58">
        <v>0.0</v>
      </c>
      <c r="AI401" s="58">
        <v>0.0</v>
      </c>
      <c r="AJ401" s="58">
        <v>0.0</v>
      </c>
      <c r="AK401" s="58">
        <v>0.0</v>
      </c>
      <c r="AL401" s="58">
        <v>0.0</v>
      </c>
      <c r="AM401" s="58">
        <v>0.0</v>
      </c>
      <c r="AN401" s="58">
        <v>0.0</v>
      </c>
      <c r="AO401" s="58">
        <v>0.0</v>
      </c>
      <c r="AP401" s="58">
        <v>1.79</v>
      </c>
      <c r="AQ401" s="58">
        <v>0.0</v>
      </c>
      <c r="AR401" s="58">
        <v>0.0</v>
      </c>
      <c r="AS401" s="58">
        <v>0.0</v>
      </c>
      <c r="AT401" s="58">
        <v>0.0</v>
      </c>
      <c r="AU401" s="58">
        <v>0.0</v>
      </c>
      <c r="AV401" s="58">
        <v>0.0</v>
      </c>
      <c r="AW401" s="58">
        <v>0.0</v>
      </c>
      <c r="AX401" s="58">
        <v>0.0</v>
      </c>
      <c r="AY401" s="58">
        <v>0.0</v>
      </c>
      <c r="AZ401" s="58">
        <v>0.0</v>
      </c>
      <c r="BA401" s="58">
        <v>0.0</v>
      </c>
      <c r="BB401" s="58">
        <v>1.79</v>
      </c>
      <c r="BC401" s="58" t="s">
        <v>106</v>
      </c>
      <c r="BF401" s="58">
        <v>22.98</v>
      </c>
      <c r="BG401" s="58">
        <v>-2.76</v>
      </c>
      <c r="BH401" s="58" t="s">
        <v>421</v>
      </c>
      <c r="BI401" s="58" t="s">
        <v>422</v>
      </c>
      <c r="BJ401" s="58" t="s">
        <v>423</v>
      </c>
      <c r="BK401" s="58" t="s">
        <v>548</v>
      </c>
      <c r="BN401" s="58" t="s">
        <v>111</v>
      </c>
      <c r="BO401" s="58" t="s">
        <v>424</v>
      </c>
      <c r="BP401" s="58" t="s">
        <v>113</v>
      </c>
      <c r="BQ401" s="58" t="s">
        <v>317</v>
      </c>
      <c r="BR401" s="58">
        <v>0.83</v>
      </c>
      <c r="BT401" s="58">
        <v>-3.0</v>
      </c>
      <c r="BU401" s="73" t="s">
        <v>318</v>
      </c>
      <c r="BW401" s="64" t="str">
        <f>if(OR(F401="SALE",F401="REFUNDED"),IFERROR(Vlookup(I401,'Listing SKU - Fill SKU Mapping'!A:C,3,false),"Map"),"")</f>
        <v>Map</v>
      </c>
      <c r="BX401" s="64" t="str">
        <f>IF(OR(F401="SALE",F401="REFUNDED")=TRUE,iferror(Vlookup(I401,'Listing SKU - Fill SKU Mapping'!A:B,2,false),"Map"),"")</f>
        <v>Map</v>
      </c>
      <c r="BY401" s="64" t="str">
        <f>IF(OR(F401="SALE",F401="REFUNDED")=TRUE,iferror(Vlookup(I401,'Listing SKU - Fill SKU Mapping'!A:D,4,false),"Map"),"")</f>
        <v>Map</v>
      </c>
      <c r="BZ401" s="66" t="str">
        <f t="shared" si="1"/>
        <v/>
      </c>
      <c r="CA401" s="64" t="str">
        <f t="shared" si="2"/>
        <v/>
      </c>
      <c r="CB401" s="64">
        <f t="shared" si="3"/>
        <v>21.05</v>
      </c>
      <c r="CC401" s="64" t="str">
        <f>if(F401="REFUNDED",iferror(Vlookup(I401,'Listing SKU - Fill SKU Mapping'!A:B,2,false),"Map"),"")</f>
        <v/>
      </c>
      <c r="CD401" s="64" t="str">
        <f>if(F401="REFUNDED",iferror(Vlookup(I401,'Listing SKU - Fill SKU Mapping'!A:C,3,false),"Map"),"")</f>
        <v/>
      </c>
      <c r="CE401" s="64" t="str">
        <f t="shared" si="4"/>
        <v>2025</v>
      </c>
      <c r="CF401" s="64" t="str">
        <f t="shared" si="5"/>
        <v>October</v>
      </c>
      <c r="CG401" s="64" t="str">
        <f t="shared" si="6"/>
        <v/>
      </c>
    </row>
    <row r="402">
      <c r="A402" s="55">
        <v>2.0001E14</v>
      </c>
      <c r="B402" s="56">
        <v>4.0</v>
      </c>
      <c r="C402" s="57">
        <v>1.2903E14</v>
      </c>
      <c r="D402" s="58">
        <v>4.0</v>
      </c>
      <c r="F402" s="59" t="s">
        <v>158</v>
      </c>
      <c r="G402" s="60">
        <v>45954.0</v>
      </c>
      <c r="H402" s="58">
        <v>1.0</v>
      </c>
      <c r="I402" s="58" t="s">
        <v>420</v>
      </c>
      <c r="J402" s="61">
        <v>4.50400888287E11</v>
      </c>
      <c r="K402" s="62" t="s">
        <v>483</v>
      </c>
      <c r="L402" s="62">
        <v>2038710.0</v>
      </c>
      <c r="M402" s="63"/>
      <c r="N402" s="63"/>
      <c r="O402" s="62" t="s">
        <v>274</v>
      </c>
      <c r="P402" s="63"/>
      <c r="Q402" s="63"/>
      <c r="R402" s="62" t="s">
        <v>582</v>
      </c>
      <c r="S402" s="62">
        <v>65708.0</v>
      </c>
      <c r="T402" s="58" t="s">
        <v>437</v>
      </c>
      <c r="U402" s="59">
        <v>0.0</v>
      </c>
      <c r="V402" s="59">
        <v>-6.15</v>
      </c>
      <c r="W402" s="58">
        <v>6.15</v>
      </c>
      <c r="X402" s="58">
        <v>0.0</v>
      </c>
      <c r="Z402" s="59">
        <v>0.0</v>
      </c>
      <c r="AA402" s="58">
        <v>0.0</v>
      </c>
      <c r="AB402" s="58">
        <v>0.0</v>
      </c>
      <c r="AC402" s="58">
        <v>0.0</v>
      </c>
      <c r="AD402" s="58">
        <v>0.0</v>
      </c>
      <c r="AE402" s="58">
        <v>0.0</v>
      </c>
      <c r="AF402" s="58">
        <v>0.0</v>
      </c>
      <c r="AG402" s="58">
        <v>0.0</v>
      </c>
      <c r="AH402" s="58">
        <v>0.0</v>
      </c>
      <c r="AI402" s="58">
        <v>0.0</v>
      </c>
      <c r="AJ402" s="58">
        <v>0.0</v>
      </c>
      <c r="AK402" s="58">
        <v>0.0</v>
      </c>
      <c r="AL402" s="58">
        <v>0.0</v>
      </c>
      <c r="AM402" s="58">
        <v>0.0</v>
      </c>
      <c r="AN402" s="58">
        <v>0.0</v>
      </c>
      <c r="AO402" s="58">
        <v>0.0</v>
      </c>
      <c r="AP402" s="58">
        <v>0.0</v>
      </c>
      <c r="AQ402" s="58">
        <v>0.0</v>
      </c>
      <c r="AR402" s="58">
        <v>0.0</v>
      </c>
      <c r="AS402" s="58">
        <v>0.0</v>
      </c>
      <c r="AT402" s="58">
        <v>0.0</v>
      </c>
      <c r="AU402" s="58">
        <v>0.0</v>
      </c>
      <c r="AV402" s="58">
        <v>0.0</v>
      </c>
      <c r="AW402" s="58">
        <v>0.0</v>
      </c>
      <c r="AX402" s="58">
        <v>0.0</v>
      </c>
      <c r="AY402" s="58">
        <v>0.0</v>
      </c>
      <c r="AZ402" s="58">
        <v>0.0</v>
      </c>
      <c r="BA402" s="58">
        <v>0.0</v>
      </c>
      <c r="BB402" s="58">
        <v>0.0</v>
      </c>
      <c r="BC402" s="58" t="s">
        <v>106</v>
      </c>
      <c r="BD402" s="58" t="s">
        <v>425</v>
      </c>
      <c r="BE402" s="58">
        <v>5041.0</v>
      </c>
      <c r="BF402" s="58">
        <v>22.98</v>
      </c>
      <c r="BH402" s="58" t="s">
        <v>421</v>
      </c>
      <c r="BI402" s="58" t="s">
        <v>422</v>
      </c>
      <c r="BN402" s="58" t="s">
        <v>111</v>
      </c>
      <c r="BO402" s="58" t="s">
        <v>424</v>
      </c>
      <c r="BU402" s="72"/>
      <c r="BW402" s="64" t="str">
        <f>if(OR(F402="SALE",F402="REFUNDED"),IFERROR(Vlookup(I402,'Listing SKU - Fill SKU Mapping'!A:C,3,false),"Map"),"")</f>
        <v/>
      </c>
      <c r="BX402" s="64" t="str">
        <f>IF(OR(F402="SALE",F402="REFUNDED")=TRUE,iferror(Vlookup(I402,'Listing SKU - Fill SKU Mapping'!A:B,2,false),"Map"),"")</f>
        <v/>
      </c>
      <c r="BY402" s="64" t="str">
        <f>IF(OR(F402="SALE",F402="REFUNDED")=TRUE,iferror(Vlookup(I402,'Listing SKU - Fill SKU Mapping'!A:D,4,false),"Map"),"")</f>
        <v/>
      </c>
      <c r="BZ402" s="66" t="str">
        <f t="shared" si="1"/>
        <v/>
      </c>
      <c r="CA402" s="64" t="str">
        <f t="shared" si="2"/>
        <v/>
      </c>
      <c r="CB402" s="64" t="str">
        <f t="shared" si="3"/>
        <v/>
      </c>
      <c r="CC402" s="64" t="str">
        <f>if(F402="REFUNDED",iferror(Vlookup(I402,'Listing SKU - Fill SKU Mapping'!A:B,2,false),"Map"),"")</f>
        <v/>
      </c>
      <c r="CD402" s="64" t="str">
        <f>if(F402="REFUNDED",iferror(Vlookup(I402,'Listing SKU - Fill SKU Mapping'!A:C,3,false),"Map"),"")</f>
        <v/>
      </c>
      <c r="CE402" s="64" t="str">
        <f t="shared" si="4"/>
        <v>2025</v>
      </c>
      <c r="CF402" s="64" t="str">
        <f t="shared" si="5"/>
        <v>October</v>
      </c>
      <c r="CG402" s="64" t="str">
        <f t="shared" si="6"/>
        <v/>
      </c>
    </row>
    <row r="403">
      <c r="A403" s="55">
        <v>2.0001E14</v>
      </c>
      <c r="B403" s="56">
        <v>1.0</v>
      </c>
      <c r="C403" s="57">
        <v>1.2903E14</v>
      </c>
      <c r="D403" s="58">
        <v>1.0</v>
      </c>
      <c r="F403" s="59" t="s">
        <v>100</v>
      </c>
      <c r="G403" s="60">
        <v>45951.0</v>
      </c>
      <c r="H403" s="58">
        <v>1.0</v>
      </c>
      <c r="I403" s="58" t="s">
        <v>151</v>
      </c>
      <c r="J403" s="61">
        <v>4.6077623339E11</v>
      </c>
      <c r="K403" s="62" t="s">
        <v>152</v>
      </c>
      <c r="L403" s="62">
        <v>2038710.0</v>
      </c>
      <c r="M403" s="63"/>
      <c r="N403" s="63"/>
      <c r="O403" s="62" t="s">
        <v>227</v>
      </c>
      <c r="P403" s="63"/>
      <c r="Q403" s="63"/>
      <c r="R403" s="62" t="s">
        <v>583</v>
      </c>
      <c r="S403" s="62">
        <v>48060.0</v>
      </c>
      <c r="T403" s="58" t="s">
        <v>105</v>
      </c>
      <c r="U403" s="59">
        <v>115.47</v>
      </c>
      <c r="V403" s="59">
        <v>106.93</v>
      </c>
      <c r="W403" s="58">
        <v>8.05</v>
      </c>
      <c r="X403" s="58">
        <v>7.0</v>
      </c>
      <c r="Y403" s="58">
        <v>10.0</v>
      </c>
      <c r="Z403" s="59">
        <v>108.93</v>
      </c>
      <c r="AA403" s="58">
        <v>0.0</v>
      </c>
      <c r="AB403" s="58">
        <v>0.0</v>
      </c>
      <c r="AC403" s="58">
        <v>0.0</v>
      </c>
      <c r="AD403" s="58">
        <v>0.0</v>
      </c>
      <c r="AE403" s="58">
        <v>0.0</v>
      </c>
      <c r="AF403" s="58">
        <v>0.0</v>
      </c>
      <c r="AG403" s="58">
        <v>0.0</v>
      </c>
      <c r="AH403" s="58">
        <v>0.0</v>
      </c>
      <c r="AI403" s="58">
        <v>0.0</v>
      </c>
      <c r="AJ403" s="58">
        <v>0.0</v>
      </c>
      <c r="AK403" s="58">
        <v>0.0</v>
      </c>
      <c r="AL403" s="58">
        <v>0.0</v>
      </c>
      <c r="AM403" s="58">
        <v>0.0</v>
      </c>
      <c r="AN403" s="58">
        <v>0.0</v>
      </c>
      <c r="AO403" s="58">
        <v>0.0</v>
      </c>
      <c r="AP403" s="58">
        <v>6.54</v>
      </c>
      <c r="AQ403" s="58">
        <v>0.0</v>
      </c>
      <c r="AR403" s="58">
        <v>0.0</v>
      </c>
      <c r="AS403" s="58">
        <v>0.0</v>
      </c>
      <c r="AT403" s="58">
        <v>0.0</v>
      </c>
      <c r="AU403" s="58">
        <v>0.0</v>
      </c>
      <c r="AV403" s="58">
        <v>0.0</v>
      </c>
      <c r="AW403" s="58">
        <v>0.0</v>
      </c>
      <c r="AX403" s="58">
        <v>0.0</v>
      </c>
      <c r="AY403" s="58">
        <v>0.0</v>
      </c>
      <c r="AZ403" s="58">
        <v>0.0</v>
      </c>
      <c r="BA403" s="58">
        <v>0.0</v>
      </c>
      <c r="BB403" s="58">
        <v>6.54</v>
      </c>
      <c r="BC403" s="58" t="s">
        <v>106</v>
      </c>
      <c r="BF403" s="58">
        <v>114.98</v>
      </c>
      <c r="BG403" s="58">
        <v>-11.5</v>
      </c>
      <c r="BH403" s="58" t="s">
        <v>107</v>
      </c>
      <c r="BI403" s="58" t="s">
        <v>108</v>
      </c>
      <c r="BJ403" s="58" t="s">
        <v>109</v>
      </c>
      <c r="BK403" s="58" t="s">
        <v>548</v>
      </c>
      <c r="BN403" s="58" t="s">
        <v>111</v>
      </c>
      <c r="BO403" s="58" t="s">
        <v>112</v>
      </c>
      <c r="BP403" s="58" t="s">
        <v>113</v>
      </c>
      <c r="BQ403" s="58" t="s">
        <v>317</v>
      </c>
      <c r="BR403" s="58">
        <v>3.45</v>
      </c>
      <c r="BT403" s="58">
        <v>-6.05</v>
      </c>
      <c r="BU403" s="73" t="s">
        <v>318</v>
      </c>
      <c r="BW403" s="64" t="str">
        <f>if(OR(F403="SALE",F403="REFUNDED"),IFERROR(Vlookup(I403,'Listing SKU - Fill SKU Mapping'!A:C,3,false),"Map"),"")</f>
        <v>Keystone</v>
      </c>
      <c r="BX403" s="64" t="str">
        <f>IF(OR(F403="SALE",F403="REFUNDED")=TRUE,iferror(Vlookup(I403,'Listing SKU - Fill SKU Mapping'!A:B,2,false),"Map"),"")</f>
        <v>IMP444BLK</v>
      </c>
      <c r="BY403" s="64">
        <f>IF(OR(F403="SALE",F403="REFUNDED")=TRUE,iferror(Vlookup(I403,'Listing SKU - Fill SKU Mapping'!A:D,4,false),"Map"),"")</f>
        <v>54.05</v>
      </c>
      <c r="BZ403" s="66">
        <f t="shared" si="1"/>
        <v>11.5</v>
      </c>
      <c r="CA403" s="66">
        <f t="shared" si="2"/>
        <v>65.55</v>
      </c>
      <c r="CB403" s="66">
        <f t="shared" si="3"/>
        <v>41.38</v>
      </c>
      <c r="CC403" s="64" t="str">
        <f>if(F403="REFUNDED",iferror(Vlookup(I403,'Listing SKU - Fill SKU Mapping'!A:B,2,false),"Map"),"")</f>
        <v/>
      </c>
      <c r="CD403" s="64" t="str">
        <f>if(F403="REFUNDED",iferror(Vlookup(I403,'Listing SKU - Fill SKU Mapping'!A:C,3,false),"Map"),"")</f>
        <v/>
      </c>
      <c r="CE403" s="64" t="str">
        <f t="shared" si="4"/>
        <v>2025</v>
      </c>
      <c r="CF403" s="64" t="str">
        <f t="shared" si="5"/>
        <v>October</v>
      </c>
      <c r="CG403" s="64" t="str">
        <f t="shared" si="6"/>
        <v/>
      </c>
    </row>
    <row r="404">
      <c r="A404" s="55">
        <v>2.0001E14</v>
      </c>
      <c r="B404" s="56">
        <v>1.0</v>
      </c>
      <c r="C404" s="57">
        <v>1.2903E14</v>
      </c>
      <c r="D404" s="58">
        <v>1.0</v>
      </c>
      <c r="F404" s="59" t="s">
        <v>100</v>
      </c>
      <c r="G404" s="60">
        <v>45961.0</v>
      </c>
      <c r="H404" s="58">
        <v>1.0</v>
      </c>
      <c r="I404" s="58" t="s">
        <v>584</v>
      </c>
      <c r="J404" s="61">
        <v>4.66885054154E11</v>
      </c>
      <c r="K404" s="62" t="s">
        <v>585</v>
      </c>
      <c r="L404" s="62">
        <v>2038710.0</v>
      </c>
      <c r="M404" s="63"/>
      <c r="N404" s="63"/>
      <c r="O404" s="62" t="s">
        <v>227</v>
      </c>
      <c r="P404" s="63"/>
      <c r="Q404" s="63"/>
      <c r="R404" s="62" t="s">
        <v>586</v>
      </c>
      <c r="S404" s="62">
        <v>48047.0</v>
      </c>
      <c r="T404" s="58" t="s">
        <v>105</v>
      </c>
      <c r="U404" s="59">
        <v>94.32</v>
      </c>
      <c r="V404" s="59">
        <v>92.05</v>
      </c>
      <c r="W404" s="58">
        <v>6.93</v>
      </c>
      <c r="X404" s="58">
        <v>7.0</v>
      </c>
      <c r="Y404" s="58">
        <v>10.0</v>
      </c>
      <c r="Z404" s="59">
        <v>88.98</v>
      </c>
      <c r="AA404" s="58">
        <v>0.0</v>
      </c>
      <c r="AB404" s="58">
        <v>0.0</v>
      </c>
      <c r="AC404" s="58">
        <v>0.0</v>
      </c>
      <c r="AD404" s="58">
        <v>0.0</v>
      </c>
      <c r="AE404" s="58">
        <v>0.0</v>
      </c>
      <c r="AF404" s="58">
        <v>0.0</v>
      </c>
      <c r="AG404" s="58">
        <v>0.0</v>
      </c>
      <c r="AH404" s="58">
        <v>0.0</v>
      </c>
      <c r="AI404" s="58">
        <v>0.0</v>
      </c>
      <c r="AJ404" s="58">
        <v>0.0</v>
      </c>
      <c r="AK404" s="58">
        <v>0.0</v>
      </c>
      <c r="AL404" s="58">
        <v>0.0</v>
      </c>
      <c r="AM404" s="58">
        <v>0.0</v>
      </c>
      <c r="AN404" s="58">
        <v>0.0</v>
      </c>
      <c r="AO404" s="58">
        <v>0.0</v>
      </c>
      <c r="AP404" s="58">
        <v>5.34</v>
      </c>
      <c r="AQ404" s="58">
        <v>0.0</v>
      </c>
      <c r="AR404" s="58">
        <v>0.0</v>
      </c>
      <c r="AS404" s="58">
        <v>0.0</v>
      </c>
      <c r="AT404" s="58">
        <v>0.0</v>
      </c>
      <c r="AU404" s="58">
        <v>0.0</v>
      </c>
      <c r="AV404" s="58">
        <v>0.0</v>
      </c>
      <c r="AW404" s="58">
        <v>0.0</v>
      </c>
      <c r="AX404" s="58">
        <v>0.0</v>
      </c>
      <c r="AY404" s="58">
        <v>0.0</v>
      </c>
      <c r="AZ404" s="58">
        <v>0.0</v>
      </c>
      <c r="BA404" s="58">
        <v>0.0</v>
      </c>
      <c r="BB404" s="58">
        <v>5.34</v>
      </c>
      <c r="BC404" s="58" t="s">
        <v>106</v>
      </c>
      <c r="BF404" s="58">
        <v>98.98</v>
      </c>
      <c r="BG404" s="58">
        <v>-9.9</v>
      </c>
      <c r="BH404" s="58" t="s">
        <v>107</v>
      </c>
      <c r="BI404" s="58" t="s">
        <v>108</v>
      </c>
      <c r="BJ404" s="58" t="s">
        <v>109</v>
      </c>
      <c r="BK404" s="58" t="s">
        <v>538</v>
      </c>
      <c r="BN404" s="58" t="s">
        <v>111</v>
      </c>
      <c r="BO404" s="58" t="s">
        <v>112</v>
      </c>
      <c r="BP404" s="58" t="s">
        <v>113</v>
      </c>
      <c r="BQ404" s="58" t="s">
        <v>317</v>
      </c>
      <c r="BR404" s="58">
        <v>2.97</v>
      </c>
      <c r="BT404" s="58">
        <v>-10.0</v>
      </c>
      <c r="BU404" s="73" t="s">
        <v>318</v>
      </c>
      <c r="BW404" s="64" t="str">
        <f>if(OR(F404="SALE",F404="REFUNDED"),IFERROR(Vlookup(I404,'Listing SKU - Fill SKU Mapping'!A:C,3,false),"Map"),"")</f>
        <v>Keystone</v>
      </c>
      <c r="BX404" s="64" t="str">
        <f>IF(OR(F404="SALE",F404="REFUNDED")=TRUE,iferror(Vlookup(I404,'Listing SKU - Fill SKU Mapping'!A:B,2,false),"Map"),"")</f>
        <v>55617BLK</v>
      </c>
      <c r="BY404" s="64">
        <f>IF(OR(F404="SALE",F404="REFUNDED")=TRUE,iferror(Vlookup(I404,'Listing SKU - Fill SKU Mapping'!A:D,4,false),"Map"),"")</f>
        <v>41.42</v>
      </c>
      <c r="BZ404" s="66">
        <f t="shared" si="1"/>
        <v>11.5</v>
      </c>
      <c r="CA404" s="66">
        <f t="shared" si="2"/>
        <v>52.92</v>
      </c>
      <c r="CB404" s="66">
        <f t="shared" si="3"/>
        <v>39.13</v>
      </c>
      <c r="CC404" s="64" t="str">
        <f>if(F404="REFUNDED",iferror(Vlookup(I404,'Listing SKU - Fill SKU Mapping'!A:B,2,false),"Map"),"")</f>
        <v/>
      </c>
      <c r="CD404" s="64" t="str">
        <f>if(F404="REFUNDED",iferror(Vlookup(I404,'Listing SKU - Fill SKU Mapping'!A:C,3,false),"Map"),"")</f>
        <v/>
      </c>
      <c r="CE404" s="64" t="str">
        <f t="shared" si="4"/>
        <v>2025</v>
      </c>
      <c r="CF404" s="64" t="str">
        <f t="shared" si="5"/>
        <v>October</v>
      </c>
      <c r="CG404" s="64" t="str">
        <f t="shared" si="6"/>
        <v/>
      </c>
    </row>
    <row r="405">
      <c r="A405" s="55">
        <v>2.0001E14</v>
      </c>
      <c r="B405" s="56">
        <v>1.0</v>
      </c>
      <c r="C405" s="57">
        <v>1.2903E14</v>
      </c>
      <c r="D405" s="58">
        <v>1.0</v>
      </c>
      <c r="F405" s="59" t="s">
        <v>158</v>
      </c>
      <c r="G405" s="60">
        <v>45949.0</v>
      </c>
      <c r="H405" s="58">
        <v>1.0</v>
      </c>
      <c r="I405" s="58" t="s">
        <v>439</v>
      </c>
      <c r="J405" s="61">
        <v>4.60776235998E11</v>
      </c>
      <c r="K405" s="62" t="s">
        <v>587</v>
      </c>
      <c r="L405" s="62">
        <v>2038710.0</v>
      </c>
      <c r="M405" s="63"/>
      <c r="N405" s="63"/>
      <c r="O405" s="62" t="s">
        <v>161</v>
      </c>
      <c r="P405" s="63"/>
      <c r="Q405" s="63"/>
      <c r="R405" s="62" t="s">
        <v>588</v>
      </c>
      <c r="S405" s="62">
        <v>95315.0</v>
      </c>
      <c r="T405" s="58" t="s">
        <v>105</v>
      </c>
      <c r="U405" s="59">
        <v>0.0</v>
      </c>
      <c r="V405" s="59">
        <v>-10.81</v>
      </c>
      <c r="W405" s="58">
        <v>0.0</v>
      </c>
      <c r="X405" s="58">
        <v>0.0</v>
      </c>
      <c r="Z405" s="59">
        <v>0.0</v>
      </c>
      <c r="AA405" s="58">
        <v>0.0</v>
      </c>
      <c r="AB405" s="58">
        <v>0.0</v>
      </c>
      <c r="AC405" s="58">
        <v>0.0</v>
      </c>
      <c r="AD405" s="58">
        <v>0.0</v>
      </c>
      <c r="AE405" s="58">
        <v>0.0</v>
      </c>
      <c r="AF405" s="58">
        <v>0.0</v>
      </c>
      <c r="AG405" s="58">
        <v>0.0</v>
      </c>
      <c r="AH405" s="58">
        <v>0.0</v>
      </c>
      <c r="AI405" s="58">
        <v>0.0</v>
      </c>
      <c r="AJ405" s="58">
        <v>0.0</v>
      </c>
      <c r="AK405" s="58">
        <v>0.0</v>
      </c>
      <c r="AL405" s="58">
        <v>0.0</v>
      </c>
      <c r="AM405" s="58">
        <v>0.0</v>
      </c>
      <c r="AN405" s="58">
        <v>0.0</v>
      </c>
      <c r="AO405" s="58">
        <v>0.0</v>
      </c>
      <c r="AP405" s="58">
        <v>0.0</v>
      </c>
      <c r="AQ405" s="58">
        <v>0.0</v>
      </c>
      <c r="AR405" s="58">
        <v>0.0</v>
      </c>
      <c r="AS405" s="58">
        <v>0.0</v>
      </c>
      <c r="AT405" s="58">
        <v>0.0</v>
      </c>
      <c r="AU405" s="58">
        <v>0.0</v>
      </c>
      <c r="AV405" s="58">
        <v>0.0</v>
      </c>
      <c r="AW405" s="58">
        <v>0.0</v>
      </c>
      <c r="AX405" s="58">
        <v>0.0</v>
      </c>
      <c r="AY405" s="58">
        <v>0.0</v>
      </c>
      <c r="AZ405" s="58">
        <v>0.0</v>
      </c>
      <c r="BA405" s="58">
        <v>0.0</v>
      </c>
      <c r="BB405" s="58">
        <v>0.0</v>
      </c>
      <c r="BC405" s="58" t="s">
        <v>106</v>
      </c>
      <c r="BD405" s="58" t="s">
        <v>163</v>
      </c>
      <c r="BE405" s="58">
        <v>5013.0</v>
      </c>
      <c r="BF405" s="58">
        <v>134.98</v>
      </c>
      <c r="BH405" s="58" t="s">
        <v>107</v>
      </c>
      <c r="BI405" s="58" t="s">
        <v>108</v>
      </c>
      <c r="BN405" s="58" t="s">
        <v>111</v>
      </c>
      <c r="BO405" s="58" t="s">
        <v>112</v>
      </c>
      <c r="BU405" s="72"/>
      <c r="BW405" s="64" t="str">
        <f>if(OR(F405="SALE",F405="REFUNDED"),IFERROR(Vlookup(I405,'Listing SKU - Fill SKU Mapping'!A:C,3,false),"Map"),"")</f>
        <v/>
      </c>
      <c r="BX405" s="64" t="str">
        <f>IF(OR(F405="SALE",F405="REFUNDED")=TRUE,iferror(Vlookup(I405,'Listing SKU - Fill SKU Mapping'!A:B,2,false),"Map"),"")</f>
        <v/>
      </c>
      <c r="BY405" s="64" t="str">
        <f>IF(OR(F405="SALE",F405="REFUNDED")=TRUE,iferror(Vlookup(I405,'Listing SKU - Fill SKU Mapping'!A:D,4,false),"Map"),"")</f>
        <v/>
      </c>
      <c r="BZ405" s="66" t="str">
        <f t="shared" si="1"/>
        <v/>
      </c>
      <c r="CA405" s="64" t="str">
        <f t="shared" si="2"/>
        <v/>
      </c>
      <c r="CB405" s="64" t="str">
        <f t="shared" si="3"/>
        <v/>
      </c>
      <c r="CC405" s="64" t="str">
        <f>if(F405="REFUNDED",iferror(Vlookup(I405,'Listing SKU - Fill SKU Mapping'!A:B,2,false),"Map"),"")</f>
        <v/>
      </c>
      <c r="CD405" s="64" t="str">
        <f>if(F405="REFUNDED",iferror(Vlookup(I405,'Listing SKU - Fill SKU Mapping'!A:C,3,false),"Map"),"")</f>
        <v/>
      </c>
      <c r="CE405" s="64" t="str">
        <f t="shared" si="4"/>
        <v>2025</v>
      </c>
      <c r="CF405" s="64" t="str">
        <f t="shared" si="5"/>
        <v>October</v>
      </c>
      <c r="CG405" s="64" t="str">
        <f t="shared" si="6"/>
        <v/>
      </c>
    </row>
    <row r="406">
      <c r="A406" s="55">
        <v>2.0001E14</v>
      </c>
      <c r="B406" s="56">
        <v>1.0</v>
      </c>
      <c r="C406" s="57">
        <v>1.2903E14</v>
      </c>
      <c r="D406" s="58">
        <v>1.0</v>
      </c>
      <c r="F406" s="59" t="s">
        <v>100</v>
      </c>
      <c r="G406" s="60">
        <v>45952.0</v>
      </c>
      <c r="H406" s="58">
        <v>1.0</v>
      </c>
      <c r="I406" s="58" t="s">
        <v>589</v>
      </c>
      <c r="J406" s="61">
        <v>4.69971002138E11</v>
      </c>
      <c r="K406" s="62" t="s">
        <v>590</v>
      </c>
      <c r="L406" s="62">
        <v>2038710.0</v>
      </c>
      <c r="M406" s="63"/>
      <c r="N406" s="63"/>
      <c r="O406" s="62" t="s">
        <v>211</v>
      </c>
      <c r="P406" s="63"/>
      <c r="Q406" s="63"/>
      <c r="R406" s="62" t="s">
        <v>591</v>
      </c>
      <c r="S406" s="62">
        <v>36312.0</v>
      </c>
      <c r="T406" s="58" t="s">
        <v>105</v>
      </c>
      <c r="U406" s="59">
        <v>110.14</v>
      </c>
      <c r="V406" s="59">
        <v>94.84</v>
      </c>
      <c r="W406" s="58">
        <v>7.14</v>
      </c>
      <c r="X406" s="58">
        <v>7.0</v>
      </c>
      <c r="Y406" s="58">
        <v>10.0</v>
      </c>
      <c r="Z406" s="59">
        <v>101.98</v>
      </c>
      <c r="AA406" s="58">
        <v>0.0</v>
      </c>
      <c r="AB406" s="58">
        <v>0.0</v>
      </c>
      <c r="AC406" s="58">
        <v>0.0</v>
      </c>
      <c r="AD406" s="58">
        <v>0.0</v>
      </c>
      <c r="AE406" s="58">
        <v>0.0</v>
      </c>
      <c r="AF406" s="58">
        <v>0.0</v>
      </c>
      <c r="AG406" s="58">
        <v>0.0</v>
      </c>
      <c r="AH406" s="58">
        <v>0.0</v>
      </c>
      <c r="AI406" s="58">
        <v>0.0</v>
      </c>
      <c r="AJ406" s="58">
        <v>0.0</v>
      </c>
      <c r="AK406" s="58">
        <v>0.0</v>
      </c>
      <c r="AL406" s="58">
        <v>0.0</v>
      </c>
      <c r="AM406" s="58">
        <v>0.0</v>
      </c>
      <c r="AN406" s="58">
        <v>0.0</v>
      </c>
      <c r="AO406" s="58">
        <v>0.0</v>
      </c>
      <c r="AP406" s="58">
        <v>8.16</v>
      </c>
      <c r="AQ406" s="58">
        <v>0.0</v>
      </c>
      <c r="AR406" s="58">
        <v>0.0</v>
      </c>
      <c r="AS406" s="58">
        <v>0.0</v>
      </c>
      <c r="AT406" s="58">
        <v>0.0</v>
      </c>
      <c r="AU406" s="58">
        <v>0.0</v>
      </c>
      <c r="AV406" s="58">
        <v>0.0</v>
      </c>
      <c r="AW406" s="58">
        <v>0.0</v>
      </c>
      <c r="AX406" s="58">
        <v>0.0</v>
      </c>
      <c r="AY406" s="58">
        <v>0.0</v>
      </c>
      <c r="AZ406" s="58">
        <v>0.0</v>
      </c>
      <c r="BA406" s="58">
        <v>0.0</v>
      </c>
      <c r="BB406" s="58">
        <v>8.16</v>
      </c>
      <c r="BC406" s="58" t="s">
        <v>106</v>
      </c>
      <c r="BG406" s="58">
        <v>-10.2</v>
      </c>
      <c r="BH406" s="58" t="s">
        <v>107</v>
      </c>
      <c r="BI406" s="58" t="s">
        <v>108</v>
      </c>
      <c r="BJ406" s="58" t="s">
        <v>109</v>
      </c>
      <c r="BK406" s="58" t="s">
        <v>548</v>
      </c>
      <c r="BN406" s="58" t="s">
        <v>111</v>
      </c>
      <c r="BO406" s="58" t="s">
        <v>112</v>
      </c>
      <c r="BP406" s="58" t="s">
        <v>113</v>
      </c>
      <c r="BQ406" s="58" t="s">
        <v>114</v>
      </c>
      <c r="BR406" s="58">
        <v>3.06</v>
      </c>
      <c r="BU406" s="72"/>
      <c r="BW406" s="64" t="str">
        <f>if(OR(F406="SALE",F406="REFUNDED"),IFERROR(Vlookup(I406,'Listing SKU - Fill SKU Mapping'!A:C,3,false),"Map"),"")</f>
        <v>Keystone</v>
      </c>
      <c r="BX406" s="64" t="str">
        <f>IF(OR(F406="SALE",F406="REFUNDED")=TRUE,iferror(Vlookup(I406,'Listing SKU - Fill SKU Mapping'!A:B,2,false),"Map"),"")</f>
        <v>46217C</v>
      </c>
      <c r="BY406" s="64">
        <f>IF(OR(F406="SALE",F406="REFUNDED")=TRUE,iferror(Vlookup(I406,'Listing SKU - Fill SKU Mapping'!A:D,4,false),"Map"),"")</f>
        <v>43</v>
      </c>
      <c r="BZ406" s="66">
        <f t="shared" si="1"/>
        <v>11.5</v>
      </c>
      <c r="CA406" s="66">
        <f t="shared" si="2"/>
        <v>54.5</v>
      </c>
      <c r="CB406" s="66">
        <f t="shared" si="3"/>
        <v>40.34</v>
      </c>
      <c r="CC406" s="64" t="str">
        <f>if(F406="REFUNDED",iferror(Vlookup(I406,'Listing SKU - Fill SKU Mapping'!A:B,2,false),"Map"),"")</f>
        <v/>
      </c>
      <c r="CD406" s="64" t="str">
        <f>if(F406="REFUNDED",iferror(Vlookup(I406,'Listing SKU - Fill SKU Mapping'!A:C,3,false),"Map"),"")</f>
        <v/>
      </c>
      <c r="CE406" s="64" t="str">
        <f t="shared" si="4"/>
        <v>2025</v>
      </c>
      <c r="CF406" s="64" t="str">
        <f t="shared" si="5"/>
        <v>October</v>
      </c>
      <c r="CG406" s="64" t="str">
        <f t="shared" si="6"/>
        <v/>
      </c>
    </row>
    <row r="407">
      <c r="A407" s="55">
        <v>2.0001E14</v>
      </c>
      <c r="B407" s="56">
        <v>1.0</v>
      </c>
      <c r="C407" s="57">
        <v>1.2903E14</v>
      </c>
      <c r="D407" s="58">
        <v>1.0</v>
      </c>
      <c r="F407" s="59" t="s">
        <v>100</v>
      </c>
      <c r="G407" s="60">
        <v>45954.0</v>
      </c>
      <c r="H407" s="58">
        <v>1.0</v>
      </c>
      <c r="I407" s="58" t="s">
        <v>420</v>
      </c>
      <c r="J407" s="61">
        <v>4.50400888287E11</v>
      </c>
      <c r="K407" s="62" t="s">
        <v>483</v>
      </c>
      <c r="L407" s="62">
        <v>2038710.0</v>
      </c>
      <c r="M407" s="63"/>
      <c r="N407" s="63"/>
      <c r="O407" s="62" t="s">
        <v>207</v>
      </c>
      <c r="P407" s="63"/>
      <c r="Q407" s="63"/>
      <c r="R407" s="62" t="s">
        <v>592</v>
      </c>
      <c r="S407" s="62">
        <v>71854.0</v>
      </c>
      <c r="T407" s="58" t="s">
        <v>105</v>
      </c>
      <c r="U407" s="59">
        <v>21.53</v>
      </c>
      <c r="V407" s="59">
        <v>21.05</v>
      </c>
      <c r="W407" s="58">
        <v>1.93</v>
      </c>
      <c r="X407" s="58">
        <v>8.4</v>
      </c>
      <c r="Y407" s="58">
        <v>12.0</v>
      </c>
      <c r="Z407" s="59">
        <v>19.98</v>
      </c>
      <c r="AA407" s="58">
        <v>0.0</v>
      </c>
      <c r="AB407" s="58">
        <v>0.0</v>
      </c>
      <c r="AC407" s="58">
        <v>0.0</v>
      </c>
      <c r="AD407" s="58">
        <v>0.0</v>
      </c>
      <c r="AE407" s="58">
        <v>0.0</v>
      </c>
      <c r="AF407" s="58">
        <v>0.0</v>
      </c>
      <c r="AG407" s="58">
        <v>0.0</v>
      </c>
      <c r="AH407" s="58">
        <v>0.0</v>
      </c>
      <c r="AI407" s="58">
        <v>0.0</v>
      </c>
      <c r="AJ407" s="58">
        <v>0.0</v>
      </c>
      <c r="AK407" s="58">
        <v>0.0</v>
      </c>
      <c r="AL407" s="58">
        <v>0.0</v>
      </c>
      <c r="AM407" s="58">
        <v>0.0</v>
      </c>
      <c r="AN407" s="58">
        <v>0.0</v>
      </c>
      <c r="AO407" s="58">
        <v>0.0</v>
      </c>
      <c r="AP407" s="58">
        <v>1.55</v>
      </c>
      <c r="AQ407" s="58">
        <v>0.0</v>
      </c>
      <c r="AR407" s="58">
        <v>0.0</v>
      </c>
      <c r="AS407" s="58">
        <v>0.0</v>
      </c>
      <c r="AT407" s="58">
        <v>0.0</v>
      </c>
      <c r="AU407" s="58">
        <v>0.0</v>
      </c>
      <c r="AV407" s="58">
        <v>0.0</v>
      </c>
      <c r="AW407" s="58">
        <v>0.0</v>
      </c>
      <c r="AX407" s="58">
        <v>0.0</v>
      </c>
      <c r="AY407" s="58">
        <v>0.0</v>
      </c>
      <c r="AZ407" s="58">
        <v>0.0</v>
      </c>
      <c r="BA407" s="58">
        <v>0.0</v>
      </c>
      <c r="BB407" s="58">
        <v>1.55</v>
      </c>
      <c r="BC407" s="58" t="s">
        <v>106</v>
      </c>
      <c r="BF407" s="58">
        <v>22.98</v>
      </c>
      <c r="BG407" s="58">
        <v>-2.76</v>
      </c>
      <c r="BH407" s="58" t="s">
        <v>421</v>
      </c>
      <c r="BI407" s="58" t="s">
        <v>422</v>
      </c>
      <c r="BJ407" s="58" t="s">
        <v>423</v>
      </c>
      <c r="BK407" s="58" t="s">
        <v>538</v>
      </c>
      <c r="BN407" s="58" t="s">
        <v>111</v>
      </c>
      <c r="BO407" s="58" t="s">
        <v>424</v>
      </c>
      <c r="BP407" s="58" t="s">
        <v>113</v>
      </c>
      <c r="BQ407" s="58" t="s">
        <v>317</v>
      </c>
      <c r="BR407" s="58">
        <v>0.83</v>
      </c>
      <c r="BT407" s="58">
        <v>-3.0</v>
      </c>
      <c r="BU407" s="73" t="s">
        <v>318</v>
      </c>
      <c r="BW407" s="64" t="str">
        <f>if(OR(F407="SALE",F407="REFUNDED"),IFERROR(Vlookup(I407,'Listing SKU - Fill SKU Mapping'!A:C,3,false),"Map"),"")</f>
        <v>Map</v>
      </c>
      <c r="BX407" s="64" t="str">
        <f>IF(OR(F407="SALE",F407="REFUNDED")=TRUE,iferror(Vlookup(I407,'Listing SKU - Fill SKU Mapping'!A:B,2,false),"Map"),"")</f>
        <v>Map</v>
      </c>
      <c r="BY407" s="64" t="str">
        <f>IF(OR(F407="SALE",F407="REFUNDED")=TRUE,iferror(Vlookup(I407,'Listing SKU - Fill SKU Mapping'!A:D,4,false),"Map"),"")</f>
        <v>Map</v>
      </c>
      <c r="BZ407" s="66" t="str">
        <f t="shared" si="1"/>
        <v/>
      </c>
      <c r="CA407" s="64" t="str">
        <f t="shared" si="2"/>
        <v/>
      </c>
      <c r="CB407" s="64">
        <f t="shared" si="3"/>
        <v>21.05</v>
      </c>
      <c r="CC407" s="64" t="str">
        <f>if(F407="REFUNDED",iferror(Vlookup(I407,'Listing SKU - Fill SKU Mapping'!A:B,2,false),"Map"),"")</f>
        <v/>
      </c>
      <c r="CD407" s="64" t="str">
        <f>if(F407="REFUNDED",iferror(Vlookup(I407,'Listing SKU - Fill SKU Mapping'!A:C,3,false),"Map"),"")</f>
        <v/>
      </c>
      <c r="CE407" s="64" t="str">
        <f t="shared" si="4"/>
        <v>2025</v>
      </c>
      <c r="CF407" s="64" t="str">
        <f t="shared" si="5"/>
        <v>October</v>
      </c>
      <c r="CG407" s="64" t="str">
        <f t="shared" si="6"/>
        <v/>
      </c>
    </row>
    <row r="408">
      <c r="A408" s="55">
        <v>2.0001E14</v>
      </c>
      <c r="B408" s="56">
        <v>1.0</v>
      </c>
      <c r="C408" s="57">
        <v>1.2903E14</v>
      </c>
      <c r="D408" s="58">
        <v>1.0</v>
      </c>
      <c r="F408" s="59" t="s">
        <v>158</v>
      </c>
      <c r="G408" s="60">
        <v>45954.0</v>
      </c>
      <c r="H408" s="58">
        <v>1.0</v>
      </c>
      <c r="I408" s="58" t="s">
        <v>420</v>
      </c>
      <c r="J408" s="61">
        <v>4.50400888287E11</v>
      </c>
      <c r="K408" s="62" t="s">
        <v>483</v>
      </c>
      <c r="L408" s="62">
        <v>2038710.0</v>
      </c>
      <c r="M408" s="63"/>
      <c r="N408" s="63"/>
      <c r="O408" s="62" t="s">
        <v>207</v>
      </c>
      <c r="P408" s="63"/>
      <c r="Q408" s="63"/>
      <c r="R408" s="62" t="s">
        <v>592</v>
      </c>
      <c r="S408" s="62">
        <v>71854.0</v>
      </c>
      <c r="T408" s="58" t="s">
        <v>105</v>
      </c>
      <c r="U408" s="59">
        <v>0.0</v>
      </c>
      <c r="V408" s="59">
        <v>-6.15</v>
      </c>
      <c r="W408" s="58">
        <v>6.15</v>
      </c>
      <c r="X408" s="58">
        <v>0.0</v>
      </c>
      <c r="Z408" s="59">
        <v>0.0</v>
      </c>
      <c r="AA408" s="58">
        <v>0.0</v>
      </c>
      <c r="AB408" s="58">
        <v>0.0</v>
      </c>
      <c r="AC408" s="58">
        <v>0.0</v>
      </c>
      <c r="AD408" s="58">
        <v>0.0</v>
      </c>
      <c r="AE408" s="58">
        <v>0.0</v>
      </c>
      <c r="AF408" s="58">
        <v>0.0</v>
      </c>
      <c r="AG408" s="58">
        <v>0.0</v>
      </c>
      <c r="AH408" s="58">
        <v>0.0</v>
      </c>
      <c r="AI408" s="58">
        <v>0.0</v>
      </c>
      <c r="AJ408" s="58">
        <v>0.0</v>
      </c>
      <c r="AK408" s="58">
        <v>0.0</v>
      </c>
      <c r="AL408" s="58">
        <v>0.0</v>
      </c>
      <c r="AM408" s="58">
        <v>0.0</v>
      </c>
      <c r="AN408" s="58">
        <v>0.0</v>
      </c>
      <c r="AO408" s="58">
        <v>0.0</v>
      </c>
      <c r="AP408" s="58">
        <v>0.0</v>
      </c>
      <c r="AQ408" s="58">
        <v>0.0</v>
      </c>
      <c r="AR408" s="58">
        <v>0.0</v>
      </c>
      <c r="AS408" s="58">
        <v>0.0</v>
      </c>
      <c r="AT408" s="58">
        <v>0.0</v>
      </c>
      <c r="AU408" s="58">
        <v>0.0</v>
      </c>
      <c r="AV408" s="58">
        <v>0.0</v>
      </c>
      <c r="AW408" s="58">
        <v>0.0</v>
      </c>
      <c r="AX408" s="58">
        <v>0.0</v>
      </c>
      <c r="AY408" s="58">
        <v>0.0</v>
      </c>
      <c r="AZ408" s="58">
        <v>0.0</v>
      </c>
      <c r="BA408" s="58">
        <v>0.0</v>
      </c>
      <c r="BB408" s="58">
        <v>0.0</v>
      </c>
      <c r="BC408" s="58" t="s">
        <v>106</v>
      </c>
      <c r="BD408" s="58" t="s">
        <v>425</v>
      </c>
      <c r="BE408" s="58">
        <v>5041.0</v>
      </c>
      <c r="BF408" s="58">
        <v>22.98</v>
      </c>
      <c r="BH408" s="58" t="s">
        <v>421</v>
      </c>
      <c r="BI408" s="58" t="s">
        <v>422</v>
      </c>
      <c r="BN408" s="58" t="s">
        <v>111</v>
      </c>
      <c r="BO408" s="58" t="s">
        <v>424</v>
      </c>
      <c r="BU408" s="72"/>
      <c r="BW408" s="64" t="str">
        <f>if(OR(F408="SALE",F408="REFUNDED"),IFERROR(Vlookup(I408,'Listing SKU - Fill SKU Mapping'!A:C,3,false),"Map"),"")</f>
        <v/>
      </c>
      <c r="BX408" s="64" t="str">
        <f>IF(OR(F408="SALE",F408="REFUNDED")=TRUE,iferror(Vlookup(I408,'Listing SKU - Fill SKU Mapping'!A:B,2,false),"Map"),"")</f>
        <v/>
      </c>
      <c r="BY408" s="64" t="str">
        <f>IF(OR(F408="SALE",F408="REFUNDED")=TRUE,iferror(Vlookup(I408,'Listing SKU - Fill SKU Mapping'!A:D,4,false),"Map"),"")</f>
        <v/>
      </c>
      <c r="BZ408" s="66" t="str">
        <f t="shared" si="1"/>
        <v/>
      </c>
      <c r="CA408" s="64" t="str">
        <f t="shared" si="2"/>
        <v/>
      </c>
      <c r="CB408" s="64" t="str">
        <f t="shared" si="3"/>
        <v/>
      </c>
      <c r="CC408" s="64" t="str">
        <f>if(F408="REFUNDED",iferror(Vlookup(I408,'Listing SKU - Fill SKU Mapping'!A:B,2,false),"Map"),"")</f>
        <v/>
      </c>
      <c r="CD408" s="64" t="str">
        <f>if(F408="REFUNDED",iferror(Vlookup(I408,'Listing SKU - Fill SKU Mapping'!A:C,3,false),"Map"),"")</f>
        <v/>
      </c>
      <c r="CE408" s="64" t="str">
        <f t="shared" si="4"/>
        <v>2025</v>
      </c>
      <c r="CF408" s="64" t="str">
        <f t="shared" si="5"/>
        <v>October</v>
      </c>
      <c r="CG408" s="64" t="str">
        <f t="shared" si="6"/>
        <v/>
      </c>
    </row>
    <row r="409">
      <c r="A409" s="55">
        <v>2.0001E14</v>
      </c>
      <c r="B409" s="56">
        <v>1.0</v>
      </c>
      <c r="C409" s="57">
        <v>1.2903E14</v>
      </c>
      <c r="D409" s="58">
        <v>1.0</v>
      </c>
      <c r="F409" s="59" t="s">
        <v>100</v>
      </c>
      <c r="G409" s="60">
        <v>45954.0</v>
      </c>
      <c r="H409" s="58">
        <v>1.0</v>
      </c>
      <c r="I409" s="58" t="s">
        <v>593</v>
      </c>
      <c r="J409" s="61">
        <v>4.68102663705E11</v>
      </c>
      <c r="K409" s="62" t="s">
        <v>594</v>
      </c>
      <c r="L409" s="62">
        <v>2038710.0</v>
      </c>
      <c r="M409" s="63"/>
      <c r="N409" s="63"/>
      <c r="O409" s="62" t="s">
        <v>117</v>
      </c>
      <c r="P409" s="63"/>
      <c r="Q409" s="63"/>
      <c r="R409" s="62" t="s">
        <v>595</v>
      </c>
      <c r="S409" s="62">
        <v>20602.0</v>
      </c>
      <c r="T409" s="58" t="s">
        <v>105</v>
      </c>
      <c r="U409" s="59">
        <v>72.03</v>
      </c>
      <c r="V409" s="59">
        <v>63.19</v>
      </c>
      <c r="W409" s="58">
        <v>4.76</v>
      </c>
      <c r="X409" s="58">
        <v>7.0</v>
      </c>
      <c r="Y409" s="58">
        <v>10.0</v>
      </c>
      <c r="Z409" s="59">
        <v>67.95</v>
      </c>
      <c r="AA409" s="58">
        <v>0.0</v>
      </c>
      <c r="AB409" s="58">
        <v>0.0</v>
      </c>
      <c r="AC409" s="58">
        <v>0.0</v>
      </c>
      <c r="AD409" s="58">
        <v>0.0</v>
      </c>
      <c r="AE409" s="58">
        <v>0.0</v>
      </c>
      <c r="AF409" s="58">
        <v>0.0</v>
      </c>
      <c r="AG409" s="58">
        <v>0.0</v>
      </c>
      <c r="AH409" s="58">
        <v>0.0</v>
      </c>
      <c r="AI409" s="58">
        <v>0.0</v>
      </c>
      <c r="AJ409" s="58">
        <v>0.0</v>
      </c>
      <c r="AK409" s="58">
        <v>0.0</v>
      </c>
      <c r="AL409" s="58">
        <v>0.0</v>
      </c>
      <c r="AM409" s="58">
        <v>0.0</v>
      </c>
      <c r="AN409" s="58">
        <v>0.0</v>
      </c>
      <c r="AO409" s="58">
        <v>0.0</v>
      </c>
      <c r="AP409" s="58">
        <v>4.08</v>
      </c>
      <c r="AQ409" s="58">
        <v>0.0</v>
      </c>
      <c r="AR409" s="58">
        <v>0.0</v>
      </c>
      <c r="AS409" s="58">
        <v>0.0</v>
      </c>
      <c r="AT409" s="58">
        <v>0.0</v>
      </c>
      <c r="AU409" s="58">
        <v>0.0</v>
      </c>
      <c r="AV409" s="58">
        <v>0.0</v>
      </c>
      <c r="AW409" s="58">
        <v>0.0</v>
      </c>
      <c r="AX409" s="58">
        <v>0.0</v>
      </c>
      <c r="AY409" s="58">
        <v>0.0</v>
      </c>
      <c r="AZ409" s="58">
        <v>0.0</v>
      </c>
      <c r="BA409" s="58">
        <v>0.0</v>
      </c>
      <c r="BB409" s="58">
        <v>4.08</v>
      </c>
      <c r="BC409" s="58" t="s">
        <v>106</v>
      </c>
      <c r="BG409" s="58">
        <v>-6.8</v>
      </c>
      <c r="BH409" s="58" t="s">
        <v>107</v>
      </c>
      <c r="BI409" s="58" t="s">
        <v>108</v>
      </c>
      <c r="BJ409" s="58" t="s">
        <v>109</v>
      </c>
      <c r="BK409" s="58" t="s">
        <v>538</v>
      </c>
      <c r="BN409" s="58" t="s">
        <v>111</v>
      </c>
      <c r="BO409" s="58" t="s">
        <v>112</v>
      </c>
      <c r="BP409" s="58" t="s">
        <v>113</v>
      </c>
      <c r="BQ409" s="58" t="s">
        <v>114</v>
      </c>
      <c r="BR409" s="58">
        <v>2.04</v>
      </c>
      <c r="BU409" s="72"/>
      <c r="BW409" s="64" t="str">
        <f>if(OR(F409="SALE",F409="REFUNDED"),IFERROR(Vlookup(I409,'Listing SKU - Fill SKU Mapping'!A:C,3,false),"Map"),"")</f>
        <v>Keystone</v>
      </c>
      <c r="BX409" s="64" t="str">
        <f>IF(OR(F409="SALE",F409="REFUNDED")=TRUE,iferror(Vlookup(I409,'Listing SKU - Fill SKU Mapping'!A:B,2,false),"Map"),"")</f>
        <v>C3620X4WD</v>
      </c>
      <c r="BY409" s="64">
        <f>IF(OR(F409="SALE",F409="REFUNDED")=TRUE,iferror(Vlookup(I409,'Listing SKU - Fill SKU Mapping'!A:D,4,false),"Map"),"")</f>
        <v>29.58</v>
      </c>
      <c r="BZ409" s="66">
        <f t="shared" si="1"/>
        <v>11.5</v>
      </c>
      <c r="CA409" s="66">
        <f t="shared" si="2"/>
        <v>41.08</v>
      </c>
      <c r="CB409" s="66">
        <f t="shared" si="3"/>
        <v>22.11</v>
      </c>
      <c r="CC409" s="64" t="str">
        <f>if(F409="REFUNDED",iferror(Vlookup(I409,'Listing SKU - Fill SKU Mapping'!A:B,2,false),"Map"),"")</f>
        <v/>
      </c>
      <c r="CD409" s="64" t="str">
        <f>if(F409="REFUNDED",iferror(Vlookup(I409,'Listing SKU - Fill SKU Mapping'!A:C,3,false),"Map"),"")</f>
        <v/>
      </c>
      <c r="CE409" s="64" t="str">
        <f t="shared" si="4"/>
        <v>2025</v>
      </c>
      <c r="CF409" s="64" t="str">
        <f t="shared" si="5"/>
        <v>October</v>
      </c>
      <c r="CG409" s="64" t="str">
        <f t="shared" si="6"/>
        <v/>
      </c>
    </row>
    <row r="410">
      <c r="A410" s="55">
        <v>2.0001E14</v>
      </c>
      <c r="B410" s="56">
        <v>1.0</v>
      </c>
      <c r="C410" s="57">
        <v>1.2903E14</v>
      </c>
      <c r="D410" s="58">
        <v>1.0</v>
      </c>
      <c r="F410" s="59" t="s">
        <v>128</v>
      </c>
      <c r="G410" s="60">
        <v>45960.0</v>
      </c>
      <c r="H410" s="58">
        <v>1.0</v>
      </c>
      <c r="I410" s="58" t="s">
        <v>593</v>
      </c>
      <c r="J410" s="61">
        <v>4.68102663705E11</v>
      </c>
      <c r="K410" s="62" t="s">
        <v>594</v>
      </c>
      <c r="L410" s="62">
        <v>2038710.0</v>
      </c>
      <c r="M410" s="63"/>
      <c r="N410" s="63"/>
      <c r="O410" s="63"/>
      <c r="P410" s="63"/>
      <c r="Q410" s="63"/>
      <c r="R410" s="62" t="s">
        <v>595</v>
      </c>
      <c r="S410" s="62">
        <v>20602.0</v>
      </c>
      <c r="U410" s="59">
        <v>-72.03</v>
      </c>
      <c r="V410" s="59">
        <v>-63.19</v>
      </c>
      <c r="W410" s="58">
        <v>-4.76</v>
      </c>
      <c r="X410" s="58">
        <v>0.0</v>
      </c>
      <c r="Y410" s="58">
        <v>0.0</v>
      </c>
      <c r="Z410" s="59">
        <v>0.0</v>
      </c>
      <c r="AA410" s="58">
        <v>-67.95</v>
      </c>
      <c r="AB410" s="58">
        <v>0.0</v>
      </c>
      <c r="AC410" s="58">
        <v>0.0</v>
      </c>
      <c r="AD410" s="58">
        <v>0.0</v>
      </c>
      <c r="AE410" s="58">
        <v>0.0</v>
      </c>
      <c r="AF410" s="58">
        <v>0.0</v>
      </c>
      <c r="AG410" s="58">
        <v>0.0</v>
      </c>
      <c r="AH410" s="58">
        <v>0.0</v>
      </c>
      <c r="AI410" s="58">
        <v>0.0</v>
      </c>
      <c r="AJ410" s="58">
        <v>0.0</v>
      </c>
      <c r="AK410" s="58">
        <v>0.0</v>
      </c>
      <c r="AL410" s="58">
        <v>0.0</v>
      </c>
      <c r="AM410" s="58">
        <v>0.0</v>
      </c>
      <c r="AN410" s="58">
        <v>0.0</v>
      </c>
      <c r="AO410" s="58">
        <v>0.0</v>
      </c>
      <c r="AP410" s="58">
        <v>0.0</v>
      </c>
      <c r="AQ410" s="58">
        <v>0.0</v>
      </c>
      <c r="AR410" s="58">
        <v>0.0</v>
      </c>
      <c r="AS410" s="58">
        <v>0.0</v>
      </c>
      <c r="AT410" s="58">
        <v>0.0</v>
      </c>
      <c r="AU410" s="58">
        <v>-4.08</v>
      </c>
      <c r="AV410" s="58">
        <v>0.0</v>
      </c>
      <c r="AW410" s="58">
        <v>0.0</v>
      </c>
      <c r="AX410" s="58">
        <v>0.0</v>
      </c>
      <c r="AY410" s="58">
        <v>0.0</v>
      </c>
      <c r="AZ410" s="58">
        <v>0.0</v>
      </c>
      <c r="BA410" s="58">
        <v>0.0</v>
      </c>
      <c r="BB410" s="58">
        <v>-4.08</v>
      </c>
      <c r="BC410" s="58" t="s">
        <v>106</v>
      </c>
      <c r="BD410" s="58" t="s">
        <v>156</v>
      </c>
      <c r="BE410" s="58">
        <v>5010.0</v>
      </c>
      <c r="BH410" s="58" t="s">
        <v>107</v>
      </c>
      <c r="BI410" s="58" t="s">
        <v>108</v>
      </c>
      <c r="BL410" s="58">
        <v>1016.0</v>
      </c>
      <c r="BM410" s="58" t="s">
        <v>258</v>
      </c>
      <c r="BN410" s="58" t="s">
        <v>111</v>
      </c>
      <c r="BO410" s="58" t="s">
        <v>112</v>
      </c>
      <c r="BU410" s="72"/>
      <c r="BW410" s="64" t="str">
        <f>if(OR(F410="SALE",F410="REFUNDED"),IFERROR(Vlookup(I410,'Listing SKU - Fill SKU Mapping'!A:C,3,false),"Map"),"")</f>
        <v>Keystone</v>
      </c>
      <c r="BX410" s="64" t="str">
        <f>IF(OR(F410="SALE",F410="REFUNDED")=TRUE,iferror(Vlookup(I410,'Listing SKU - Fill SKU Mapping'!A:B,2,false),"Map"),"")</f>
        <v>C3620X4WD</v>
      </c>
      <c r="BY410" s="64">
        <f>IF(OR(F410="SALE",F410="REFUNDED")=TRUE,iferror(Vlookup(I410,'Listing SKU - Fill SKU Mapping'!A:D,4,false),"Map"),"")</f>
        <v>29.58</v>
      </c>
      <c r="BZ410" s="66">
        <f t="shared" si="1"/>
        <v>11.5</v>
      </c>
      <c r="CA410" s="66">
        <f t="shared" si="2"/>
        <v>41.08</v>
      </c>
      <c r="CB410" s="64" t="str">
        <f t="shared" si="3"/>
        <v/>
      </c>
      <c r="CC410" s="64" t="str">
        <f>if(F410="REFUNDED",iferror(Vlookup(I410,'Listing SKU - Fill SKU Mapping'!A:B,2,false),"Map"),"")</f>
        <v>C3620X4WD</v>
      </c>
      <c r="CD410" s="64" t="str">
        <f>if(F410="REFUNDED",iferror(Vlookup(I410,'Listing SKU - Fill SKU Mapping'!A:C,3,false),"Map"),"")</f>
        <v>Keystone</v>
      </c>
      <c r="CE410" s="64" t="str">
        <f t="shared" si="4"/>
        <v>2025</v>
      </c>
      <c r="CF410" s="64" t="str">
        <f t="shared" si="5"/>
        <v>October</v>
      </c>
      <c r="CG410" s="64" t="str">
        <f t="shared" si="6"/>
        <v/>
      </c>
    </row>
    <row r="411">
      <c r="A411" s="55">
        <v>2.0001E14</v>
      </c>
      <c r="B411" s="56">
        <v>1.0</v>
      </c>
      <c r="C411" s="57">
        <v>1.2903E14</v>
      </c>
      <c r="D411" s="58">
        <v>1.0</v>
      </c>
      <c r="F411" s="59" t="s">
        <v>100</v>
      </c>
      <c r="G411" s="60">
        <v>45957.0</v>
      </c>
      <c r="H411" s="58">
        <v>1.0</v>
      </c>
      <c r="I411" s="58" t="s">
        <v>453</v>
      </c>
      <c r="J411" s="61">
        <v>4.67129937684E11</v>
      </c>
      <c r="K411" s="62" t="s">
        <v>454</v>
      </c>
      <c r="L411" s="62">
        <v>2038710.0</v>
      </c>
      <c r="M411" s="63"/>
      <c r="N411" s="63"/>
      <c r="O411" s="62" t="s">
        <v>576</v>
      </c>
      <c r="P411" s="63"/>
      <c r="Q411" s="63"/>
      <c r="R411" s="62" t="s">
        <v>577</v>
      </c>
      <c r="S411" s="62">
        <v>89103.0</v>
      </c>
      <c r="T411" s="58" t="s">
        <v>105</v>
      </c>
      <c r="U411" s="59">
        <v>73.54</v>
      </c>
      <c r="V411" s="59">
        <v>68.8</v>
      </c>
      <c r="W411" s="58">
        <v>5.18</v>
      </c>
      <c r="X411" s="58">
        <v>7.0</v>
      </c>
      <c r="Y411" s="58">
        <v>10.0</v>
      </c>
      <c r="Z411" s="59">
        <v>67.86</v>
      </c>
      <c r="AA411" s="58">
        <v>0.0</v>
      </c>
      <c r="AB411" s="58">
        <v>0.0</v>
      </c>
      <c r="AC411" s="58">
        <v>0.0</v>
      </c>
      <c r="AD411" s="58">
        <v>0.0</v>
      </c>
      <c r="AE411" s="58">
        <v>0.0</v>
      </c>
      <c r="AF411" s="58">
        <v>0.0</v>
      </c>
      <c r="AG411" s="58">
        <v>0.0</v>
      </c>
      <c r="AH411" s="58">
        <v>0.0</v>
      </c>
      <c r="AI411" s="58">
        <v>0.0</v>
      </c>
      <c r="AJ411" s="58">
        <v>0.0</v>
      </c>
      <c r="AK411" s="58">
        <v>0.0</v>
      </c>
      <c r="AL411" s="58">
        <v>0.0</v>
      </c>
      <c r="AM411" s="58">
        <v>0.0</v>
      </c>
      <c r="AN411" s="58">
        <v>0.0</v>
      </c>
      <c r="AO411" s="58">
        <v>0.0</v>
      </c>
      <c r="AP411" s="58">
        <v>5.68</v>
      </c>
      <c r="AQ411" s="58">
        <v>0.0</v>
      </c>
      <c r="AR411" s="58">
        <v>0.0</v>
      </c>
      <c r="AS411" s="58">
        <v>0.0</v>
      </c>
      <c r="AT411" s="58">
        <v>0.0</v>
      </c>
      <c r="AU411" s="58">
        <v>0.0</v>
      </c>
      <c r="AV411" s="58">
        <v>0.0</v>
      </c>
      <c r="AW411" s="58">
        <v>0.0</v>
      </c>
      <c r="AX411" s="58">
        <v>0.0</v>
      </c>
      <c r="AY411" s="58">
        <v>0.0</v>
      </c>
      <c r="AZ411" s="58">
        <v>0.0</v>
      </c>
      <c r="BA411" s="58">
        <v>0.0</v>
      </c>
      <c r="BB411" s="58">
        <v>5.68</v>
      </c>
      <c r="BC411" s="58" t="s">
        <v>106</v>
      </c>
      <c r="BF411" s="58">
        <v>73.98</v>
      </c>
      <c r="BG411" s="58">
        <v>-7.4</v>
      </c>
      <c r="BH411" s="58" t="s">
        <v>107</v>
      </c>
      <c r="BI411" s="58" t="s">
        <v>108</v>
      </c>
      <c r="BJ411" s="58" t="s">
        <v>109</v>
      </c>
      <c r="BK411" s="58" t="s">
        <v>538</v>
      </c>
      <c r="BN411" s="58" t="s">
        <v>111</v>
      </c>
      <c r="BO411" s="58" t="s">
        <v>112</v>
      </c>
      <c r="BP411" s="58" t="s">
        <v>113</v>
      </c>
      <c r="BQ411" s="58" t="s">
        <v>317</v>
      </c>
      <c r="BR411" s="58">
        <v>2.22</v>
      </c>
      <c r="BT411" s="58">
        <v>-6.12</v>
      </c>
      <c r="BU411" s="73" t="s">
        <v>318</v>
      </c>
      <c r="BW411" s="64" t="str">
        <f>if(OR(F411="SALE",F411="REFUNDED"),IFERROR(Vlookup(I411,'Listing SKU - Fill SKU Mapping'!A:C,3,false),"Map"),"")</f>
        <v>Keystone</v>
      </c>
      <c r="BX411" s="64" t="str">
        <f>IF(OR(F411="SALE",F411="REFUNDED")=TRUE,iferror(Vlookup(I411,'Listing SKU - Fill SKU Mapping'!A:B,2,false),"Map"),"")</f>
        <v>42315S</v>
      </c>
      <c r="BY411" s="64">
        <f>IF(OR(F411="SALE",F411="REFUNDED")=TRUE,iferror(Vlookup(I411,'Listing SKU - Fill SKU Mapping'!A:D,4,false),"Map"),"")</f>
        <v>26.04</v>
      </c>
      <c r="BZ411" s="66">
        <f t="shared" si="1"/>
        <v>11.5</v>
      </c>
      <c r="CA411" s="66">
        <f t="shared" si="2"/>
        <v>37.54</v>
      </c>
      <c r="CB411" s="66">
        <f t="shared" si="3"/>
        <v>31.26</v>
      </c>
      <c r="CC411" s="64" t="str">
        <f>if(F411="REFUNDED",iferror(Vlookup(I411,'Listing SKU - Fill SKU Mapping'!A:B,2,false),"Map"),"")</f>
        <v/>
      </c>
      <c r="CD411" s="64" t="str">
        <f>if(F411="REFUNDED",iferror(Vlookup(I411,'Listing SKU - Fill SKU Mapping'!A:C,3,false),"Map"),"")</f>
        <v/>
      </c>
      <c r="CE411" s="64" t="str">
        <f t="shared" si="4"/>
        <v>2025</v>
      </c>
      <c r="CF411" s="64" t="str">
        <f t="shared" si="5"/>
        <v>October</v>
      </c>
      <c r="CG411" s="64" t="str">
        <f t="shared" si="6"/>
        <v/>
      </c>
    </row>
    <row r="412">
      <c r="A412" s="55">
        <v>2.0001E14</v>
      </c>
      <c r="B412" s="56">
        <v>5.0</v>
      </c>
      <c r="C412" s="57">
        <v>1.2903E14</v>
      </c>
      <c r="D412" s="58">
        <v>5.0</v>
      </c>
      <c r="F412" s="59" t="s">
        <v>100</v>
      </c>
      <c r="G412" s="60">
        <v>45949.0</v>
      </c>
      <c r="H412" s="58">
        <v>1.0</v>
      </c>
      <c r="I412" s="58" t="s">
        <v>420</v>
      </c>
      <c r="J412" s="61">
        <v>4.50400888287E11</v>
      </c>
      <c r="K412" s="62" t="s">
        <v>483</v>
      </c>
      <c r="L412" s="62">
        <v>2038710.0</v>
      </c>
      <c r="M412" s="63"/>
      <c r="N412" s="63"/>
      <c r="O412" s="62" t="s">
        <v>142</v>
      </c>
      <c r="P412" s="63"/>
      <c r="Q412" s="63"/>
      <c r="R412" s="62" t="s">
        <v>596</v>
      </c>
      <c r="S412" s="62">
        <v>70390.0</v>
      </c>
      <c r="T412" s="58" t="s">
        <v>437</v>
      </c>
      <c r="U412" s="59">
        <v>21.78</v>
      </c>
      <c r="V412" s="59">
        <v>22.98</v>
      </c>
      <c r="W412" s="58">
        <v>0.0</v>
      </c>
      <c r="X412" s="58">
        <v>0.0</v>
      </c>
      <c r="Y412" s="58">
        <v>12.0</v>
      </c>
      <c r="Z412" s="59">
        <v>19.98</v>
      </c>
      <c r="AA412" s="58">
        <v>0.0</v>
      </c>
      <c r="AB412" s="58">
        <v>0.0</v>
      </c>
      <c r="AC412" s="58">
        <v>0.0</v>
      </c>
      <c r="AD412" s="58">
        <v>0.0</v>
      </c>
      <c r="AE412" s="58">
        <v>0.0</v>
      </c>
      <c r="AF412" s="58">
        <v>0.0</v>
      </c>
      <c r="AG412" s="58">
        <v>0.0</v>
      </c>
      <c r="AH412" s="58">
        <v>0.0</v>
      </c>
      <c r="AI412" s="58">
        <v>0.0</v>
      </c>
      <c r="AJ412" s="58">
        <v>0.0</v>
      </c>
      <c r="AK412" s="58">
        <v>0.0</v>
      </c>
      <c r="AL412" s="58">
        <v>0.0</v>
      </c>
      <c r="AM412" s="58">
        <v>0.0</v>
      </c>
      <c r="AN412" s="58">
        <v>0.0</v>
      </c>
      <c r="AO412" s="58">
        <v>0.0</v>
      </c>
      <c r="AP412" s="58">
        <v>1.8</v>
      </c>
      <c r="AQ412" s="58">
        <v>0.0</v>
      </c>
      <c r="AR412" s="58">
        <v>0.0</v>
      </c>
      <c r="AS412" s="58">
        <v>0.0</v>
      </c>
      <c r="AT412" s="58">
        <v>0.0</v>
      </c>
      <c r="AU412" s="58">
        <v>0.0</v>
      </c>
      <c r="AV412" s="58">
        <v>0.0</v>
      </c>
      <c r="AW412" s="58">
        <v>0.0</v>
      </c>
      <c r="AX412" s="58">
        <v>0.0</v>
      </c>
      <c r="AY412" s="58">
        <v>0.0</v>
      </c>
      <c r="AZ412" s="58">
        <v>0.0</v>
      </c>
      <c r="BA412" s="58">
        <v>0.0</v>
      </c>
      <c r="BB412" s="58">
        <v>1.8</v>
      </c>
      <c r="BC412" s="58" t="s">
        <v>106</v>
      </c>
      <c r="BF412" s="58">
        <v>22.98</v>
      </c>
      <c r="BG412" s="58">
        <v>-2.76</v>
      </c>
      <c r="BH412" s="58" t="s">
        <v>421</v>
      </c>
      <c r="BI412" s="58" t="s">
        <v>422</v>
      </c>
      <c r="BJ412" s="58" t="s">
        <v>423</v>
      </c>
      <c r="BK412" s="58" t="s">
        <v>556</v>
      </c>
      <c r="BN412" s="58" t="s">
        <v>111</v>
      </c>
      <c r="BO412" s="58" t="s">
        <v>424</v>
      </c>
      <c r="BP412" s="58" t="s">
        <v>113</v>
      </c>
      <c r="BQ412" s="58" t="s">
        <v>317</v>
      </c>
      <c r="BR412" s="58">
        <v>2.76</v>
      </c>
      <c r="BT412" s="58">
        <v>-3.0</v>
      </c>
      <c r="BU412" s="73" t="s">
        <v>318</v>
      </c>
      <c r="BW412" s="64" t="str">
        <f>if(OR(F412="SALE",F412="REFUNDED"),IFERROR(Vlookup(I412,'Listing SKU - Fill SKU Mapping'!A:C,3,false),"Map"),"")</f>
        <v>Map</v>
      </c>
      <c r="BX412" s="64" t="str">
        <f>IF(OR(F412="SALE",F412="REFUNDED")=TRUE,iferror(Vlookup(I412,'Listing SKU - Fill SKU Mapping'!A:B,2,false),"Map"),"")</f>
        <v>Map</v>
      </c>
      <c r="BY412" s="64" t="str">
        <f>IF(OR(F412="SALE",F412="REFUNDED")=TRUE,iferror(Vlookup(I412,'Listing SKU - Fill SKU Mapping'!A:D,4,false),"Map"),"")</f>
        <v>Map</v>
      </c>
      <c r="BZ412" s="66" t="str">
        <f t="shared" si="1"/>
        <v/>
      </c>
      <c r="CA412" s="64" t="str">
        <f t="shared" si="2"/>
        <v/>
      </c>
      <c r="CB412" s="64">
        <f t="shared" si="3"/>
        <v>22.98</v>
      </c>
      <c r="CC412" s="64" t="str">
        <f>if(F412="REFUNDED",iferror(Vlookup(I412,'Listing SKU - Fill SKU Mapping'!A:B,2,false),"Map"),"")</f>
        <v/>
      </c>
      <c r="CD412" s="64" t="str">
        <f>if(F412="REFUNDED",iferror(Vlookup(I412,'Listing SKU - Fill SKU Mapping'!A:C,3,false),"Map"),"")</f>
        <v/>
      </c>
      <c r="CE412" s="64" t="str">
        <f t="shared" si="4"/>
        <v>2025</v>
      </c>
      <c r="CF412" s="64" t="str">
        <f t="shared" si="5"/>
        <v>October</v>
      </c>
      <c r="CG412" s="64" t="str">
        <f t="shared" si="6"/>
        <v/>
      </c>
    </row>
    <row r="413">
      <c r="A413" s="55">
        <v>2.0001E14</v>
      </c>
      <c r="B413" s="56">
        <v>5.0</v>
      </c>
      <c r="C413" s="57">
        <v>1.2903E14</v>
      </c>
      <c r="D413" s="58">
        <v>5.0</v>
      </c>
      <c r="F413" s="59" t="s">
        <v>158</v>
      </c>
      <c r="G413" s="60">
        <v>45949.0</v>
      </c>
      <c r="H413" s="58">
        <v>1.0</v>
      </c>
      <c r="I413" s="58" t="s">
        <v>420</v>
      </c>
      <c r="J413" s="61">
        <v>4.50400888287E11</v>
      </c>
      <c r="K413" s="62" t="s">
        <v>483</v>
      </c>
      <c r="L413" s="62">
        <v>2038710.0</v>
      </c>
      <c r="M413" s="63"/>
      <c r="N413" s="63"/>
      <c r="O413" s="62" t="s">
        <v>142</v>
      </c>
      <c r="P413" s="63"/>
      <c r="Q413" s="63"/>
      <c r="R413" s="62" t="s">
        <v>596</v>
      </c>
      <c r="S413" s="62">
        <v>70390.0</v>
      </c>
      <c r="T413" s="58" t="s">
        <v>437</v>
      </c>
      <c r="U413" s="59">
        <v>0.0</v>
      </c>
      <c r="V413" s="59">
        <v>-6.15</v>
      </c>
      <c r="W413" s="58">
        <v>6.15</v>
      </c>
      <c r="X413" s="58">
        <v>0.0</v>
      </c>
      <c r="Z413" s="59">
        <v>0.0</v>
      </c>
      <c r="AA413" s="58">
        <v>0.0</v>
      </c>
      <c r="AB413" s="58">
        <v>0.0</v>
      </c>
      <c r="AC413" s="58">
        <v>0.0</v>
      </c>
      <c r="AD413" s="58">
        <v>0.0</v>
      </c>
      <c r="AE413" s="58">
        <v>0.0</v>
      </c>
      <c r="AF413" s="58">
        <v>0.0</v>
      </c>
      <c r="AG413" s="58">
        <v>0.0</v>
      </c>
      <c r="AH413" s="58">
        <v>0.0</v>
      </c>
      <c r="AI413" s="58">
        <v>0.0</v>
      </c>
      <c r="AJ413" s="58">
        <v>0.0</v>
      </c>
      <c r="AK413" s="58">
        <v>0.0</v>
      </c>
      <c r="AL413" s="58">
        <v>0.0</v>
      </c>
      <c r="AM413" s="58">
        <v>0.0</v>
      </c>
      <c r="AN413" s="58">
        <v>0.0</v>
      </c>
      <c r="AO413" s="58">
        <v>0.0</v>
      </c>
      <c r="AP413" s="58">
        <v>0.0</v>
      </c>
      <c r="AQ413" s="58">
        <v>0.0</v>
      </c>
      <c r="AR413" s="58">
        <v>0.0</v>
      </c>
      <c r="AS413" s="58">
        <v>0.0</v>
      </c>
      <c r="AT413" s="58">
        <v>0.0</v>
      </c>
      <c r="AU413" s="58">
        <v>0.0</v>
      </c>
      <c r="AV413" s="58">
        <v>0.0</v>
      </c>
      <c r="AW413" s="58">
        <v>0.0</v>
      </c>
      <c r="AX413" s="58">
        <v>0.0</v>
      </c>
      <c r="AY413" s="58">
        <v>0.0</v>
      </c>
      <c r="AZ413" s="58">
        <v>0.0</v>
      </c>
      <c r="BA413" s="58">
        <v>0.0</v>
      </c>
      <c r="BB413" s="58">
        <v>0.0</v>
      </c>
      <c r="BC413" s="58" t="s">
        <v>106</v>
      </c>
      <c r="BD413" s="58" t="s">
        <v>425</v>
      </c>
      <c r="BE413" s="58">
        <v>5041.0</v>
      </c>
      <c r="BF413" s="58">
        <v>22.98</v>
      </c>
      <c r="BH413" s="58" t="s">
        <v>421</v>
      </c>
      <c r="BI413" s="58" t="s">
        <v>422</v>
      </c>
      <c r="BN413" s="58" t="s">
        <v>111</v>
      </c>
      <c r="BO413" s="58" t="s">
        <v>424</v>
      </c>
      <c r="BU413" s="72"/>
      <c r="BW413" s="64" t="str">
        <f>if(OR(F413="SALE",F413="REFUNDED"),IFERROR(Vlookup(I413,'Listing SKU - Fill SKU Mapping'!A:C,3,false),"Map"),"")</f>
        <v/>
      </c>
      <c r="BX413" s="64" t="str">
        <f>IF(OR(F413="SALE",F413="REFUNDED")=TRUE,iferror(Vlookup(I413,'Listing SKU - Fill SKU Mapping'!A:B,2,false),"Map"),"")</f>
        <v/>
      </c>
      <c r="BY413" s="64" t="str">
        <f>IF(OR(F413="SALE",F413="REFUNDED")=TRUE,iferror(Vlookup(I413,'Listing SKU - Fill SKU Mapping'!A:D,4,false),"Map"),"")</f>
        <v/>
      </c>
      <c r="BZ413" s="66" t="str">
        <f t="shared" si="1"/>
        <v/>
      </c>
      <c r="CA413" s="64" t="str">
        <f t="shared" si="2"/>
        <v/>
      </c>
      <c r="CB413" s="64" t="str">
        <f t="shared" si="3"/>
        <v/>
      </c>
      <c r="CC413" s="64" t="str">
        <f>if(F413="REFUNDED",iferror(Vlookup(I413,'Listing SKU - Fill SKU Mapping'!A:B,2,false),"Map"),"")</f>
        <v/>
      </c>
      <c r="CD413" s="64" t="str">
        <f>if(F413="REFUNDED",iferror(Vlookup(I413,'Listing SKU - Fill SKU Mapping'!A:C,3,false),"Map"),"")</f>
        <v/>
      </c>
      <c r="CE413" s="64" t="str">
        <f t="shared" si="4"/>
        <v>2025</v>
      </c>
      <c r="CF413" s="64" t="str">
        <f t="shared" si="5"/>
        <v>October</v>
      </c>
      <c r="CG413" s="64" t="str">
        <f t="shared" si="6"/>
        <v/>
      </c>
    </row>
    <row r="414">
      <c r="A414" s="55">
        <v>2.0001E14</v>
      </c>
      <c r="B414" s="56">
        <v>1.0</v>
      </c>
      <c r="C414" s="57">
        <v>1.2903E14</v>
      </c>
      <c r="D414" s="58">
        <v>1.0</v>
      </c>
      <c r="F414" s="59" t="s">
        <v>100</v>
      </c>
      <c r="G414" s="60">
        <v>45950.0</v>
      </c>
      <c r="H414" s="58">
        <v>1.0</v>
      </c>
      <c r="I414" s="58" t="s">
        <v>597</v>
      </c>
      <c r="J414" s="61">
        <v>4.67129927821E11</v>
      </c>
      <c r="K414" s="62" t="s">
        <v>598</v>
      </c>
      <c r="L414" s="62">
        <v>2038710.0</v>
      </c>
      <c r="M414" s="63"/>
      <c r="N414" s="63"/>
      <c r="O414" s="62" t="s">
        <v>117</v>
      </c>
      <c r="P414" s="63"/>
      <c r="Q414" s="63"/>
      <c r="R414" s="62" t="s">
        <v>599</v>
      </c>
      <c r="S414" s="62">
        <v>20906.0</v>
      </c>
      <c r="T414" s="58" t="s">
        <v>105</v>
      </c>
      <c r="U414" s="59">
        <v>75.15</v>
      </c>
      <c r="V414" s="59">
        <v>75.31</v>
      </c>
      <c r="W414" s="58">
        <v>5.67</v>
      </c>
      <c r="X414" s="58">
        <v>7.0</v>
      </c>
      <c r="Y414" s="58">
        <v>10.0</v>
      </c>
      <c r="Z414" s="59">
        <v>70.9</v>
      </c>
      <c r="AA414" s="58">
        <v>0.0</v>
      </c>
      <c r="AB414" s="58">
        <v>0.0</v>
      </c>
      <c r="AC414" s="58">
        <v>0.0</v>
      </c>
      <c r="AD414" s="58">
        <v>0.0</v>
      </c>
      <c r="AE414" s="58">
        <v>0.0</v>
      </c>
      <c r="AF414" s="58">
        <v>0.0</v>
      </c>
      <c r="AG414" s="58">
        <v>0.0</v>
      </c>
      <c r="AH414" s="58">
        <v>0.0</v>
      </c>
      <c r="AI414" s="58">
        <v>0.0</v>
      </c>
      <c r="AJ414" s="58">
        <v>0.0</v>
      </c>
      <c r="AK414" s="58">
        <v>0.0</v>
      </c>
      <c r="AL414" s="58">
        <v>0.0</v>
      </c>
      <c r="AM414" s="58">
        <v>0.0</v>
      </c>
      <c r="AN414" s="58">
        <v>0.0</v>
      </c>
      <c r="AO414" s="58">
        <v>0.0</v>
      </c>
      <c r="AP414" s="58">
        <v>4.25</v>
      </c>
      <c r="AQ414" s="58">
        <v>0.0</v>
      </c>
      <c r="AR414" s="58">
        <v>0.0</v>
      </c>
      <c r="AS414" s="58">
        <v>0.0</v>
      </c>
      <c r="AT414" s="58">
        <v>0.0</v>
      </c>
      <c r="AU414" s="58">
        <v>0.0</v>
      </c>
      <c r="AV414" s="58">
        <v>0.0</v>
      </c>
      <c r="AW414" s="58">
        <v>0.0</v>
      </c>
      <c r="AX414" s="58">
        <v>0.0</v>
      </c>
      <c r="AY414" s="58">
        <v>0.0</v>
      </c>
      <c r="AZ414" s="58">
        <v>0.0</v>
      </c>
      <c r="BA414" s="58">
        <v>0.0</v>
      </c>
      <c r="BB414" s="58">
        <v>4.25</v>
      </c>
      <c r="BC414" s="58" t="s">
        <v>106</v>
      </c>
      <c r="BF414" s="58">
        <v>80.98</v>
      </c>
      <c r="BG414" s="58">
        <v>-8.1</v>
      </c>
      <c r="BH414" s="58" t="s">
        <v>107</v>
      </c>
      <c r="BI414" s="58" t="s">
        <v>108</v>
      </c>
      <c r="BJ414" s="58" t="s">
        <v>109</v>
      </c>
      <c r="BK414" s="58" t="s">
        <v>535</v>
      </c>
      <c r="BN414" s="58" t="s">
        <v>111</v>
      </c>
      <c r="BO414" s="58" t="s">
        <v>112</v>
      </c>
      <c r="BP414" s="58" t="s">
        <v>113</v>
      </c>
      <c r="BQ414" s="58" t="s">
        <v>317</v>
      </c>
      <c r="BR414" s="58">
        <v>2.43</v>
      </c>
      <c r="BT414" s="58">
        <v>-10.08</v>
      </c>
      <c r="BU414" s="73" t="s">
        <v>318</v>
      </c>
      <c r="BW414" s="64" t="str">
        <f>if(OR(F414="SALE",F414="REFUNDED"),IFERROR(Vlookup(I414,'Listing SKU - Fill SKU Mapping'!A:C,3,false),"Map"),"")</f>
        <v>Keystone</v>
      </c>
      <c r="BX414" s="64" t="str">
        <f>IF(OR(F414="SALE",F414="REFUNDED")=TRUE,iferror(Vlookup(I414,'Listing SKU - Fill SKU Mapping'!A:B,2,false),"Map"),"")</f>
        <v>44815S</v>
      </c>
      <c r="BY414" s="64">
        <f>IF(OR(F414="SALE",F414="REFUNDED")=TRUE,iferror(Vlookup(I414,'Listing SKU - Fill SKU Mapping'!A:D,4,false),"Map"),"")</f>
        <v>29.98</v>
      </c>
      <c r="BZ414" s="66">
        <f t="shared" si="1"/>
        <v>11.5</v>
      </c>
      <c r="CA414" s="66">
        <f t="shared" si="2"/>
        <v>41.48</v>
      </c>
      <c r="CB414" s="66">
        <f t="shared" si="3"/>
        <v>33.83</v>
      </c>
      <c r="CC414" s="64" t="str">
        <f>if(F414="REFUNDED",iferror(Vlookup(I414,'Listing SKU - Fill SKU Mapping'!A:B,2,false),"Map"),"")</f>
        <v/>
      </c>
      <c r="CD414" s="64" t="str">
        <f>if(F414="REFUNDED",iferror(Vlookup(I414,'Listing SKU - Fill SKU Mapping'!A:C,3,false),"Map"),"")</f>
        <v/>
      </c>
      <c r="CE414" s="64" t="str">
        <f t="shared" si="4"/>
        <v>2025</v>
      </c>
      <c r="CF414" s="64" t="str">
        <f t="shared" si="5"/>
        <v>October</v>
      </c>
      <c r="CG414" s="64" t="str">
        <f t="shared" si="6"/>
        <v/>
      </c>
    </row>
    <row r="415">
      <c r="A415" s="55">
        <v>2.0001E14</v>
      </c>
      <c r="B415" s="56">
        <v>2.0</v>
      </c>
      <c r="C415" s="57">
        <v>1.2903E14</v>
      </c>
      <c r="D415" s="58">
        <v>2.0</v>
      </c>
      <c r="F415" s="59" t="s">
        <v>128</v>
      </c>
      <c r="G415" s="60">
        <v>45955.0</v>
      </c>
      <c r="H415" s="58">
        <v>1.0</v>
      </c>
      <c r="I415" s="58" t="s">
        <v>515</v>
      </c>
      <c r="J415" s="61">
        <v>4.67129934133E11</v>
      </c>
      <c r="K415" s="62" t="s">
        <v>516</v>
      </c>
      <c r="L415" s="62">
        <v>2038710.0</v>
      </c>
      <c r="M415" s="63"/>
      <c r="N415" s="63"/>
      <c r="O415" s="63"/>
      <c r="P415" s="63"/>
      <c r="Q415" s="63"/>
      <c r="R415" s="62" t="s">
        <v>517</v>
      </c>
      <c r="S415" s="62">
        <v>27263.0</v>
      </c>
      <c r="U415" s="59">
        <v>-83.16</v>
      </c>
      <c r="V415" s="59">
        <v>-81.82</v>
      </c>
      <c r="W415" s="58">
        <v>-6.16</v>
      </c>
      <c r="X415" s="58">
        <v>0.0</v>
      </c>
      <c r="Y415" s="58">
        <v>0.0</v>
      </c>
      <c r="Z415" s="59">
        <v>0.0</v>
      </c>
      <c r="AA415" s="58">
        <v>-77.9</v>
      </c>
      <c r="AB415" s="58">
        <v>0.0</v>
      </c>
      <c r="AC415" s="58">
        <v>0.0</v>
      </c>
      <c r="AD415" s="58">
        <v>0.0</v>
      </c>
      <c r="AE415" s="58">
        <v>0.0</v>
      </c>
      <c r="AF415" s="58">
        <v>0.0</v>
      </c>
      <c r="AG415" s="58">
        <v>0.0</v>
      </c>
      <c r="AH415" s="58">
        <v>0.0</v>
      </c>
      <c r="AI415" s="58">
        <v>0.0</v>
      </c>
      <c r="AJ415" s="58">
        <v>0.0</v>
      </c>
      <c r="AK415" s="58">
        <v>0.0</v>
      </c>
      <c r="AL415" s="58">
        <v>0.0</v>
      </c>
      <c r="AM415" s="58">
        <v>0.0</v>
      </c>
      <c r="AN415" s="58">
        <v>0.0</v>
      </c>
      <c r="AO415" s="58">
        <v>0.0</v>
      </c>
      <c r="AP415" s="58">
        <v>0.0</v>
      </c>
      <c r="AQ415" s="58">
        <v>0.0</v>
      </c>
      <c r="AR415" s="58">
        <v>0.0</v>
      </c>
      <c r="AS415" s="58">
        <v>0.0</v>
      </c>
      <c r="AT415" s="58">
        <v>0.0</v>
      </c>
      <c r="AU415" s="58">
        <v>-5.26</v>
      </c>
      <c r="AV415" s="58">
        <v>0.0</v>
      </c>
      <c r="AW415" s="58">
        <v>0.0</v>
      </c>
      <c r="AX415" s="58">
        <v>0.0</v>
      </c>
      <c r="AY415" s="58">
        <v>0.0</v>
      </c>
      <c r="AZ415" s="58">
        <v>0.0</v>
      </c>
      <c r="BA415" s="58">
        <v>0.0</v>
      </c>
      <c r="BB415" s="58">
        <v>-5.26</v>
      </c>
      <c r="BC415" s="58" t="s">
        <v>106</v>
      </c>
      <c r="BD415" s="58" t="s">
        <v>156</v>
      </c>
      <c r="BE415" s="58">
        <v>5010.0</v>
      </c>
      <c r="BF415" s="58">
        <v>87.98</v>
      </c>
      <c r="BH415" s="58" t="s">
        <v>107</v>
      </c>
      <c r="BI415" s="58" t="s">
        <v>108</v>
      </c>
      <c r="BL415" s="58">
        <v>1000.0</v>
      </c>
      <c r="BM415" s="58" t="s">
        <v>130</v>
      </c>
      <c r="BN415" s="58" t="s">
        <v>111</v>
      </c>
      <c r="BO415" s="58" t="s">
        <v>112</v>
      </c>
      <c r="BT415" s="58">
        <v>10.08</v>
      </c>
      <c r="BU415" s="72"/>
      <c r="BW415" s="64" t="str">
        <f>if(OR(F415="SALE",F415="REFUNDED"),IFERROR(Vlookup(I415,'Listing SKU - Fill SKU Mapping'!A:C,3,false),"Map"),"")</f>
        <v>Keystone</v>
      </c>
      <c r="BX415" s="64" t="str">
        <f>IF(OR(F415="SALE",F415="REFUNDED")=TRUE,iferror(Vlookup(I415,'Listing SKU - Fill SKU Mapping'!A:B,2,false),"Map"),"")</f>
        <v>44516BLK</v>
      </c>
      <c r="BY415" s="64">
        <f>IF(OR(F415="SALE",F415="REFUNDED")=TRUE,iferror(Vlookup(I415,'Listing SKU - Fill SKU Mapping'!A:D,4,false),"Map"),"")</f>
        <v>34.32</v>
      </c>
      <c r="BZ415" s="66">
        <f t="shared" si="1"/>
        <v>11.5</v>
      </c>
      <c r="CA415" s="66">
        <f t="shared" si="2"/>
        <v>45.82</v>
      </c>
      <c r="CB415" s="64" t="str">
        <f t="shared" si="3"/>
        <v/>
      </c>
      <c r="CC415" s="64" t="str">
        <f>if(F415="REFUNDED",iferror(Vlookup(I415,'Listing SKU - Fill SKU Mapping'!A:B,2,false),"Map"),"")</f>
        <v>44516BLK</v>
      </c>
      <c r="CD415" s="64" t="str">
        <f>if(F415="REFUNDED",iferror(Vlookup(I415,'Listing SKU - Fill SKU Mapping'!A:C,3,false),"Map"),"")</f>
        <v>Keystone</v>
      </c>
      <c r="CE415" s="64" t="str">
        <f t="shared" si="4"/>
        <v>2025</v>
      </c>
      <c r="CF415" s="64" t="str">
        <f t="shared" si="5"/>
        <v>October</v>
      </c>
      <c r="CG415" s="64" t="str">
        <f t="shared" si="6"/>
        <v/>
      </c>
    </row>
    <row r="416">
      <c r="A416" s="55">
        <v>2.0001E14</v>
      </c>
      <c r="B416" s="56">
        <v>1.0</v>
      </c>
      <c r="C416" s="57">
        <v>1.2903E14</v>
      </c>
      <c r="D416" s="58">
        <v>1.0</v>
      </c>
      <c r="F416" s="59" t="s">
        <v>100</v>
      </c>
      <c r="G416" s="60">
        <v>45951.0</v>
      </c>
      <c r="H416" s="58">
        <v>1.0</v>
      </c>
      <c r="I416" s="58" t="s">
        <v>391</v>
      </c>
      <c r="J416" s="61">
        <v>4.6712993414E11</v>
      </c>
      <c r="K416" s="62" t="s">
        <v>600</v>
      </c>
      <c r="L416" s="62">
        <v>2038710.0</v>
      </c>
      <c r="M416" s="63"/>
      <c r="N416" s="63"/>
      <c r="O416" s="62" t="s">
        <v>297</v>
      </c>
      <c r="P416" s="63"/>
      <c r="Q416" s="63"/>
      <c r="R416" s="62" t="s">
        <v>601</v>
      </c>
      <c r="S416" s="62">
        <v>80524.0</v>
      </c>
      <c r="T416" s="58" t="s">
        <v>105</v>
      </c>
      <c r="U416" s="59">
        <v>107.83</v>
      </c>
      <c r="V416" s="59">
        <v>96.7</v>
      </c>
      <c r="W416" s="58">
        <v>7.28</v>
      </c>
      <c r="X416" s="58">
        <v>7.0</v>
      </c>
      <c r="Y416" s="58">
        <v>10.0</v>
      </c>
      <c r="Z416" s="59">
        <v>103.98</v>
      </c>
      <c r="AA416" s="58">
        <v>0.0</v>
      </c>
      <c r="AB416" s="58">
        <v>0.0</v>
      </c>
      <c r="AC416" s="58">
        <v>0.0</v>
      </c>
      <c r="AD416" s="58">
        <v>0.0</v>
      </c>
      <c r="AE416" s="58">
        <v>0.0</v>
      </c>
      <c r="AF416" s="58">
        <v>0.0</v>
      </c>
      <c r="AG416" s="58">
        <v>0.0</v>
      </c>
      <c r="AH416" s="58">
        <v>0.0</v>
      </c>
      <c r="AI416" s="58">
        <v>0.0</v>
      </c>
      <c r="AJ416" s="58">
        <v>0.0</v>
      </c>
      <c r="AK416" s="58">
        <v>0.0</v>
      </c>
      <c r="AL416" s="58">
        <v>0.0</v>
      </c>
      <c r="AM416" s="58">
        <v>0.0</v>
      </c>
      <c r="AN416" s="58">
        <v>0.0</v>
      </c>
      <c r="AO416" s="58">
        <v>0.0</v>
      </c>
      <c r="AP416" s="58">
        <v>3.85</v>
      </c>
      <c r="AQ416" s="58">
        <v>0.0</v>
      </c>
      <c r="AR416" s="58">
        <v>0.0</v>
      </c>
      <c r="AS416" s="58">
        <v>0.0</v>
      </c>
      <c r="AT416" s="58">
        <v>0.0</v>
      </c>
      <c r="AU416" s="58">
        <v>0.0</v>
      </c>
      <c r="AV416" s="58">
        <v>0.0</v>
      </c>
      <c r="AW416" s="58">
        <v>0.0</v>
      </c>
      <c r="AX416" s="58">
        <v>0.0</v>
      </c>
      <c r="AY416" s="58">
        <v>0.0</v>
      </c>
      <c r="AZ416" s="58">
        <v>0.0</v>
      </c>
      <c r="BA416" s="58">
        <v>0.0</v>
      </c>
      <c r="BB416" s="58">
        <v>3.85</v>
      </c>
      <c r="BC416" s="58" t="s">
        <v>106</v>
      </c>
      <c r="BG416" s="58">
        <v>-10.4</v>
      </c>
      <c r="BH416" s="58" t="s">
        <v>107</v>
      </c>
      <c r="BI416" s="58" t="s">
        <v>108</v>
      </c>
      <c r="BJ416" s="58" t="s">
        <v>109</v>
      </c>
      <c r="BK416" s="58" t="s">
        <v>548</v>
      </c>
      <c r="BN416" s="58" t="s">
        <v>111</v>
      </c>
      <c r="BO416" s="58" t="s">
        <v>112</v>
      </c>
      <c r="BP416" s="58" t="s">
        <v>113</v>
      </c>
      <c r="BQ416" s="58" t="s">
        <v>114</v>
      </c>
      <c r="BR416" s="58">
        <v>3.12</v>
      </c>
      <c r="BU416" s="72"/>
      <c r="BW416" s="64" t="str">
        <f>if(OR(F416="SALE",F416="REFUNDED"),IFERROR(Vlookup(I416,'Listing SKU - Fill SKU Mapping'!A:C,3,false),"Map"),"")</f>
        <v>Keystone</v>
      </c>
      <c r="BX416" s="64" t="str">
        <f>IF(OR(F416="SALE",F416="REFUNDED")=TRUE,iferror(Vlookup(I416,'Listing SKU - Fill SKU Mapping'!A:B,2,false),"Map"),"")</f>
        <v>45717C</v>
      </c>
      <c r="BY416" s="64">
        <f>IF(OR(F416="SALE",F416="REFUNDED")=TRUE,iferror(Vlookup(I416,'Listing SKU - Fill SKU Mapping'!A:D,4,false),"Map"),"")</f>
        <v>44.58</v>
      </c>
      <c r="BZ416" s="66">
        <f t="shared" si="1"/>
        <v>11.5</v>
      </c>
      <c r="CA416" s="66">
        <f t="shared" si="2"/>
        <v>56.08</v>
      </c>
      <c r="CB416" s="66">
        <f t="shared" si="3"/>
        <v>40.62</v>
      </c>
      <c r="CC416" s="64" t="str">
        <f>if(F416="REFUNDED",iferror(Vlookup(I416,'Listing SKU - Fill SKU Mapping'!A:B,2,false),"Map"),"")</f>
        <v/>
      </c>
      <c r="CD416" s="64" t="str">
        <f>if(F416="REFUNDED",iferror(Vlookup(I416,'Listing SKU - Fill SKU Mapping'!A:C,3,false),"Map"),"")</f>
        <v/>
      </c>
      <c r="CE416" s="64" t="str">
        <f t="shared" si="4"/>
        <v>2025</v>
      </c>
      <c r="CF416" s="64" t="str">
        <f t="shared" si="5"/>
        <v>October</v>
      </c>
      <c r="CG416" s="64" t="str">
        <f t="shared" si="6"/>
        <v/>
      </c>
    </row>
    <row r="417">
      <c r="A417" s="55">
        <v>2.0001E14</v>
      </c>
      <c r="B417" s="56">
        <v>1.0</v>
      </c>
      <c r="C417" s="57">
        <v>1.2903E14</v>
      </c>
      <c r="D417" s="58">
        <v>1.0</v>
      </c>
      <c r="F417" s="59" t="s">
        <v>128</v>
      </c>
      <c r="G417" s="60">
        <v>45953.0</v>
      </c>
      <c r="H417" s="58">
        <v>1.0</v>
      </c>
      <c r="I417" s="58" t="s">
        <v>391</v>
      </c>
      <c r="J417" s="61">
        <v>4.6712993414E11</v>
      </c>
      <c r="K417" s="62" t="s">
        <v>600</v>
      </c>
      <c r="L417" s="62">
        <v>2038710.0</v>
      </c>
      <c r="M417" s="63"/>
      <c r="N417" s="63"/>
      <c r="O417" s="63"/>
      <c r="P417" s="63"/>
      <c r="Q417" s="63"/>
      <c r="R417" s="62" t="s">
        <v>601</v>
      </c>
      <c r="S417" s="62">
        <v>80524.0</v>
      </c>
      <c r="U417" s="59">
        <v>-107.83</v>
      </c>
      <c r="V417" s="59">
        <v>-96.7</v>
      </c>
      <c r="W417" s="58">
        <v>-7.28</v>
      </c>
      <c r="X417" s="58">
        <v>0.0</v>
      </c>
      <c r="Y417" s="58">
        <v>0.0</v>
      </c>
      <c r="Z417" s="59">
        <v>0.0</v>
      </c>
      <c r="AA417" s="58">
        <v>-103.98</v>
      </c>
      <c r="AB417" s="58">
        <v>0.0</v>
      </c>
      <c r="AC417" s="58">
        <v>0.0</v>
      </c>
      <c r="AD417" s="58">
        <v>0.0</v>
      </c>
      <c r="AE417" s="58">
        <v>0.0</v>
      </c>
      <c r="AF417" s="58">
        <v>0.0</v>
      </c>
      <c r="AG417" s="58">
        <v>0.0</v>
      </c>
      <c r="AH417" s="58">
        <v>0.0</v>
      </c>
      <c r="AI417" s="58">
        <v>0.0</v>
      </c>
      <c r="AJ417" s="58">
        <v>0.0</v>
      </c>
      <c r="AK417" s="58">
        <v>0.0</v>
      </c>
      <c r="AL417" s="58">
        <v>0.0</v>
      </c>
      <c r="AM417" s="58">
        <v>0.0</v>
      </c>
      <c r="AN417" s="58">
        <v>0.0</v>
      </c>
      <c r="AO417" s="58">
        <v>0.0</v>
      </c>
      <c r="AP417" s="58">
        <v>0.0</v>
      </c>
      <c r="AQ417" s="58">
        <v>0.0</v>
      </c>
      <c r="AR417" s="58">
        <v>0.0</v>
      </c>
      <c r="AS417" s="58">
        <v>0.0</v>
      </c>
      <c r="AT417" s="58">
        <v>0.0</v>
      </c>
      <c r="AU417" s="58">
        <v>-3.85</v>
      </c>
      <c r="AV417" s="58">
        <v>0.0</v>
      </c>
      <c r="AW417" s="58">
        <v>0.0</v>
      </c>
      <c r="AX417" s="58">
        <v>0.0</v>
      </c>
      <c r="AY417" s="58">
        <v>0.0</v>
      </c>
      <c r="AZ417" s="58">
        <v>0.0</v>
      </c>
      <c r="BA417" s="58">
        <v>0.0</v>
      </c>
      <c r="BB417" s="58">
        <v>-3.85</v>
      </c>
      <c r="BC417" s="58" t="s">
        <v>106</v>
      </c>
      <c r="BD417" s="58" t="s">
        <v>156</v>
      </c>
      <c r="BE417" s="58">
        <v>5010.0</v>
      </c>
      <c r="BH417" s="58" t="s">
        <v>107</v>
      </c>
      <c r="BI417" s="58" t="s">
        <v>108</v>
      </c>
      <c r="BL417" s="58">
        <v>1000.0</v>
      </c>
      <c r="BM417" s="58" t="s">
        <v>130</v>
      </c>
      <c r="BN417" s="58" t="s">
        <v>111</v>
      </c>
      <c r="BO417" s="58" t="s">
        <v>112</v>
      </c>
      <c r="BU417" s="72"/>
      <c r="BW417" s="64" t="str">
        <f>if(OR(F417="SALE",F417="REFUNDED"),IFERROR(Vlookup(I417,'Listing SKU - Fill SKU Mapping'!A:C,3,false),"Map"),"")</f>
        <v>Keystone</v>
      </c>
      <c r="BX417" s="64" t="str">
        <f>IF(OR(F417="SALE",F417="REFUNDED")=TRUE,iferror(Vlookup(I417,'Listing SKU - Fill SKU Mapping'!A:B,2,false),"Map"),"")</f>
        <v>45717C</v>
      </c>
      <c r="BY417" s="64">
        <f>IF(OR(F417="SALE",F417="REFUNDED")=TRUE,iferror(Vlookup(I417,'Listing SKU - Fill SKU Mapping'!A:D,4,false),"Map"),"")</f>
        <v>44.58</v>
      </c>
      <c r="BZ417" s="66">
        <f t="shared" si="1"/>
        <v>11.5</v>
      </c>
      <c r="CA417" s="66">
        <f t="shared" si="2"/>
        <v>56.08</v>
      </c>
      <c r="CB417" s="64" t="str">
        <f t="shared" si="3"/>
        <v/>
      </c>
      <c r="CC417" s="64" t="str">
        <f>if(F417="REFUNDED",iferror(Vlookup(I417,'Listing SKU - Fill SKU Mapping'!A:B,2,false),"Map"),"")</f>
        <v>45717C</v>
      </c>
      <c r="CD417" s="64" t="str">
        <f>if(F417="REFUNDED",iferror(Vlookup(I417,'Listing SKU - Fill SKU Mapping'!A:C,3,false),"Map"),"")</f>
        <v>Keystone</v>
      </c>
      <c r="CE417" s="64" t="str">
        <f t="shared" si="4"/>
        <v>2025</v>
      </c>
      <c r="CF417" s="64" t="str">
        <f t="shared" si="5"/>
        <v>October</v>
      </c>
      <c r="CG417" s="64" t="str">
        <f t="shared" si="6"/>
        <v/>
      </c>
    </row>
    <row r="418">
      <c r="A418" s="55">
        <v>2.0001E14</v>
      </c>
      <c r="B418" s="56">
        <v>2.0</v>
      </c>
      <c r="C418" s="57">
        <v>1.2903E14</v>
      </c>
      <c r="D418" s="58">
        <v>2.0</v>
      </c>
      <c r="F418" s="59" t="s">
        <v>100</v>
      </c>
      <c r="G418" s="60">
        <v>45958.0</v>
      </c>
      <c r="H418" s="58">
        <v>1.0</v>
      </c>
      <c r="I418" s="58" t="s">
        <v>420</v>
      </c>
      <c r="J418" s="61">
        <v>4.50400888287E11</v>
      </c>
      <c r="K418" s="62" t="s">
        <v>483</v>
      </c>
      <c r="L418" s="62">
        <v>2038710.0</v>
      </c>
      <c r="M418" s="63"/>
      <c r="N418" s="63"/>
      <c r="O418" s="62" t="s">
        <v>602</v>
      </c>
      <c r="P418" s="63"/>
      <c r="Q418" s="63"/>
      <c r="R418" s="62" t="s">
        <v>603</v>
      </c>
      <c r="S418" s="62">
        <v>57785.0</v>
      </c>
      <c r="T418" s="58" t="s">
        <v>437</v>
      </c>
      <c r="U418" s="59">
        <v>21.22</v>
      </c>
      <c r="V418" s="59">
        <v>21.05</v>
      </c>
      <c r="W418" s="58">
        <v>1.93</v>
      </c>
      <c r="X418" s="58">
        <v>8.4</v>
      </c>
      <c r="Y418" s="58">
        <v>12.0</v>
      </c>
      <c r="Z418" s="59">
        <v>19.98</v>
      </c>
      <c r="AA418" s="58">
        <v>0.0</v>
      </c>
      <c r="AB418" s="58">
        <v>0.0</v>
      </c>
      <c r="AC418" s="58">
        <v>0.0</v>
      </c>
      <c r="AD418" s="58">
        <v>0.0</v>
      </c>
      <c r="AE418" s="58">
        <v>0.0</v>
      </c>
      <c r="AF418" s="58">
        <v>0.0</v>
      </c>
      <c r="AG418" s="58">
        <v>0.0</v>
      </c>
      <c r="AH418" s="58">
        <v>0.0</v>
      </c>
      <c r="AI418" s="58">
        <v>0.0</v>
      </c>
      <c r="AJ418" s="58">
        <v>0.0</v>
      </c>
      <c r="AK418" s="58">
        <v>0.0</v>
      </c>
      <c r="AL418" s="58">
        <v>0.0</v>
      </c>
      <c r="AM418" s="58">
        <v>0.0</v>
      </c>
      <c r="AN418" s="58">
        <v>0.0</v>
      </c>
      <c r="AO418" s="58">
        <v>0.0</v>
      </c>
      <c r="AP418" s="58">
        <v>1.24</v>
      </c>
      <c r="AQ418" s="58">
        <v>0.0</v>
      </c>
      <c r="AR418" s="58">
        <v>0.0</v>
      </c>
      <c r="AS418" s="58">
        <v>0.0</v>
      </c>
      <c r="AT418" s="58">
        <v>0.0</v>
      </c>
      <c r="AU418" s="58">
        <v>0.0</v>
      </c>
      <c r="AV418" s="58">
        <v>0.0</v>
      </c>
      <c r="AW418" s="58">
        <v>0.0</v>
      </c>
      <c r="AX418" s="58">
        <v>0.0</v>
      </c>
      <c r="AY418" s="58">
        <v>0.0</v>
      </c>
      <c r="AZ418" s="58">
        <v>0.0</v>
      </c>
      <c r="BA418" s="58">
        <v>0.0</v>
      </c>
      <c r="BB418" s="58">
        <v>1.24</v>
      </c>
      <c r="BC418" s="58" t="s">
        <v>106</v>
      </c>
      <c r="BF418" s="58">
        <v>22.98</v>
      </c>
      <c r="BG418" s="58">
        <v>-2.76</v>
      </c>
      <c r="BH418" s="58" t="s">
        <v>421</v>
      </c>
      <c r="BI418" s="58" t="s">
        <v>422</v>
      </c>
      <c r="BJ418" s="58" t="s">
        <v>423</v>
      </c>
      <c r="BK418" s="58" t="s">
        <v>538</v>
      </c>
      <c r="BN418" s="58" t="s">
        <v>111</v>
      </c>
      <c r="BO418" s="58" t="s">
        <v>424</v>
      </c>
      <c r="BP418" s="58" t="s">
        <v>113</v>
      </c>
      <c r="BQ418" s="58" t="s">
        <v>317</v>
      </c>
      <c r="BR418" s="58">
        <v>0.83</v>
      </c>
      <c r="BT418" s="58">
        <v>-3.0</v>
      </c>
      <c r="BU418" s="73" t="s">
        <v>318</v>
      </c>
      <c r="BW418" s="64" t="str">
        <f>if(OR(F418="SALE",F418="REFUNDED"),IFERROR(Vlookup(I418,'Listing SKU - Fill SKU Mapping'!A:C,3,false),"Map"),"")</f>
        <v>Map</v>
      </c>
      <c r="BX418" s="64" t="str">
        <f>IF(OR(F418="SALE",F418="REFUNDED")=TRUE,iferror(Vlookup(I418,'Listing SKU - Fill SKU Mapping'!A:B,2,false),"Map"),"")</f>
        <v>Map</v>
      </c>
      <c r="BY418" s="64" t="str">
        <f>IF(OR(F418="SALE",F418="REFUNDED")=TRUE,iferror(Vlookup(I418,'Listing SKU - Fill SKU Mapping'!A:D,4,false),"Map"),"")</f>
        <v>Map</v>
      </c>
      <c r="BZ418" s="66" t="str">
        <f t="shared" si="1"/>
        <v/>
      </c>
      <c r="CA418" s="64" t="str">
        <f t="shared" si="2"/>
        <v/>
      </c>
      <c r="CB418" s="64">
        <f t="shared" si="3"/>
        <v>21.05</v>
      </c>
      <c r="CC418" s="64" t="str">
        <f>if(F418="REFUNDED",iferror(Vlookup(I418,'Listing SKU - Fill SKU Mapping'!A:B,2,false),"Map"),"")</f>
        <v/>
      </c>
      <c r="CD418" s="64" t="str">
        <f>if(F418="REFUNDED",iferror(Vlookup(I418,'Listing SKU - Fill SKU Mapping'!A:C,3,false),"Map"),"")</f>
        <v/>
      </c>
      <c r="CE418" s="64" t="str">
        <f t="shared" si="4"/>
        <v>2025</v>
      </c>
      <c r="CF418" s="64" t="str">
        <f t="shared" si="5"/>
        <v>October</v>
      </c>
      <c r="CG418" s="64" t="str">
        <f t="shared" si="6"/>
        <v/>
      </c>
    </row>
    <row r="419">
      <c r="A419" s="55">
        <v>2.0001E14</v>
      </c>
      <c r="B419" s="56">
        <v>2.0</v>
      </c>
      <c r="C419" s="57">
        <v>1.2903E14</v>
      </c>
      <c r="D419" s="58">
        <v>2.0</v>
      </c>
      <c r="F419" s="59" t="s">
        <v>158</v>
      </c>
      <c r="G419" s="60">
        <v>45958.0</v>
      </c>
      <c r="H419" s="58">
        <v>1.0</v>
      </c>
      <c r="I419" s="58" t="s">
        <v>420</v>
      </c>
      <c r="J419" s="61">
        <v>4.50400888287E11</v>
      </c>
      <c r="K419" s="62" t="s">
        <v>483</v>
      </c>
      <c r="L419" s="62">
        <v>2038710.0</v>
      </c>
      <c r="M419" s="63"/>
      <c r="N419" s="63"/>
      <c r="O419" s="62" t="s">
        <v>602</v>
      </c>
      <c r="P419" s="63"/>
      <c r="Q419" s="63"/>
      <c r="R419" s="62" t="s">
        <v>603</v>
      </c>
      <c r="S419" s="62">
        <v>57785.0</v>
      </c>
      <c r="T419" s="58" t="s">
        <v>437</v>
      </c>
      <c r="U419" s="59">
        <v>0.0</v>
      </c>
      <c r="V419" s="59">
        <v>-6.15</v>
      </c>
      <c r="W419" s="58">
        <v>6.15</v>
      </c>
      <c r="X419" s="58">
        <v>0.0</v>
      </c>
      <c r="Z419" s="59">
        <v>0.0</v>
      </c>
      <c r="AA419" s="58">
        <v>0.0</v>
      </c>
      <c r="AB419" s="58">
        <v>0.0</v>
      </c>
      <c r="AC419" s="58">
        <v>0.0</v>
      </c>
      <c r="AD419" s="58">
        <v>0.0</v>
      </c>
      <c r="AE419" s="58">
        <v>0.0</v>
      </c>
      <c r="AF419" s="58">
        <v>0.0</v>
      </c>
      <c r="AG419" s="58">
        <v>0.0</v>
      </c>
      <c r="AH419" s="58">
        <v>0.0</v>
      </c>
      <c r="AI419" s="58">
        <v>0.0</v>
      </c>
      <c r="AJ419" s="58">
        <v>0.0</v>
      </c>
      <c r="AK419" s="58">
        <v>0.0</v>
      </c>
      <c r="AL419" s="58">
        <v>0.0</v>
      </c>
      <c r="AM419" s="58">
        <v>0.0</v>
      </c>
      <c r="AN419" s="58">
        <v>0.0</v>
      </c>
      <c r="AO419" s="58">
        <v>0.0</v>
      </c>
      <c r="AP419" s="58">
        <v>0.0</v>
      </c>
      <c r="AQ419" s="58">
        <v>0.0</v>
      </c>
      <c r="AR419" s="58">
        <v>0.0</v>
      </c>
      <c r="AS419" s="58">
        <v>0.0</v>
      </c>
      <c r="AT419" s="58">
        <v>0.0</v>
      </c>
      <c r="AU419" s="58">
        <v>0.0</v>
      </c>
      <c r="AV419" s="58">
        <v>0.0</v>
      </c>
      <c r="AW419" s="58">
        <v>0.0</v>
      </c>
      <c r="AX419" s="58">
        <v>0.0</v>
      </c>
      <c r="AY419" s="58">
        <v>0.0</v>
      </c>
      <c r="AZ419" s="58">
        <v>0.0</v>
      </c>
      <c r="BA419" s="58">
        <v>0.0</v>
      </c>
      <c r="BB419" s="58">
        <v>0.0</v>
      </c>
      <c r="BC419" s="58" t="s">
        <v>106</v>
      </c>
      <c r="BD419" s="58" t="s">
        <v>425</v>
      </c>
      <c r="BE419" s="58">
        <v>5041.0</v>
      </c>
      <c r="BF419" s="58">
        <v>22.98</v>
      </c>
      <c r="BH419" s="58" t="s">
        <v>421</v>
      </c>
      <c r="BI419" s="58" t="s">
        <v>422</v>
      </c>
      <c r="BN419" s="58" t="s">
        <v>111</v>
      </c>
      <c r="BO419" s="58" t="s">
        <v>424</v>
      </c>
      <c r="BU419" s="72"/>
      <c r="BW419" s="64" t="str">
        <f>if(OR(F419="SALE",F419="REFUNDED"),IFERROR(Vlookup(I419,'Listing SKU - Fill SKU Mapping'!A:C,3,false),"Map"),"")</f>
        <v/>
      </c>
      <c r="BX419" s="64" t="str">
        <f>IF(OR(F419="SALE",F419="REFUNDED")=TRUE,iferror(Vlookup(I419,'Listing SKU - Fill SKU Mapping'!A:B,2,false),"Map"),"")</f>
        <v/>
      </c>
      <c r="BY419" s="64" t="str">
        <f>IF(OR(F419="SALE",F419="REFUNDED")=TRUE,iferror(Vlookup(I419,'Listing SKU - Fill SKU Mapping'!A:D,4,false),"Map"),"")</f>
        <v/>
      </c>
      <c r="BZ419" s="66" t="str">
        <f t="shared" si="1"/>
        <v/>
      </c>
      <c r="CA419" s="64" t="str">
        <f t="shared" si="2"/>
        <v/>
      </c>
      <c r="CB419" s="64" t="str">
        <f t="shared" si="3"/>
        <v/>
      </c>
      <c r="CC419" s="64" t="str">
        <f>if(F419="REFUNDED",iferror(Vlookup(I419,'Listing SKU - Fill SKU Mapping'!A:B,2,false),"Map"),"")</f>
        <v/>
      </c>
      <c r="CD419" s="64" t="str">
        <f>if(F419="REFUNDED",iferror(Vlookup(I419,'Listing SKU - Fill SKU Mapping'!A:C,3,false),"Map"),"")</f>
        <v/>
      </c>
      <c r="CE419" s="64" t="str">
        <f t="shared" si="4"/>
        <v>2025</v>
      </c>
      <c r="CF419" s="64" t="str">
        <f t="shared" si="5"/>
        <v>October</v>
      </c>
      <c r="CG419" s="64" t="str">
        <f t="shared" si="6"/>
        <v/>
      </c>
    </row>
    <row r="420">
      <c r="A420" s="55">
        <v>2.0001E14</v>
      </c>
      <c r="B420" s="56">
        <v>1.0</v>
      </c>
      <c r="C420" s="57">
        <v>1.2903E14</v>
      </c>
      <c r="D420" s="58">
        <v>1.0</v>
      </c>
      <c r="F420" s="59" t="s">
        <v>100</v>
      </c>
      <c r="G420" s="60">
        <v>45953.0</v>
      </c>
      <c r="H420" s="58">
        <v>1.0</v>
      </c>
      <c r="I420" s="58" t="s">
        <v>401</v>
      </c>
      <c r="J420" s="61">
        <v>4.6712991492E11</v>
      </c>
      <c r="K420" s="62" t="s">
        <v>575</v>
      </c>
      <c r="L420" s="62">
        <v>2038710.0</v>
      </c>
      <c r="M420" s="63"/>
      <c r="N420" s="63"/>
      <c r="O420" s="62" t="s">
        <v>161</v>
      </c>
      <c r="P420" s="63"/>
      <c r="Q420" s="63"/>
      <c r="R420" s="62" t="s">
        <v>604</v>
      </c>
      <c r="S420" s="62">
        <v>91744.0</v>
      </c>
      <c r="T420" s="58" t="s">
        <v>105</v>
      </c>
      <c r="U420" s="59">
        <v>94.36</v>
      </c>
      <c r="V420" s="59">
        <v>79.96</v>
      </c>
      <c r="W420" s="58">
        <v>6.02</v>
      </c>
      <c r="X420" s="58">
        <v>7.0</v>
      </c>
      <c r="Y420" s="58">
        <v>10.0</v>
      </c>
      <c r="Z420" s="59">
        <v>85.98</v>
      </c>
      <c r="AA420" s="58">
        <v>0.0</v>
      </c>
      <c r="AB420" s="58">
        <v>0.0</v>
      </c>
      <c r="AC420" s="58">
        <v>0.0</v>
      </c>
      <c r="AD420" s="58">
        <v>0.0</v>
      </c>
      <c r="AE420" s="58">
        <v>0.0</v>
      </c>
      <c r="AF420" s="58">
        <v>0.0</v>
      </c>
      <c r="AG420" s="58">
        <v>0.0</v>
      </c>
      <c r="AH420" s="58">
        <v>0.0</v>
      </c>
      <c r="AI420" s="58">
        <v>0.0</v>
      </c>
      <c r="AJ420" s="58">
        <v>0.0</v>
      </c>
      <c r="AK420" s="58">
        <v>0.0</v>
      </c>
      <c r="AL420" s="58">
        <v>0.0</v>
      </c>
      <c r="AM420" s="58">
        <v>0.0</v>
      </c>
      <c r="AN420" s="58">
        <v>0.0</v>
      </c>
      <c r="AO420" s="58">
        <v>0.0</v>
      </c>
      <c r="AP420" s="58">
        <v>8.38</v>
      </c>
      <c r="AQ420" s="58">
        <v>0.0</v>
      </c>
      <c r="AR420" s="58">
        <v>0.0</v>
      </c>
      <c r="AS420" s="58">
        <v>0.0</v>
      </c>
      <c r="AT420" s="58">
        <v>0.0</v>
      </c>
      <c r="AU420" s="58">
        <v>0.0</v>
      </c>
      <c r="AV420" s="58">
        <v>0.0</v>
      </c>
      <c r="AW420" s="58">
        <v>0.0</v>
      </c>
      <c r="AX420" s="58">
        <v>0.0</v>
      </c>
      <c r="AY420" s="58">
        <v>0.0</v>
      </c>
      <c r="AZ420" s="58">
        <v>0.0</v>
      </c>
      <c r="BA420" s="58">
        <v>0.0</v>
      </c>
      <c r="BB420" s="58">
        <v>8.38</v>
      </c>
      <c r="BC420" s="58" t="s">
        <v>106</v>
      </c>
      <c r="BG420" s="58">
        <v>-8.6</v>
      </c>
      <c r="BH420" s="58" t="s">
        <v>107</v>
      </c>
      <c r="BI420" s="58" t="s">
        <v>108</v>
      </c>
      <c r="BJ420" s="58" t="s">
        <v>109</v>
      </c>
      <c r="BK420" s="58" t="s">
        <v>548</v>
      </c>
      <c r="BN420" s="58" t="s">
        <v>111</v>
      </c>
      <c r="BO420" s="58" t="s">
        <v>112</v>
      </c>
      <c r="BP420" s="58" t="s">
        <v>113</v>
      </c>
      <c r="BQ420" s="58" t="s">
        <v>114</v>
      </c>
      <c r="BR420" s="58">
        <v>2.58</v>
      </c>
      <c r="BU420" s="72"/>
      <c r="BW420" s="64" t="str">
        <f>if(OR(F420="SALE",F420="REFUNDED"),IFERROR(Vlookup(I420,'Listing SKU - Fill SKU Mapping'!A:C,3,false),"Map"),"")</f>
        <v>Keystone</v>
      </c>
      <c r="BX420" s="64" t="str">
        <f>IF(OR(F420="SALE",F420="REFUNDED")=TRUE,iferror(Vlookup(I420,'Listing SKU - Fill SKU Mapping'!A:B,2,false),"Map"),"")</f>
        <v>50516BLK</v>
      </c>
      <c r="BY420" s="64">
        <f>IF(OR(F420="SALE",F420="REFUNDED")=TRUE,iferror(Vlookup(I420,'Listing SKU - Fill SKU Mapping'!A:D,4,false),"Map"),"")</f>
        <v>33.14</v>
      </c>
      <c r="BZ420" s="66">
        <f t="shared" si="1"/>
        <v>11.5</v>
      </c>
      <c r="CA420" s="66">
        <f t="shared" si="2"/>
        <v>44.64</v>
      </c>
      <c r="CB420" s="66">
        <f t="shared" si="3"/>
        <v>35.32</v>
      </c>
      <c r="CC420" s="64" t="str">
        <f>if(F420="REFUNDED",iferror(Vlookup(I420,'Listing SKU - Fill SKU Mapping'!A:B,2,false),"Map"),"")</f>
        <v/>
      </c>
      <c r="CD420" s="64" t="str">
        <f>if(F420="REFUNDED",iferror(Vlookup(I420,'Listing SKU - Fill SKU Mapping'!A:C,3,false),"Map"),"")</f>
        <v/>
      </c>
      <c r="CE420" s="64" t="str">
        <f t="shared" si="4"/>
        <v>2025</v>
      </c>
      <c r="CF420" s="64" t="str">
        <f t="shared" si="5"/>
        <v>October</v>
      </c>
      <c r="CG420" s="64" t="str">
        <f t="shared" si="6"/>
        <v/>
      </c>
    </row>
    <row r="421">
      <c r="A421" s="55">
        <v>2.0001E14</v>
      </c>
      <c r="B421" s="56">
        <v>2.0</v>
      </c>
      <c r="C421" s="57">
        <v>1.2903E14</v>
      </c>
      <c r="D421" s="58">
        <v>2.0</v>
      </c>
      <c r="F421" s="59" t="s">
        <v>158</v>
      </c>
      <c r="G421" s="60">
        <v>45949.0</v>
      </c>
      <c r="H421" s="58">
        <v>1.0</v>
      </c>
      <c r="I421" s="58" t="s">
        <v>443</v>
      </c>
      <c r="J421" s="61">
        <v>4.66885060933E11</v>
      </c>
      <c r="K421" s="62" t="s">
        <v>605</v>
      </c>
      <c r="L421" s="62">
        <v>2038710.0</v>
      </c>
      <c r="M421" s="63"/>
      <c r="N421" s="63"/>
      <c r="O421" s="62" t="s">
        <v>274</v>
      </c>
      <c r="P421" s="63"/>
      <c r="Q421" s="63"/>
      <c r="R421" s="62" t="s">
        <v>606</v>
      </c>
      <c r="S421" s="62">
        <v>65050.0</v>
      </c>
      <c r="T421" s="58" t="s">
        <v>105</v>
      </c>
      <c r="U421" s="59">
        <v>0.0</v>
      </c>
      <c r="V421" s="59">
        <v>-8.89</v>
      </c>
      <c r="W421" s="58">
        <v>0.0</v>
      </c>
      <c r="X421" s="58">
        <v>0.0</v>
      </c>
      <c r="Z421" s="59">
        <v>0.0</v>
      </c>
      <c r="AA421" s="58">
        <v>0.0</v>
      </c>
      <c r="AB421" s="58">
        <v>0.0</v>
      </c>
      <c r="AC421" s="58">
        <v>0.0</v>
      </c>
      <c r="AD421" s="58">
        <v>0.0</v>
      </c>
      <c r="AE421" s="58">
        <v>0.0</v>
      </c>
      <c r="AF421" s="58">
        <v>0.0</v>
      </c>
      <c r="AG421" s="58">
        <v>0.0</v>
      </c>
      <c r="AH421" s="58">
        <v>0.0</v>
      </c>
      <c r="AI421" s="58">
        <v>0.0</v>
      </c>
      <c r="AJ421" s="58">
        <v>0.0</v>
      </c>
      <c r="AK421" s="58">
        <v>0.0</v>
      </c>
      <c r="AL421" s="58">
        <v>0.0</v>
      </c>
      <c r="AM421" s="58">
        <v>0.0</v>
      </c>
      <c r="AN421" s="58">
        <v>0.0</v>
      </c>
      <c r="AO421" s="58">
        <v>0.0</v>
      </c>
      <c r="AP421" s="58">
        <v>0.0</v>
      </c>
      <c r="AQ421" s="58">
        <v>0.0</v>
      </c>
      <c r="AR421" s="58">
        <v>0.0</v>
      </c>
      <c r="AS421" s="58">
        <v>0.0</v>
      </c>
      <c r="AT421" s="58">
        <v>0.0</v>
      </c>
      <c r="AU421" s="58">
        <v>0.0</v>
      </c>
      <c r="AV421" s="58">
        <v>0.0</v>
      </c>
      <c r="AW421" s="58">
        <v>0.0</v>
      </c>
      <c r="AX421" s="58">
        <v>0.0</v>
      </c>
      <c r="AY421" s="58">
        <v>0.0</v>
      </c>
      <c r="AZ421" s="58">
        <v>0.0</v>
      </c>
      <c r="BA421" s="58">
        <v>0.0</v>
      </c>
      <c r="BB421" s="58">
        <v>0.0</v>
      </c>
      <c r="BC421" s="58" t="s">
        <v>106</v>
      </c>
      <c r="BD421" s="58" t="s">
        <v>163</v>
      </c>
      <c r="BE421" s="58">
        <v>5013.0</v>
      </c>
      <c r="BF421" s="58">
        <v>101.98</v>
      </c>
      <c r="BH421" s="58" t="s">
        <v>107</v>
      </c>
      <c r="BI421" s="58" t="s">
        <v>108</v>
      </c>
      <c r="BN421" s="58" t="s">
        <v>111</v>
      </c>
      <c r="BO421" s="58" t="s">
        <v>112</v>
      </c>
      <c r="BU421" s="72"/>
      <c r="BW421" s="64" t="str">
        <f>if(OR(F421="SALE",F421="REFUNDED"),IFERROR(Vlookup(I421,'Listing SKU - Fill SKU Mapping'!A:C,3,false),"Map"),"")</f>
        <v/>
      </c>
      <c r="BX421" s="64" t="str">
        <f>IF(OR(F421="SALE",F421="REFUNDED")=TRUE,iferror(Vlookup(I421,'Listing SKU - Fill SKU Mapping'!A:B,2,false),"Map"),"")</f>
        <v/>
      </c>
      <c r="BY421" s="64" t="str">
        <f>IF(OR(F421="SALE",F421="REFUNDED")=TRUE,iferror(Vlookup(I421,'Listing SKU - Fill SKU Mapping'!A:D,4,false),"Map"),"")</f>
        <v/>
      </c>
      <c r="BZ421" s="66" t="str">
        <f t="shared" si="1"/>
        <v/>
      </c>
      <c r="CA421" s="64" t="str">
        <f t="shared" si="2"/>
        <v/>
      </c>
      <c r="CB421" s="64" t="str">
        <f t="shared" si="3"/>
        <v/>
      </c>
      <c r="CC421" s="64" t="str">
        <f>if(F421="REFUNDED",iferror(Vlookup(I421,'Listing SKU - Fill SKU Mapping'!A:B,2,false),"Map"),"")</f>
        <v/>
      </c>
      <c r="CD421" s="64" t="str">
        <f>if(F421="REFUNDED",iferror(Vlookup(I421,'Listing SKU - Fill SKU Mapping'!A:C,3,false),"Map"),"")</f>
        <v/>
      </c>
      <c r="CE421" s="64" t="str">
        <f t="shared" si="4"/>
        <v>2025</v>
      </c>
      <c r="CF421" s="64" t="str">
        <f t="shared" si="5"/>
        <v>October</v>
      </c>
      <c r="CG421" s="64" t="str">
        <f t="shared" si="6"/>
        <v/>
      </c>
    </row>
    <row r="422">
      <c r="A422" s="55">
        <v>2.0001E14</v>
      </c>
      <c r="B422" s="56">
        <v>1.0</v>
      </c>
      <c r="C422" s="57">
        <v>1.2903E14</v>
      </c>
      <c r="D422" s="58">
        <v>1.0</v>
      </c>
      <c r="F422" s="59" t="s">
        <v>100</v>
      </c>
      <c r="G422" s="60">
        <v>45950.0</v>
      </c>
      <c r="H422" s="58">
        <v>1.0</v>
      </c>
      <c r="I422" s="58" t="s">
        <v>607</v>
      </c>
      <c r="J422" s="61">
        <v>4.64567112284E11</v>
      </c>
      <c r="K422" s="62" t="s">
        <v>608</v>
      </c>
      <c r="L422" s="62">
        <v>2038710.0</v>
      </c>
      <c r="M422" s="63"/>
      <c r="N422" s="63"/>
      <c r="O422" s="62" t="s">
        <v>536</v>
      </c>
      <c r="P422" s="63"/>
      <c r="Q422" s="63"/>
      <c r="R422" s="62" t="s">
        <v>609</v>
      </c>
      <c r="S422" s="62">
        <v>85705.0</v>
      </c>
      <c r="T422" s="58" t="s">
        <v>105</v>
      </c>
      <c r="U422" s="59">
        <v>104.93</v>
      </c>
      <c r="V422" s="59">
        <v>90.19</v>
      </c>
      <c r="W422" s="58">
        <v>6.79</v>
      </c>
      <c r="X422" s="58">
        <v>7.0</v>
      </c>
      <c r="Y422" s="58">
        <v>10.0</v>
      </c>
      <c r="Z422" s="59">
        <v>96.98</v>
      </c>
      <c r="AA422" s="58">
        <v>0.0</v>
      </c>
      <c r="AB422" s="58">
        <v>0.0</v>
      </c>
      <c r="AC422" s="58">
        <v>0.0</v>
      </c>
      <c r="AD422" s="58">
        <v>0.0</v>
      </c>
      <c r="AE422" s="58">
        <v>0.0</v>
      </c>
      <c r="AF422" s="58">
        <v>0.0</v>
      </c>
      <c r="AG422" s="58">
        <v>0.0</v>
      </c>
      <c r="AH422" s="58">
        <v>0.0</v>
      </c>
      <c r="AI422" s="58">
        <v>0.0</v>
      </c>
      <c r="AJ422" s="58">
        <v>0.0</v>
      </c>
      <c r="AK422" s="58">
        <v>0.0</v>
      </c>
      <c r="AL422" s="58">
        <v>0.0</v>
      </c>
      <c r="AM422" s="58">
        <v>0.0</v>
      </c>
      <c r="AN422" s="58">
        <v>0.0</v>
      </c>
      <c r="AO422" s="58">
        <v>0.0</v>
      </c>
      <c r="AP422" s="58">
        <v>7.95</v>
      </c>
      <c r="AQ422" s="58">
        <v>0.0</v>
      </c>
      <c r="AR422" s="58">
        <v>0.0</v>
      </c>
      <c r="AS422" s="58">
        <v>0.0</v>
      </c>
      <c r="AT422" s="58">
        <v>0.0</v>
      </c>
      <c r="AU422" s="58">
        <v>0.0</v>
      </c>
      <c r="AV422" s="58">
        <v>0.0</v>
      </c>
      <c r="AW422" s="58">
        <v>0.0</v>
      </c>
      <c r="AX422" s="58">
        <v>0.0</v>
      </c>
      <c r="AY422" s="58">
        <v>0.0</v>
      </c>
      <c r="AZ422" s="58">
        <v>0.0</v>
      </c>
      <c r="BA422" s="58">
        <v>0.0</v>
      </c>
      <c r="BB422" s="58">
        <v>7.95</v>
      </c>
      <c r="BC422" s="58" t="s">
        <v>106</v>
      </c>
      <c r="BG422" s="58">
        <v>-9.7</v>
      </c>
      <c r="BH422" s="58" t="s">
        <v>107</v>
      </c>
      <c r="BI422" s="58" t="s">
        <v>108</v>
      </c>
      <c r="BJ422" s="58" t="s">
        <v>109</v>
      </c>
      <c r="BK422" s="58" t="s">
        <v>548</v>
      </c>
      <c r="BN422" s="58" t="s">
        <v>111</v>
      </c>
      <c r="BO422" s="58" t="s">
        <v>112</v>
      </c>
      <c r="BP422" s="58" t="s">
        <v>113</v>
      </c>
      <c r="BQ422" s="58" t="s">
        <v>114</v>
      </c>
      <c r="BR422" s="58">
        <v>2.91</v>
      </c>
      <c r="BU422" s="72"/>
      <c r="BW422" s="64" t="str">
        <f>if(OR(F422="SALE",F422="REFUNDED"),IFERROR(Vlookup(I422,'Listing SKU - Fill SKU Mapping'!A:C,3,false),"Map"),"")</f>
        <v>Keystone</v>
      </c>
      <c r="BX422" s="64" t="str">
        <f>IF(OR(F422="SALE",F422="REFUNDED")=TRUE,iferror(Vlookup(I422,'Listing SKU - Fill SKU Mapping'!A:B,2,false),"Map"),"")</f>
        <v>IMP387BLK</v>
      </c>
      <c r="BY422" s="64">
        <f>IF(OR(F422="SALE",F422="REFUNDED")=TRUE,iferror(Vlookup(I422,'Listing SKU - Fill SKU Mapping'!A:D,4,false),"Map"),"")</f>
        <v>46.94</v>
      </c>
      <c r="BZ422" s="66">
        <f t="shared" si="1"/>
        <v>11.5</v>
      </c>
      <c r="CA422" s="66">
        <f t="shared" si="2"/>
        <v>58.44</v>
      </c>
      <c r="CB422" s="66">
        <f t="shared" si="3"/>
        <v>31.75</v>
      </c>
      <c r="CC422" s="64" t="str">
        <f>if(F422="REFUNDED",iferror(Vlookup(I422,'Listing SKU - Fill SKU Mapping'!A:B,2,false),"Map"),"")</f>
        <v/>
      </c>
      <c r="CD422" s="64" t="str">
        <f>if(F422="REFUNDED",iferror(Vlookup(I422,'Listing SKU - Fill SKU Mapping'!A:C,3,false),"Map"),"")</f>
        <v/>
      </c>
      <c r="CE422" s="64" t="str">
        <f t="shared" si="4"/>
        <v>2025</v>
      </c>
      <c r="CF422" s="64" t="str">
        <f t="shared" si="5"/>
        <v>October</v>
      </c>
      <c r="CG422" s="64" t="str">
        <f t="shared" si="6"/>
        <v/>
      </c>
    </row>
    <row r="423">
      <c r="A423" s="55">
        <v>2.0001E14</v>
      </c>
      <c r="B423" s="56">
        <v>1.0</v>
      </c>
      <c r="C423" s="57">
        <v>1.2903E14</v>
      </c>
      <c r="D423" s="58">
        <v>1.0</v>
      </c>
      <c r="F423" s="59" t="s">
        <v>158</v>
      </c>
      <c r="G423" s="60">
        <v>45949.0</v>
      </c>
      <c r="H423" s="58">
        <v>1.0</v>
      </c>
      <c r="I423" s="58" t="s">
        <v>393</v>
      </c>
      <c r="J423" s="61">
        <v>4.67129958375E11</v>
      </c>
      <c r="K423" s="62" t="s">
        <v>610</v>
      </c>
      <c r="L423" s="62">
        <v>2038710.0</v>
      </c>
      <c r="M423" s="63"/>
      <c r="N423" s="63"/>
      <c r="O423" s="62" t="s">
        <v>166</v>
      </c>
      <c r="P423" s="63"/>
      <c r="Q423" s="63"/>
      <c r="R423" s="62" t="s">
        <v>611</v>
      </c>
      <c r="S423" s="62">
        <v>20181.0</v>
      </c>
      <c r="T423" s="58" t="s">
        <v>105</v>
      </c>
      <c r="U423" s="59">
        <v>0.0</v>
      </c>
      <c r="V423" s="59">
        <v>-8.89</v>
      </c>
      <c r="W423" s="58">
        <v>0.0</v>
      </c>
      <c r="X423" s="58">
        <v>0.0</v>
      </c>
      <c r="Z423" s="59">
        <v>0.0</v>
      </c>
      <c r="AA423" s="58">
        <v>0.0</v>
      </c>
      <c r="AB423" s="58">
        <v>0.0</v>
      </c>
      <c r="AC423" s="58">
        <v>0.0</v>
      </c>
      <c r="AD423" s="58">
        <v>0.0</v>
      </c>
      <c r="AE423" s="58">
        <v>0.0</v>
      </c>
      <c r="AF423" s="58">
        <v>0.0</v>
      </c>
      <c r="AG423" s="58">
        <v>0.0</v>
      </c>
      <c r="AH423" s="58">
        <v>0.0</v>
      </c>
      <c r="AI423" s="58">
        <v>0.0</v>
      </c>
      <c r="AJ423" s="58">
        <v>0.0</v>
      </c>
      <c r="AK423" s="58">
        <v>0.0</v>
      </c>
      <c r="AL423" s="58">
        <v>0.0</v>
      </c>
      <c r="AM423" s="58">
        <v>0.0</v>
      </c>
      <c r="AN423" s="58">
        <v>0.0</v>
      </c>
      <c r="AO423" s="58">
        <v>0.0</v>
      </c>
      <c r="AP423" s="58">
        <v>0.0</v>
      </c>
      <c r="AQ423" s="58">
        <v>0.0</v>
      </c>
      <c r="AR423" s="58">
        <v>0.0</v>
      </c>
      <c r="AS423" s="58">
        <v>0.0</v>
      </c>
      <c r="AT423" s="58">
        <v>0.0</v>
      </c>
      <c r="AU423" s="58">
        <v>0.0</v>
      </c>
      <c r="AV423" s="58">
        <v>0.0</v>
      </c>
      <c r="AW423" s="58">
        <v>0.0</v>
      </c>
      <c r="AX423" s="58">
        <v>0.0</v>
      </c>
      <c r="AY423" s="58">
        <v>0.0</v>
      </c>
      <c r="AZ423" s="58">
        <v>0.0</v>
      </c>
      <c r="BA423" s="58">
        <v>0.0</v>
      </c>
      <c r="BB423" s="58">
        <v>0.0</v>
      </c>
      <c r="BC423" s="58" t="s">
        <v>106</v>
      </c>
      <c r="BD423" s="58" t="s">
        <v>163</v>
      </c>
      <c r="BE423" s="58">
        <v>5013.0</v>
      </c>
      <c r="BH423" s="58" t="s">
        <v>107</v>
      </c>
      <c r="BI423" s="58" t="s">
        <v>108</v>
      </c>
      <c r="BN423" s="58" t="s">
        <v>111</v>
      </c>
      <c r="BO423" s="58" t="s">
        <v>112</v>
      </c>
      <c r="BU423" s="72"/>
      <c r="BW423" s="64" t="str">
        <f>if(OR(F423="SALE",F423="REFUNDED"),IFERROR(Vlookup(I423,'Listing SKU - Fill SKU Mapping'!A:C,3,false),"Map"),"")</f>
        <v/>
      </c>
      <c r="BX423" s="64" t="str">
        <f>IF(OR(F423="SALE",F423="REFUNDED")=TRUE,iferror(Vlookup(I423,'Listing SKU - Fill SKU Mapping'!A:B,2,false),"Map"),"")</f>
        <v/>
      </c>
      <c r="BY423" s="64" t="str">
        <f>IF(OR(F423="SALE",F423="REFUNDED")=TRUE,iferror(Vlookup(I423,'Listing SKU - Fill SKU Mapping'!A:D,4,false),"Map"),"")</f>
        <v/>
      </c>
      <c r="BZ423" s="66" t="str">
        <f t="shared" si="1"/>
        <v/>
      </c>
      <c r="CA423" s="64" t="str">
        <f t="shared" si="2"/>
        <v/>
      </c>
      <c r="CB423" s="64" t="str">
        <f t="shared" si="3"/>
        <v/>
      </c>
      <c r="CC423" s="64" t="str">
        <f>if(F423="REFUNDED",iferror(Vlookup(I423,'Listing SKU - Fill SKU Mapping'!A:B,2,false),"Map"),"")</f>
        <v/>
      </c>
      <c r="CD423" s="64" t="str">
        <f>if(F423="REFUNDED",iferror(Vlookup(I423,'Listing SKU - Fill SKU Mapping'!A:C,3,false),"Map"),"")</f>
        <v/>
      </c>
      <c r="CE423" s="64" t="str">
        <f t="shared" si="4"/>
        <v>2025</v>
      </c>
      <c r="CF423" s="64" t="str">
        <f t="shared" si="5"/>
        <v>October</v>
      </c>
      <c r="CG423" s="64" t="str">
        <f t="shared" si="6"/>
        <v/>
      </c>
    </row>
    <row r="424">
      <c r="A424" s="55">
        <v>2.0001E14</v>
      </c>
      <c r="B424" s="56">
        <v>1.0</v>
      </c>
      <c r="C424" s="57">
        <v>1.2903E14</v>
      </c>
      <c r="D424" s="58">
        <v>1.0</v>
      </c>
      <c r="F424" s="59" t="s">
        <v>100</v>
      </c>
      <c r="G424" s="60">
        <v>45971.0</v>
      </c>
      <c r="H424" s="58">
        <v>1.0</v>
      </c>
      <c r="I424" s="58" t="s">
        <v>380</v>
      </c>
      <c r="J424" s="61">
        <v>4.66885054123E11</v>
      </c>
      <c r="K424" s="62" t="s">
        <v>612</v>
      </c>
      <c r="L424" s="62">
        <v>2038710.0</v>
      </c>
      <c r="M424" s="63"/>
      <c r="N424" s="63"/>
      <c r="O424" s="62" t="s">
        <v>211</v>
      </c>
      <c r="P424" s="63"/>
      <c r="Q424" s="63"/>
      <c r="R424" s="62" t="s">
        <v>613</v>
      </c>
      <c r="S424" s="62">
        <v>35058.0</v>
      </c>
      <c r="T424" s="58" t="s">
        <v>105</v>
      </c>
      <c r="U424" s="59">
        <v>65.86</v>
      </c>
      <c r="V424" s="59">
        <v>65.08</v>
      </c>
      <c r="W424" s="58">
        <v>4.9</v>
      </c>
      <c r="X424" s="58">
        <v>7.0</v>
      </c>
      <c r="Y424" s="58">
        <v>10.0</v>
      </c>
      <c r="Z424" s="59">
        <v>60.98</v>
      </c>
      <c r="AA424" s="58">
        <v>0.0</v>
      </c>
      <c r="AB424" s="58">
        <v>0.0</v>
      </c>
      <c r="AC424" s="58">
        <v>0.0</v>
      </c>
      <c r="AD424" s="58">
        <v>0.0</v>
      </c>
      <c r="AE424" s="58">
        <v>0.0</v>
      </c>
      <c r="AF424" s="58">
        <v>0.0</v>
      </c>
      <c r="AG424" s="58">
        <v>0.0</v>
      </c>
      <c r="AH424" s="58">
        <v>0.0</v>
      </c>
      <c r="AI424" s="58">
        <v>0.0</v>
      </c>
      <c r="AJ424" s="58">
        <v>0.0</v>
      </c>
      <c r="AK424" s="58">
        <v>0.0</v>
      </c>
      <c r="AL424" s="58">
        <v>0.0</v>
      </c>
      <c r="AM424" s="58">
        <v>0.0</v>
      </c>
      <c r="AN424" s="58">
        <v>0.0</v>
      </c>
      <c r="AO424" s="58">
        <v>0.0</v>
      </c>
      <c r="AP424" s="58">
        <v>4.88</v>
      </c>
      <c r="AQ424" s="58">
        <v>0.0</v>
      </c>
      <c r="AR424" s="58">
        <v>0.0</v>
      </c>
      <c r="AS424" s="58">
        <v>0.0</v>
      </c>
      <c r="AT424" s="58">
        <v>0.0</v>
      </c>
      <c r="AU424" s="58">
        <v>0.0</v>
      </c>
      <c r="AV424" s="58">
        <v>0.0</v>
      </c>
      <c r="AW424" s="58">
        <v>0.0</v>
      </c>
      <c r="AX424" s="58">
        <v>0.0</v>
      </c>
      <c r="AY424" s="58">
        <v>0.0</v>
      </c>
      <c r="AZ424" s="58">
        <v>0.0</v>
      </c>
      <c r="BA424" s="58">
        <v>0.0</v>
      </c>
      <c r="BB424" s="58">
        <v>4.88</v>
      </c>
      <c r="BC424" s="58" t="s">
        <v>106</v>
      </c>
      <c r="BF424" s="58">
        <v>69.98</v>
      </c>
      <c r="BG424" s="58">
        <v>-7.0</v>
      </c>
      <c r="BH424" s="58" t="s">
        <v>107</v>
      </c>
      <c r="BI424" s="58" t="s">
        <v>108</v>
      </c>
      <c r="BJ424" s="58" t="s">
        <v>109</v>
      </c>
      <c r="BK424" s="58" t="s">
        <v>614</v>
      </c>
      <c r="BN424" s="58" t="s">
        <v>111</v>
      </c>
      <c r="BO424" s="58" t="s">
        <v>112</v>
      </c>
      <c r="BP424" s="58" t="s">
        <v>113</v>
      </c>
      <c r="BQ424" s="58" t="s">
        <v>317</v>
      </c>
      <c r="BR424" s="58">
        <v>2.1</v>
      </c>
      <c r="BT424" s="58">
        <v>-9.0</v>
      </c>
      <c r="BU424" s="73" t="s">
        <v>318</v>
      </c>
      <c r="BV424" s="73"/>
      <c r="BW424" s="64" t="str">
        <f>if(OR(F424="SALE",F424="REFUNDED"),IFERROR(Vlookup(I424,'Listing SKU - Fill SKU Mapping'!A:C,3,false),"Map"),"")</f>
        <v>Keystone</v>
      </c>
      <c r="BX424" s="64" t="str">
        <f>IF(OR(F424="SALE",F424="REFUNDED")=TRUE,iferror(Vlookup(I424,'Listing SKU - Fill SKU Mapping'!A:B,2,false),"Map"),"")</f>
        <v>52816S</v>
      </c>
      <c r="BY424" s="64">
        <f>IF(OR(F424="SALE",F424="REFUNDED")=TRUE,iferror(Vlookup(I424,'Listing SKU - Fill SKU Mapping'!A:D,4,false),"Map"),"")</f>
        <v>23.27</v>
      </c>
      <c r="BZ424" s="66">
        <f t="shared" si="1"/>
        <v>11.5</v>
      </c>
      <c r="CA424" s="66">
        <f t="shared" si="2"/>
        <v>34.77</v>
      </c>
      <c r="CB424" s="66">
        <f t="shared" si="3"/>
        <v>30.31</v>
      </c>
      <c r="CC424" s="64" t="str">
        <f>if(F424="REFUNDED",iferror(Vlookup(I424,'Listing SKU - Fill SKU Mapping'!A:B,2,false),"Map"),"")</f>
        <v/>
      </c>
      <c r="CD424" s="64" t="str">
        <f>if(F424="REFUNDED",iferror(Vlookup(I424,'Listing SKU - Fill SKU Mapping'!A:C,3,false),"Map"),"")</f>
        <v/>
      </c>
      <c r="CE424" s="64" t="str">
        <f t="shared" si="4"/>
        <v>2025</v>
      </c>
      <c r="CF424" s="64" t="str">
        <f t="shared" si="5"/>
        <v>November</v>
      </c>
      <c r="CG424" s="64" t="str">
        <f t="shared" si="6"/>
        <v/>
      </c>
    </row>
    <row r="425">
      <c r="A425" s="55">
        <v>2.0001E14</v>
      </c>
      <c r="B425" s="56">
        <v>1.0</v>
      </c>
      <c r="C425" s="57">
        <v>1.2903E14</v>
      </c>
      <c r="D425" s="58">
        <v>1.0</v>
      </c>
      <c r="F425" s="59" t="s">
        <v>100</v>
      </c>
      <c r="G425" s="60">
        <v>45965.0</v>
      </c>
      <c r="H425" s="58">
        <v>1.0</v>
      </c>
      <c r="I425" s="58" t="s">
        <v>615</v>
      </c>
      <c r="J425" s="61">
        <v>4.607762392E11</v>
      </c>
      <c r="K425" s="62" t="s">
        <v>616</v>
      </c>
      <c r="L425" s="62">
        <v>2038710.0</v>
      </c>
      <c r="M425" s="63"/>
      <c r="N425" s="63"/>
      <c r="O425" s="62" t="s">
        <v>192</v>
      </c>
      <c r="P425" s="63"/>
      <c r="Q425" s="63"/>
      <c r="R425" s="62" t="s">
        <v>617</v>
      </c>
      <c r="S425" s="62">
        <v>54616.0</v>
      </c>
      <c r="T425" s="58" t="s">
        <v>105</v>
      </c>
      <c r="U425" s="59">
        <v>113.92</v>
      </c>
      <c r="V425" s="59">
        <v>100.42</v>
      </c>
      <c r="W425" s="58">
        <v>7.56</v>
      </c>
      <c r="X425" s="58">
        <v>7.0</v>
      </c>
      <c r="Y425" s="58">
        <v>10.0</v>
      </c>
      <c r="Z425" s="59">
        <v>107.98</v>
      </c>
      <c r="AA425" s="58">
        <v>0.0</v>
      </c>
      <c r="AB425" s="58">
        <v>0.0</v>
      </c>
      <c r="AC425" s="58">
        <v>0.0</v>
      </c>
      <c r="AD425" s="58">
        <v>0.0</v>
      </c>
      <c r="AE425" s="58">
        <v>0.0</v>
      </c>
      <c r="AF425" s="58">
        <v>0.0</v>
      </c>
      <c r="AG425" s="58">
        <v>0.0</v>
      </c>
      <c r="AH425" s="58">
        <v>0.0</v>
      </c>
      <c r="AI425" s="58">
        <v>0.0</v>
      </c>
      <c r="AJ425" s="58">
        <v>0.0</v>
      </c>
      <c r="AK425" s="58">
        <v>0.0</v>
      </c>
      <c r="AL425" s="58">
        <v>0.0</v>
      </c>
      <c r="AM425" s="58">
        <v>0.0</v>
      </c>
      <c r="AN425" s="58">
        <v>0.0</v>
      </c>
      <c r="AO425" s="58">
        <v>0.0</v>
      </c>
      <c r="AP425" s="58">
        <v>5.94</v>
      </c>
      <c r="AQ425" s="58">
        <v>0.0</v>
      </c>
      <c r="AR425" s="58">
        <v>0.0</v>
      </c>
      <c r="AS425" s="58">
        <v>0.0</v>
      </c>
      <c r="AT425" s="58">
        <v>0.0</v>
      </c>
      <c r="AU425" s="58">
        <v>0.0</v>
      </c>
      <c r="AV425" s="58">
        <v>0.0</v>
      </c>
      <c r="AW425" s="58">
        <v>0.0</v>
      </c>
      <c r="AX425" s="58">
        <v>0.0</v>
      </c>
      <c r="AY425" s="58">
        <v>0.0</v>
      </c>
      <c r="AZ425" s="58">
        <v>0.0</v>
      </c>
      <c r="BA425" s="58">
        <v>0.0</v>
      </c>
      <c r="BB425" s="58">
        <v>5.94</v>
      </c>
      <c r="BC425" s="58" t="s">
        <v>106</v>
      </c>
      <c r="BG425" s="58">
        <v>-10.8</v>
      </c>
      <c r="BH425" s="58" t="s">
        <v>107</v>
      </c>
      <c r="BI425" s="58" t="s">
        <v>108</v>
      </c>
      <c r="BJ425" s="58" t="s">
        <v>109</v>
      </c>
      <c r="BK425" s="58" t="s">
        <v>551</v>
      </c>
      <c r="BN425" s="58" t="s">
        <v>111</v>
      </c>
      <c r="BO425" s="58" t="s">
        <v>112</v>
      </c>
      <c r="BP425" s="58" t="s">
        <v>113</v>
      </c>
      <c r="BQ425" s="58" t="s">
        <v>114</v>
      </c>
      <c r="BR425" s="58">
        <v>3.24</v>
      </c>
      <c r="BU425" s="72"/>
      <c r="BV425" s="72"/>
      <c r="BW425" s="64" t="str">
        <f>if(OR(F425="SALE",F425="REFUNDED"),IFERROR(Vlookup(I425,'Listing SKU - Fill SKU Mapping'!A:C,3,false),"Map"),"")</f>
        <v>Keystone</v>
      </c>
      <c r="BX425" s="64" t="str">
        <f>IF(OR(F425="SALE",F425="REFUNDED")=TRUE,iferror(Vlookup(I425,'Listing SKU - Fill SKU Mapping'!A:B,2,false),"Map"),"")</f>
        <v>IMP445BLK</v>
      </c>
      <c r="BY425" s="64">
        <f>IF(OR(F425="SALE",F425="REFUNDED")=TRUE,iferror(Vlookup(I425,'Listing SKU - Fill SKU Mapping'!A:D,4,false),"Map"),"")</f>
        <v>49.71</v>
      </c>
      <c r="BZ425" s="66">
        <f t="shared" si="1"/>
        <v>11.5</v>
      </c>
      <c r="CA425" s="66">
        <f t="shared" si="2"/>
        <v>61.21</v>
      </c>
      <c r="CB425" s="66">
        <f t="shared" si="3"/>
        <v>39.21</v>
      </c>
      <c r="CC425" s="64" t="str">
        <f>if(F425="REFUNDED",iferror(Vlookup(I425,'Listing SKU - Fill SKU Mapping'!A:B,2,false),"Map"),"")</f>
        <v/>
      </c>
      <c r="CD425" s="64" t="str">
        <f>if(F425="REFUNDED",iferror(Vlookup(I425,'Listing SKU - Fill SKU Mapping'!A:C,3,false),"Map"),"")</f>
        <v/>
      </c>
      <c r="CE425" s="64" t="str">
        <f t="shared" si="4"/>
        <v>2025</v>
      </c>
      <c r="CF425" s="64" t="str">
        <f t="shared" si="5"/>
        <v>November</v>
      </c>
      <c r="CG425" s="64" t="str">
        <f t="shared" si="6"/>
        <v/>
      </c>
    </row>
    <row r="426">
      <c r="A426" s="55">
        <v>2.0001E14</v>
      </c>
      <c r="B426" s="56">
        <v>1.0</v>
      </c>
      <c r="C426" s="57">
        <v>1.2903E14</v>
      </c>
      <c r="D426" s="58">
        <v>1.0</v>
      </c>
      <c r="F426" s="59" t="s">
        <v>100</v>
      </c>
      <c r="G426" s="60">
        <v>45965.0</v>
      </c>
      <c r="H426" s="58">
        <v>1.0</v>
      </c>
      <c r="I426" s="58" t="s">
        <v>355</v>
      </c>
      <c r="J426" s="61">
        <v>4.67129922918E11</v>
      </c>
      <c r="K426" s="62" t="s">
        <v>618</v>
      </c>
      <c r="L426" s="62">
        <v>2038710.0</v>
      </c>
      <c r="M426" s="63"/>
      <c r="N426" s="63"/>
      <c r="O426" s="62" t="s">
        <v>103</v>
      </c>
      <c r="P426" s="63"/>
      <c r="Q426" s="63"/>
      <c r="R426" s="62" t="s">
        <v>619</v>
      </c>
      <c r="S426" s="62">
        <v>34677.0</v>
      </c>
      <c r="T426" s="58" t="s">
        <v>105</v>
      </c>
      <c r="U426" s="59">
        <v>86.56</v>
      </c>
      <c r="V426" s="59">
        <v>84.61</v>
      </c>
      <c r="W426" s="58">
        <v>6.37</v>
      </c>
      <c r="X426" s="58">
        <v>7.0</v>
      </c>
      <c r="Y426" s="58">
        <v>10.0</v>
      </c>
      <c r="Z426" s="59">
        <v>80.9</v>
      </c>
      <c r="AA426" s="58">
        <v>0.0</v>
      </c>
      <c r="AB426" s="58">
        <v>0.0</v>
      </c>
      <c r="AC426" s="58">
        <v>0.0</v>
      </c>
      <c r="AD426" s="58">
        <v>0.0</v>
      </c>
      <c r="AE426" s="58">
        <v>0.0</v>
      </c>
      <c r="AF426" s="58">
        <v>0.0</v>
      </c>
      <c r="AG426" s="58">
        <v>0.0</v>
      </c>
      <c r="AH426" s="58">
        <v>0.0</v>
      </c>
      <c r="AI426" s="58">
        <v>0.0</v>
      </c>
      <c r="AJ426" s="58">
        <v>0.0</v>
      </c>
      <c r="AK426" s="58">
        <v>0.0</v>
      </c>
      <c r="AL426" s="58">
        <v>0.0</v>
      </c>
      <c r="AM426" s="58">
        <v>0.0</v>
      </c>
      <c r="AN426" s="58">
        <v>0.0</v>
      </c>
      <c r="AO426" s="58">
        <v>0.0</v>
      </c>
      <c r="AP426" s="58">
        <v>5.66</v>
      </c>
      <c r="AQ426" s="58">
        <v>0.0</v>
      </c>
      <c r="AR426" s="58">
        <v>0.0</v>
      </c>
      <c r="AS426" s="58">
        <v>0.0</v>
      </c>
      <c r="AT426" s="58">
        <v>0.0</v>
      </c>
      <c r="AU426" s="58">
        <v>0.0</v>
      </c>
      <c r="AV426" s="58">
        <v>0.0</v>
      </c>
      <c r="AW426" s="58">
        <v>0.0</v>
      </c>
      <c r="AX426" s="58">
        <v>0.0</v>
      </c>
      <c r="AY426" s="58">
        <v>0.0</v>
      </c>
      <c r="AZ426" s="58">
        <v>0.0</v>
      </c>
      <c r="BA426" s="58">
        <v>0.0</v>
      </c>
      <c r="BB426" s="58">
        <v>5.66</v>
      </c>
      <c r="BC426" s="58" t="s">
        <v>106</v>
      </c>
      <c r="BF426" s="58">
        <v>90.98</v>
      </c>
      <c r="BG426" s="58">
        <v>-9.1</v>
      </c>
      <c r="BH426" s="58" t="s">
        <v>107</v>
      </c>
      <c r="BI426" s="58" t="s">
        <v>108</v>
      </c>
      <c r="BJ426" s="58" t="s">
        <v>109</v>
      </c>
      <c r="BK426" s="58" t="s">
        <v>551</v>
      </c>
      <c r="BN426" s="58" t="s">
        <v>111</v>
      </c>
      <c r="BO426" s="58" t="s">
        <v>112</v>
      </c>
      <c r="BP426" s="58" t="s">
        <v>113</v>
      </c>
      <c r="BQ426" s="58" t="s">
        <v>317</v>
      </c>
      <c r="BR426" s="58">
        <v>2.73</v>
      </c>
      <c r="BT426" s="58">
        <v>-10.08</v>
      </c>
      <c r="BU426" s="73" t="s">
        <v>318</v>
      </c>
      <c r="BV426" s="73"/>
      <c r="BW426" s="64" t="str">
        <f>if(OR(F426="SALE",F426="REFUNDED"),IFERROR(Vlookup(I426,'Listing SKU - Fill SKU Mapping'!A:C,3,false),"Map"),"")</f>
        <v>Keystone</v>
      </c>
      <c r="BX426" s="64" t="str">
        <f>IF(OR(F426="SALE",F426="REFUNDED")=TRUE,iferror(Vlookup(I426,'Listing SKU - Fill SKU Mapping'!A:B,2,false),"Map"),"")</f>
        <v>45717S</v>
      </c>
      <c r="BY426" s="64">
        <f>IF(OR(F426="SALE",F426="REFUNDED")=TRUE,iferror(Vlookup(I426,'Listing SKU - Fill SKU Mapping'!A:D,4,false),"Map"),"")</f>
        <v>36.69</v>
      </c>
      <c r="BZ426" s="66">
        <f t="shared" si="1"/>
        <v>11.5</v>
      </c>
      <c r="CA426" s="66">
        <f t="shared" si="2"/>
        <v>48.19</v>
      </c>
      <c r="CB426" s="66">
        <f t="shared" si="3"/>
        <v>36.42</v>
      </c>
      <c r="CC426" s="64" t="str">
        <f>if(F426="REFUNDED",iferror(Vlookup(I426,'Listing SKU - Fill SKU Mapping'!A:B,2,false),"Map"),"")</f>
        <v/>
      </c>
      <c r="CD426" s="64" t="str">
        <f>if(F426="REFUNDED",iferror(Vlookup(I426,'Listing SKU - Fill SKU Mapping'!A:C,3,false),"Map"),"")</f>
        <v/>
      </c>
      <c r="CE426" s="64" t="str">
        <f t="shared" si="4"/>
        <v>2025</v>
      </c>
      <c r="CF426" s="64" t="str">
        <f t="shared" si="5"/>
        <v>November</v>
      </c>
      <c r="CG426" s="64" t="str">
        <f t="shared" si="6"/>
        <v/>
      </c>
    </row>
    <row r="427">
      <c r="A427" s="55">
        <v>2.0001E14</v>
      </c>
      <c r="B427" s="56">
        <v>1.0</v>
      </c>
      <c r="C427" s="57">
        <v>1.2903E14</v>
      </c>
      <c r="D427" s="58">
        <v>1.0</v>
      </c>
      <c r="F427" s="59" t="s">
        <v>100</v>
      </c>
      <c r="G427" s="60">
        <v>45975.0</v>
      </c>
      <c r="H427" s="58">
        <v>1.0</v>
      </c>
      <c r="I427" s="58" t="s">
        <v>620</v>
      </c>
      <c r="J427" s="61">
        <v>4.65595340922E11</v>
      </c>
      <c r="K427" s="62" t="s">
        <v>621</v>
      </c>
      <c r="L427" s="62">
        <v>2038710.0</v>
      </c>
      <c r="M427" s="63"/>
      <c r="N427" s="63"/>
      <c r="O427" s="62" t="s">
        <v>137</v>
      </c>
      <c r="P427" s="63"/>
      <c r="Q427" s="63"/>
      <c r="R427" s="62" t="s">
        <v>622</v>
      </c>
      <c r="S427" s="62">
        <v>45225.0</v>
      </c>
      <c r="T427" s="58" t="s">
        <v>105</v>
      </c>
      <c r="U427" s="59">
        <v>103.47</v>
      </c>
      <c r="V427" s="59">
        <v>89.26</v>
      </c>
      <c r="W427" s="58">
        <v>6.72</v>
      </c>
      <c r="X427" s="58">
        <v>7.0</v>
      </c>
      <c r="Y427" s="58">
        <v>10.0</v>
      </c>
      <c r="Z427" s="59">
        <v>95.98</v>
      </c>
      <c r="AA427" s="58">
        <v>0.0</v>
      </c>
      <c r="AB427" s="58">
        <v>0.0</v>
      </c>
      <c r="AC427" s="58">
        <v>0.0</v>
      </c>
      <c r="AD427" s="58">
        <v>0.0</v>
      </c>
      <c r="AE427" s="58">
        <v>0.0</v>
      </c>
      <c r="AF427" s="58">
        <v>0.0</v>
      </c>
      <c r="AG427" s="58">
        <v>0.0</v>
      </c>
      <c r="AH427" s="58">
        <v>0.0</v>
      </c>
      <c r="AI427" s="58">
        <v>0.0</v>
      </c>
      <c r="AJ427" s="58">
        <v>0.0</v>
      </c>
      <c r="AK427" s="58">
        <v>0.0</v>
      </c>
      <c r="AL427" s="58">
        <v>0.0</v>
      </c>
      <c r="AM427" s="58">
        <v>0.0</v>
      </c>
      <c r="AN427" s="58">
        <v>0.0</v>
      </c>
      <c r="AO427" s="58">
        <v>0.0</v>
      </c>
      <c r="AP427" s="58">
        <v>7.49</v>
      </c>
      <c r="AQ427" s="58">
        <v>0.0</v>
      </c>
      <c r="AR427" s="58">
        <v>0.0</v>
      </c>
      <c r="AS427" s="58">
        <v>0.0</v>
      </c>
      <c r="AT427" s="58">
        <v>0.0</v>
      </c>
      <c r="AU427" s="58">
        <v>0.0</v>
      </c>
      <c r="AV427" s="58">
        <v>0.0</v>
      </c>
      <c r="AW427" s="58">
        <v>0.0</v>
      </c>
      <c r="AX427" s="58">
        <v>0.0</v>
      </c>
      <c r="AY427" s="58">
        <v>0.0</v>
      </c>
      <c r="AZ427" s="58">
        <v>0.0</v>
      </c>
      <c r="BA427" s="58">
        <v>0.0</v>
      </c>
      <c r="BB427" s="58">
        <v>7.49</v>
      </c>
      <c r="BC427" s="58" t="s">
        <v>106</v>
      </c>
      <c r="BG427" s="58">
        <v>-9.6</v>
      </c>
      <c r="BH427" s="58" t="s">
        <v>107</v>
      </c>
      <c r="BI427" s="58" t="s">
        <v>108</v>
      </c>
      <c r="BJ427" s="58" t="s">
        <v>109</v>
      </c>
      <c r="BK427" s="58" t="s">
        <v>623</v>
      </c>
      <c r="BN427" s="58" t="s">
        <v>111</v>
      </c>
      <c r="BO427" s="58" t="s">
        <v>112</v>
      </c>
      <c r="BP427" s="58" t="s">
        <v>113</v>
      </c>
      <c r="BQ427" s="58" t="s">
        <v>114</v>
      </c>
      <c r="BR427" s="58">
        <v>2.88</v>
      </c>
      <c r="BU427" s="72"/>
      <c r="BV427" s="72"/>
      <c r="BW427" s="64" t="str">
        <f>if(OR(F427="SALE",F427="REFUNDED"),IFERROR(Vlookup(I427,'Listing SKU - Fill SKU Mapping'!A:C,3,false),"Map"),"")</f>
        <v>Keystone</v>
      </c>
      <c r="BX427" s="64" t="str">
        <f>IF(OR(F427="SALE",F427="REFUNDED")=TRUE,iferror(Vlookup(I427,'Listing SKU - Fill SKU Mapping'!A:B,2,false),"Map"),"")</f>
        <v>IMP467BLK</v>
      </c>
      <c r="BY427" s="64">
        <f>IF(OR(F427="SALE",F427="REFUNDED")=TRUE,iferror(Vlookup(I427,'Listing SKU - Fill SKU Mapping'!A:D,4,false),"Map"),"")</f>
        <v>46.16</v>
      </c>
      <c r="BZ427" s="66">
        <f t="shared" si="1"/>
        <v>11.5</v>
      </c>
      <c r="CA427" s="66">
        <f t="shared" si="2"/>
        <v>57.66</v>
      </c>
      <c r="CB427" s="66">
        <f t="shared" si="3"/>
        <v>31.6</v>
      </c>
      <c r="CC427" s="64" t="str">
        <f>if(F427="REFUNDED",iferror(Vlookup(I427,'Listing SKU - Fill SKU Mapping'!A:B,2,false),"Map"),"")</f>
        <v/>
      </c>
      <c r="CD427" s="64" t="str">
        <f>if(F427="REFUNDED",iferror(Vlookup(I427,'Listing SKU - Fill SKU Mapping'!A:C,3,false),"Map"),"")</f>
        <v/>
      </c>
      <c r="CE427" s="64" t="str">
        <f t="shared" si="4"/>
        <v>2025</v>
      </c>
      <c r="CF427" s="64" t="str">
        <f t="shared" si="5"/>
        <v>November</v>
      </c>
      <c r="CG427" s="64" t="str">
        <f t="shared" si="6"/>
        <v/>
      </c>
    </row>
    <row r="428">
      <c r="A428" s="55">
        <v>2.0001E14</v>
      </c>
      <c r="B428" s="56">
        <v>1.0</v>
      </c>
      <c r="C428" s="57">
        <v>1.2903E14</v>
      </c>
      <c r="D428" s="58">
        <v>1.0</v>
      </c>
      <c r="F428" s="59" t="s">
        <v>100</v>
      </c>
      <c r="G428" s="60">
        <v>45972.0</v>
      </c>
      <c r="H428" s="58">
        <v>1.0</v>
      </c>
      <c r="I428" s="58" t="s">
        <v>374</v>
      </c>
      <c r="J428" s="61">
        <v>4.67129946778E11</v>
      </c>
      <c r="K428" s="62" t="s">
        <v>624</v>
      </c>
      <c r="L428" s="62">
        <v>2038710.0</v>
      </c>
      <c r="M428" s="63"/>
      <c r="N428" s="63"/>
      <c r="O428" s="62" t="s">
        <v>507</v>
      </c>
      <c r="P428" s="63"/>
      <c r="Q428" s="63"/>
      <c r="R428" s="62" t="s">
        <v>625</v>
      </c>
      <c r="S428" s="62">
        <v>99004.0</v>
      </c>
      <c r="T428" s="58" t="s">
        <v>105</v>
      </c>
      <c r="U428" s="59">
        <v>62.05</v>
      </c>
      <c r="V428" s="59">
        <v>52.99</v>
      </c>
      <c r="W428" s="58">
        <v>3.99</v>
      </c>
      <c r="X428" s="58">
        <v>7.0</v>
      </c>
      <c r="Y428" s="58">
        <v>10.0</v>
      </c>
      <c r="Z428" s="59">
        <v>56.98</v>
      </c>
      <c r="AA428" s="58">
        <v>0.0</v>
      </c>
      <c r="AB428" s="58">
        <v>0.0</v>
      </c>
      <c r="AC428" s="58">
        <v>0.0</v>
      </c>
      <c r="AD428" s="58">
        <v>0.0</v>
      </c>
      <c r="AE428" s="58">
        <v>0.0</v>
      </c>
      <c r="AF428" s="58">
        <v>0.0</v>
      </c>
      <c r="AG428" s="58">
        <v>0.0</v>
      </c>
      <c r="AH428" s="58">
        <v>0.0</v>
      </c>
      <c r="AI428" s="58">
        <v>0.0</v>
      </c>
      <c r="AJ428" s="58">
        <v>0.0</v>
      </c>
      <c r="AK428" s="58">
        <v>0.0</v>
      </c>
      <c r="AL428" s="58">
        <v>0.0</v>
      </c>
      <c r="AM428" s="58">
        <v>0.0</v>
      </c>
      <c r="AN428" s="58">
        <v>0.0</v>
      </c>
      <c r="AO428" s="58">
        <v>0.0</v>
      </c>
      <c r="AP428" s="58">
        <v>5.07</v>
      </c>
      <c r="AQ428" s="58">
        <v>0.0</v>
      </c>
      <c r="AR428" s="58">
        <v>0.0</v>
      </c>
      <c r="AS428" s="58">
        <v>0.0</v>
      </c>
      <c r="AT428" s="58">
        <v>0.0</v>
      </c>
      <c r="AU428" s="58">
        <v>0.0</v>
      </c>
      <c r="AV428" s="58">
        <v>0.0</v>
      </c>
      <c r="AW428" s="58">
        <v>0.0</v>
      </c>
      <c r="AX428" s="58">
        <v>0.0</v>
      </c>
      <c r="AY428" s="58">
        <v>0.0</v>
      </c>
      <c r="AZ428" s="58">
        <v>0.0</v>
      </c>
      <c r="BA428" s="58">
        <v>0.0</v>
      </c>
      <c r="BB428" s="58">
        <v>5.07</v>
      </c>
      <c r="BC428" s="58" t="s">
        <v>106</v>
      </c>
      <c r="BG428" s="58">
        <v>-5.7</v>
      </c>
      <c r="BH428" s="58" t="s">
        <v>107</v>
      </c>
      <c r="BI428" s="58" t="s">
        <v>108</v>
      </c>
      <c r="BJ428" s="58" t="s">
        <v>109</v>
      </c>
      <c r="BK428" s="58" t="s">
        <v>614</v>
      </c>
      <c r="BN428" s="58" t="s">
        <v>111</v>
      </c>
      <c r="BO428" s="58" t="s">
        <v>112</v>
      </c>
      <c r="BP428" s="58" t="s">
        <v>113</v>
      </c>
      <c r="BQ428" s="58" t="s">
        <v>114</v>
      </c>
      <c r="BR428" s="58">
        <v>1.71</v>
      </c>
      <c r="BU428" s="72"/>
      <c r="BV428" s="72"/>
      <c r="BW428" s="64" t="str">
        <f>if(OR(F428="SALE",F428="REFUNDED"),IFERROR(Vlookup(I428,'Listing SKU - Fill SKU Mapping'!A:C,3,false),"Map"),"")</f>
        <v>Keystone</v>
      </c>
      <c r="BX428" s="64" t="str">
        <f>IF(OR(F428="SALE",F428="REFUNDED")=TRUE,iferror(Vlookup(I428,'Listing SKU - Fill SKU Mapping'!A:B,2,false),"Map"),"")</f>
        <v>B94415S</v>
      </c>
      <c r="BY428" s="64">
        <f>IF(OR(F428="SALE",F428="REFUNDED")=TRUE,iferror(Vlookup(I428,'Listing SKU - Fill SKU Mapping'!A:D,4,false),"Map"),"")</f>
        <v>14.99</v>
      </c>
      <c r="BZ428" s="66">
        <f t="shared" si="1"/>
        <v>11.5</v>
      </c>
      <c r="CA428" s="66">
        <f t="shared" si="2"/>
        <v>26.49</v>
      </c>
      <c r="CB428" s="66">
        <f t="shared" si="3"/>
        <v>26.5</v>
      </c>
      <c r="CC428" s="64" t="str">
        <f>if(F428="REFUNDED",iferror(Vlookup(I428,'Listing SKU - Fill SKU Mapping'!A:B,2,false),"Map"),"")</f>
        <v/>
      </c>
      <c r="CD428" s="64" t="str">
        <f>if(F428="REFUNDED",iferror(Vlookup(I428,'Listing SKU - Fill SKU Mapping'!A:C,3,false),"Map"),"")</f>
        <v/>
      </c>
      <c r="CE428" s="64" t="str">
        <f t="shared" si="4"/>
        <v>2025</v>
      </c>
      <c r="CF428" s="64" t="str">
        <f t="shared" si="5"/>
        <v>November</v>
      </c>
      <c r="CG428" s="64" t="str">
        <f t="shared" si="6"/>
        <v/>
      </c>
    </row>
    <row r="429">
      <c r="A429" s="55">
        <v>2.0001E14</v>
      </c>
      <c r="B429" s="56">
        <v>1.0</v>
      </c>
      <c r="C429" s="57">
        <v>1.2903E14</v>
      </c>
      <c r="D429" s="58">
        <v>1.0</v>
      </c>
      <c r="F429" s="59" t="s">
        <v>100</v>
      </c>
      <c r="G429" s="60">
        <v>45971.0</v>
      </c>
      <c r="H429" s="58">
        <v>1.0</v>
      </c>
      <c r="I429" s="58" t="s">
        <v>377</v>
      </c>
      <c r="J429" s="61">
        <v>4.66885032336E11</v>
      </c>
      <c r="K429" s="62" t="s">
        <v>485</v>
      </c>
      <c r="L429" s="62">
        <v>2038710.0</v>
      </c>
      <c r="M429" s="63"/>
      <c r="N429" s="63"/>
      <c r="O429" s="62" t="s">
        <v>103</v>
      </c>
      <c r="P429" s="63"/>
      <c r="Q429" s="63"/>
      <c r="R429" s="62" t="s">
        <v>626</v>
      </c>
      <c r="S429" s="62">
        <v>32904.0</v>
      </c>
      <c r="T429" s="58" t="s">
        <v>105</v>
      </c>
      <c r="U429" s="59">
        <v>71.58</v>
      </c>
      <c r="V429" s="59">
        <v>70.66</v>
      </c>
      <c r="W429" s="58">
        <v>5.32</v>
      </c>
      <c r="X429" s="58">
        <v>7.0</v>
      </c>
      <c r="Y429" s="58">
        <v>10.0</v>
      </c>
      <c r="Z429" s="59">
        <v>66.9</v>
      </c>
      <c r="AA429" s="58">
        <v>0.0</v>
      </c>
      <c r="AB429" s="58">
        <v>0.0</v>
      </c>
      <c r="AC429" s="58">
        <v>0.0</v>
      </c>
      <c r="AD429" s="58">
        <v>0.0</v>
      </c>
      <c r="AE429" s="58">
        <v>0.0</v>
      </c>
      <c r="AF429" s="58">
        <v>0.0</v>
      </c>
      <c r="AG429" s="58">
        <v>0.0</v>
      </c>
      <c r="AH429" s="58">
        <v>0.0</v>
      </c>
      <c r="AI429" s="58">
        <v>0.0</v>
      </c>
      <c r="AJ429" s="58">
        <v>0.0</v>
      </c>
      <c r="AK429" s="58">
        <v>0.0</v>
      </c>
      <c r="AL429" s="58">
        <v>0.0</v>
      </c>
      <c r="AM429" s="58">
        <v>0.0</v>
      </c>
      <c r="AN429" s="58">
        <v>0.0</v>
      </c>
      <c r="AO429" s="58">
        <v>0.0</v>
      </c>
      <c r="AP429" s="58">
        <v>4.68</v>
      </c>
      <c r="AQ429" s="58">
        <v>0.0</v>
      </c>
      <c r="AR429" s="58">
        <v>0.0</v>
      </c>
      <c r="AS429" s="58">
        <v>0.0</v>
      </c>
      <c r="AT429" s="58">
        <v>0.0</v>
      </c>
      <c r="AU429" s="58">
        <v>0.0</v>
      </c>
      <c r="AV429" s="58">
        <v>0.0</v>
      </c>
      <c r="AW429" s="58">
        <v>0.0</v>
      </c>
      <c r="AX429" s="58">
        <v>0.0</v>
      </c>
      <c r="AY429" s="58">
        <v>0.0</v>
      </c>
      <c r="AZ429" s="58">
        <v>0.0</v>
      </c>
      <c r="BA429" s="58">
        <v>0.0</v>
      </c>
      <c r="BB429" s="58">
        <v>4.68</v>
      </c>
      <c r="BC429" s="58" t="s">
        <v>106</v>
      </c>
      <c r="BF429" s="58">
        <v>75.98</v>
      </c>
      <c r="BG429" s="58">
        <v>-7.6</v>
      </c>
      <c r="BH429" s="58" t="s">
        <v>107</v>
      </c>
      <c r="BI429" s="58" t="s">
        <v>108</v>
      </c>
      <c r="BJ429" s="58" t="s">
        <v>109</v>
      </c>
      <c r="BK429" s="58" t="s">
        <v>614</v>
      </c>
      <c r="BN429" s="58" t="s">
        <v>111</v>
      </c>
      <c r="BO429" s="58" t="s">
        <v>112</v>
      </c>
      <c r="BP429" s="58" t="s">
        <v>113</v>
      </c>
      <c r="BQ429" s="58" t="s">
        <v>317</v>
      </c>
      <c r="BR429" s="58">
        <v>2.28</v>
      </c>
      <c r="BT429" s="58">
        <v>-9.08</v>
      </c>
      <c r="BU429" s="73" t="s">
        <v>318</v>
      </c>
      <c r="BV429" s="73"/>
      <c r="BW429" s="64" t="str">
        <f>if(OR(F429="SALE",F429="REFUNDED"),IFERROR(Vlookup(I429,'Listing SKU - Fill SKU Mapping'!A:C,3,false),"Map"),"")</f>
        <v>Keystone</v>
      </c>
      <c r="BX429" s="64" t="str">
        <f>IF(OR(F429="SALE",F429="REFUNDED")=TRUE,iferror(Vlookup(I429,'Listing SKU - Fill SKU Mapping'!A:B,2,false),"Map"),"")</f>
        <v>20515S</v>
      </c>
      <c r="BY429" s="64">
        <f>IF(OR(F429="SALE",F429="REFUNDED")=TRUE,iferror(Vlookup(I429,'Listing SKU - Fill SKU Mapping'!A:D,4,false),"Map"),"")</f>
        <v>26.82</v>
      </c>
      <c r="BZ429" s="66">
        <f t="shared" si="1"/>
        <v>11.5</v>
      </c>
      <c r="CA429" s="66">
        <f t="shared" si="2"/>
        <v>38.32</v>
      </c>
      <c r="CB429" s="66">
        <f t="shared" si="3"/>
        <v>32.34</v>
      </c>
      <c r="CC429" s="64" t="str">
        <f>if(F429="REFUNDED",iferror(Vlookup(I429,'Listing SKU - Fill SKU Mapping'!A:B,2,false),"Map"),"")</f>
        <v/>
      </c>
      <c r="CD429" s="64" t="str">
        <f>if(F429="REFUNDED",iferror(Vlookup(I429,'Listing SKU - Fill SKU Mapping'!A:C,3,false),"Map"),"")</f>
        <v/>
      </c>
      <c r="CE429" s="64" t="str">
        <f t="shared" si="4"/>
        <v>2025</v>
      </c>
      <c r="CF429" s="64" t="str">
        <f t="shared" si="5"/>
        <v>November</v>
      </c>
      <c r="CG429" s="64" t="str">
        <f t="shared" si="6"/>
        <v/>
      </c>
    </row>
    <row r="430">
      <c r="A430" s="55">
        <v>2.0001E14</v>
      </c>
      <c r="B430" s="56">
        <v>1.0</v>
      </c>
      <c r="C430" s="57">
        <v>1.2903E14</v>
      </c>
      <c r="D430" s="58">
        <v>1.0</v>
      </c>
      <c r="F430" s="59" t="s">
        <v>128</v>
      </c>
      <c r="G430" s="60">
        <v>45974.0</v>
      </c>
      <c r="H430" s="58">
        <v>1.0</v>
      </c>
      <c r="I430" s="58" t="s">
        <v>539</v>
      </c>
      <c r="J430" s="61">
        <v>4.64567106528E11</v>
      </c>
      <c r="K430" s="62" t="s">
        <v>540</v>
      </c>
      <c r="L430" s="62">
        <v>2038710.0</v>
      </c>
      <c r="M430" s="63"/>
      <c r="N430" s="63"/>
      <c r="O430" s="63"/>
      <c r="P430" s="63"/>
      <c r="Q430" s="63"/>
      <c r="R430" s="62" t="s">
        <v>541</v>
      </c>
      <c r="S430" s="62">
        <v>43223.0</v>
      </c>
      <c r="U430" s="59">
        <v>-103.66</v>
      </c>
      <c r="V430" s="59">
        <v>-89.26</v>
      </c>
      <c r="W430" s="58">
        <v>-6.72</v>
      </c>
      <c r="X430" s="58">
        <v>0.0</v>
      </c>
      <c r="Y430" s="58">
        <v>0.0</v>
      </c>
      <c r="Z430" s="59">
        <v>0.0</v>
      </c>
      <c r="AA430" s="58">
        <v>-95.98</v>
      </c>
      <c r="AB430" s="58">
        <v>0.0</v>
      </c>
      <c r="AC430" s="58">
        <v>0.0</v>
      </c>
      <c r="AD430" s="58">
        <v>0.0</v>
      </c>
      <c r="AE430" s="58">
        <v>0.0</v>
      </c>
      <c r="AF430" s="58">
        <v>0.0</v>
      </c>
      <c r="AG430" s="58">
        <v>0.0</v>
      </c>
      <c r="AH430" s="58">
        <v>0.0</v>
      </c>
      <c r="AI430" s="58">
        <v>0.0</v>
      </c>
      <c r="AJ430" s="58">
        <v>0.0</v>
      </c>
      <c r="AK430" s="58">
        <v>0.0</v>
      </c>
      <c r="AL430" s="58">
        <v>0.0</v>
      </c>
      <c r="AM430" s="58">
        <v>0.0</v>
      </c>
      <c r="AN430" s="58">
        <v>0.0</v>
      </c>
      <c r="AO430" s="58">
        <v>0.0</v>
      </c>
      <c r="AP430" s="58">
        <v>0.0</v>
      </c>
      <c r="AQ430" s="58">
        <v>0.0</v>
      </c>
      <c r="AR430" s="58">
        <v>0.0</v>
      </c>
      <c r="AS430" s="58">
        <v>0.0</v>
      </c>
      <c r="AT430" s="58">
        <v>0.0</v>
      </c>
      <c r="AU430" s="58">
        <v>-7.68</v>
      </c>
      <c r="AV430" s="58">
        <v>0.0</v>
      </c>
      <c r="AW430" s="58">
        <v>0.0</v>
      </c>
      <c r="AX430" s="58">
        <v>0.0</v>
      </c>
      <c r="AY430" s="58">
        <v>0.0</v>
      </c>
      <c r="AZ430" s="58">
        <v>0.0</v>
      </c>
      <c r="BA430" s="58">
        <v>0.0</v>
      </c>
      <c r="BB430" s="58">
        <v>-7.68</v>
      </c>
      <c r="BC430" s="58" t="s">
        <v>106</v>
      </c>
      <c r="BD430" s="58" t="s">
        <v>156</v>
      </c>
      <c r="BE430" s="58">
        <v>5010.0</v>
      </c>
      <c r="BH430" s="58" t="s">
        <v>107</v>
      </c>
      <c r="BI430" s="58" t="s">
        <v>108</v>
      </c>
      <c r="BL430" s="58">
        <v>1016.0</v>
      </c>
      <c r="BM430" s="58" t="s">
        <v>258</v>
      </c>
      <c r="BN430" s="58" t="s">
        <v>111</v>
      </c>
      <c r="BO430" s="58" t="s">
        <v>112</v>
      </c>
      <c r="BU430" s="72"/>
      <c r="BV430" s="72"/>
      <c r="BW430" s="64" t="str">
        <f>if(OR(F430="SALE",F430="REFUNDED"),IFERROR(Vlookup(I430,'Listing SKU - Fill SKU Mapping'!A:C,3,false),"Map"),"")</f>
        <v>Keystone</v>
      </c>
      <c r="BX430" s="64" t="str">
        <f>IF(OR(F430="SALE",F430="REFUNDED")=TRUE,iferror(Vlookup(I430,'Listing SKU - Fill SKU Mapping'!A:B,2,false),"Map"),"")</f>
        <v>IMP355BLK</v>
      </c>
      <c r="BY430" s="64">
        <f>IF(OR(F430="SALE",F430="REFUNDED")=TRUE,iferror(Vlookup(I430,'Listing SKU - Fill SKU Mapping'!A:D,4,false),"Map"),"")</f>
        <v>46.16</v>
      </c>
      <c r="BZ430" s="66">
        <f t="shared" si="1"/>
        <v>11.5</v>
      </c>
      <c r="CA430" s="66">
        <f t="shared" si="2"/>
        <v>57.66</v>
      </c>
      <c r="CB430" s="64" t="str">
        <f t="shared" si="3"/>
        <v/>
      </c>
      <c r="CC430" s="64" t="str">
        <f>if(F430="REFUNDED",iferror(Vlookup(I430,'Listing SKU - Fill SKU Mapping'!A:B,2,false),"Map"),"")</f>
        <v>IMP355BLK</v>
      </c>
      <c r="CD430" s="64" t="str">
        <f>if(F430="REFUNDED",iferror(Vlookup(I430,'Listing SKU - Fill SKU Mapping'!A:C,3,false),"Map"),"")</f>
        <v>Keystone</v>
      </c>
      <c r="CE430" s="64" t="str">
        <f t="shared" si="4"/>
        <v>2025</v>
      </c>
      <c r="CF430" s="64" t="str">
        <f t="shared" si="5"/>
        <v>November</v>
      </c>
      <c r="CG430" s="64" t="str">
        <f t="shared" si="6"/>
        <v/>
      </c>
    </row>
    <row r="431">
      <c r="A431" s="55">
        <v>2.0001E14</v>
      </c>
      <c r="B431" s="56">
        <v>2.0</v>
      </c>
      <c r="C431" s="57">
        <v>1.2903E14</v>
      </c>
      <c r="D431" s="58">
        <v>2.0</v>
      </c>
      <c r="F431" s="59" t="s">
        <v>100</v>
      </c>
      <c r="G431" s="60">
        <v>45971.0</v>
      </c>
      <c r="H431" s="58">
        <v>1.0</v>
      </c>
      <c r="I431" s="58" t="s">
        <v>441</v>
      </c>
      <c r="J431" s="61">
        <v>4.60776236056E11</v>
      </c>
      <c r="K431" s="62" t="s">
        <v>627</v>
      </c>
      <c r="L431" s="62">
        <v>2038710.0</v>
      </c>
      <c r="M431" s="63"/>
      <c r="N431" s="63"/>
      <c r="O431" s="62" t="s">
        <v>174</v>
      </c>
      <c r="P431" s="63"/>
      <c r="Q431" s="63"/>
      <c r="R431" s="62" t="s">
        <v>628</v>
      </c>
      <c r="S431" s="62">
        <v>78410.0</v>
      </c>
      <c r="T431" s="58" t="s">
        <v>105</v>
      </c>
      <c r="U431" s="59">
        <v>86.52</v>
      </c>
      <c r="V431" s="59">
        <v>79.03</v>
      </c>
      <c r="W431" s="58">
        <v>5.95</v>
      </c>
      <c r="X431" s="58">
        <v>7.0</v>
      </c>
      <c r="Y431" s="58">
        <v>10.0</v>
      </c>
      <c r="Z431" s="59">
        <v>79.93</v>
      </c>
      <c r="AA431" s="58">
        <v>0.0</v>
      </c>
      <c r="AB431" s="58">
        <v>0.0</v>
      </c>
      <c r="AC431" s="58">
        <v>0.0</v>
      </c>
      <c r="AD431" s="58">
        <v>0.0</v>
      </c>
      <c r="AE431" s="58">
        <v>0.0</v>
      </c>
      <c r="AF431" s="58">
        <v>0.0</v>
      </c>
      <c r="AG431" s="58">
        <v>0.0</v>
      </c>
      <c r="AH431" s="58">
        <v>0.0</v>
      </c>
      <c r="AI431" s="58">
        <v>0.0</v>
      </c>
      <c r="AJ431" s="58">
        <v>0.0</v>
      </c>
      <c r="AK431" s="58">
        <v>0.0</v>
      </c>
      <c r="AL431" s="58">
        <v>0.0</v>
      </c>
      <c r="AM431" s="58">
        <v>0.0</v>
      </c>
      <c r="AN431" s="58">
        <v>0.0</v>
      </c>
      <c r="AO431" s="58">
        <v>0.0</v>
      </c>
      <c r="AP431" s="58">
        <v>6.59</v>
      </c>
      <c r="AQ431" s="58">
        <v>0.0</v>
      </c>
      <c r="AR431" s="58">
        <v>0.0</v>
      </c>
      <c r="AS431" s="58">
        <v>0.0</v>
      </c>
      <c r="AT431" s="58">
        <v>0.0</v>
      </c>
      <c r="AU431" s="58">
        <v>0.0</v>
      </c>
      <c r="AV431" s="58">
        <v>0.0</v>
      </c>
      <c r="AW431" s="58">
        <v>0.0</v>
      </c>
      <c r="AX431" s="58">
        <v>0.0</v>
      </c>
      <c r="AY431" s="58">
        <v>0.0</v>
      </c>
      <c r="AZ431" s="58">
        <v>0.0</v>
      </c>
      <c r="BA431" s="58">
        <v>0.0</v>
      </c>
      <c r="BB431" s="58">
        <v>6.59</v>
      </c>
      <c r="BC431" s="58" t="s">
        <v>106</v>
      </c>
      <c r="BF431" s="58">
        <v>84.98</v>
      </c>
      <c r="BG431" s="58">
        <v>-8.5</v>
      </c>
      <c r="BH431" s="58" t="s">
        <v>107</v>
      </c>
      <c r="BI431" s="58" t="s">
        <v>108</v>
      </c>
      <c r="BJ431" s="58" t="s">
        <v>109</v>
      </c>
      <c r="BK431" s="58" t="s">
        <v>614</v>
      </c>
      <c r="BN431" s="58" t="s">
        <v>111</v>
      </c>
      <c r="BO431" s="58" t="s">
        <v>112</v>
      </c>
      <c r="BP431" s="58" t="s">
        <v>113</v>
      </c>
      <c r="BQ431" s="58" t="s">
        <v>317</v>
      </c>
      <c r="BR431" s="58">
        <v>2.55</v>
      </c>
      <c r="BT431" s="58">
        <v>-5.05</v>
      </c>
      <c r="BU431" s="73" t="s">
        <v>318</v>
      </c>
      <c r="BV431" s="73"/>
      <c r="BW431" s="64" t="str">
        <f>if(OR(F431="SALE",F431="REFUNDED"),IFERROR(Vlookup(I431,'Listing SKU - Fill SKU Mapping'!A:C,3,false),"Map"),"")</f>
        <v>Keystone</v>
      </c>
      <c r="BX431" s="64" t="str">
        <f>IF(OR(F431="SALE",F431="REFUNDED")=TRUE,iferror(Vlookup(I431,'Listing SKU - Fill SKU Mapping'!A:B,2,false),"Map"),"")</f>
        <v>IMP382BLK</v>
      </c>
      <c r="BY431" s="64">
        <f>IF(OR(F431="SALE",F431="REFUNDED")=TRUE,iferror(Vlookup(I431,'Listing SKU - Fill SKU Mapping'!A:D,4,false),"Map"),"")</f>
        <v>34.32</v>
      </c>
      <c r="BZ431" s="66">
        <f t="shared" si="1"/>
        <v>11.5</v>
      </c>
      <c r="CA431" s="66">
        <f t="shared" si="2"/>
        <v>45.82</v>
      </c>
      <c r="CB431" s="66">
        <f t="shared" si="3"/>
        <v>33.21</v>
      </c>
      <c r="CC431" s="64" t="str">
        <f>if(F431="REFUNDED",iferror(Vlookup(I431,'Listing SKU - Fill SKU Mapping'!A:B,2,false),"Map"),"")</f>
        <v/>
      </c>
      <c r="CD431" s="64" t="str">
        <f>if(F431="REFUNDED",iferror(Vlookup(I431,'Listing SKU - Fill SKU Mapping'!A:C,3,false),"Map"),"")</f>
        <v/>
      </c>
      <c r="CE431" s="64" t="str">
        <f t="shared" si="4"/>
        <v>2025</v>
      </c>
      <c r="CF431" s="64" t="str">
        <f t="shared" si="5"/>
        <v>November</v>
      </c>
      <c r="CG431" s="64" t="str">
        <f t="shared" si="6"/>
        <v/>
      </c>
    </row>
    <row r="432">
      <c r="A432" s="55">
        <v>2.0001E14</v>
      </c>
      <c r="B432" s="56">
        <v>1.0</v>
      </c>
      <c r="C432" s="57">
        <v>1.2903E14</v>
      </c>
      <c r="D432" s="58">
        <v>1.0</v>
      </c>
      <c r="F432" s="59" t="s">
        <v>100</v>
      </c>
      <c r="G432" s="60">
        <v>45971.0</v>
      </c>
      <c r="H432" s="58">
        <v>1.0</v>
      </c>
      <c r="I432" s="58" t="s">
        <v>552</v>
      </c>
      <c r="J432" s="61">
        <v>4.60776233918E11</v>
      </c>
      <c r="K432" s="62" t="s">
        <v>553</v>
      </c>
      <c r="L432" s="62">
        <v>2038710.0</v>
      </c>
      <c r="M432" s="63"/>
      <c r="N432" s="63"/>
      <c r="O432" s="62" t="s">
        <v>270</v>
      </c>
      <c r="P432" s="63"/>
      <c r="Q432" s="63"/>
      <c r="R432" s="62" t="s">
        <v>629</v>
      </c>
      <c r="S432" s="62">
        <v>52767.0</v>
      </c>
      <c r="T432" s="58" t="s">
        <v>105</v>
      </c>
      <c r="U432" s="59">
        <v>131.54</v>
      </c>
      <c r="V432" s="59">
        <v>119.02</v>
      </c>
      <c r="W432" s="58">
        <v>8.96</v>
      </c>
      <c r="X432" s="58">
        <v>7.0</v>
      </c>
      <c r="Y432" s="58">
        <v>10.0</v>
      </c>
      <c r="Z432" s="59">
        <v>122.93</v>
      </c>
      <c r="AA432" s="58">
        <v>0.0</v>
      </c>
      <c r="AB432" s="58">
        <v>0.0</v>
      </c>
      <c r="AC432" s="58">
        <v>0.0</v>
      </c>
      <c r="AD432" s="58">
        <v>0.0</v>
      </c>
      <c r="AE432" s="58">
        <v>0.0</v>
      </c>
      <c r="AF432" s="58">
        <v>0.0</v>
      </c>
      <c r="AG432" s="58">
        <v>0.0</v>
      </c>
      <c r="AH432" s="58">
        <v>0.0</v>
      </c>
      <c r="AI432" s="58">
        <v>0.0</v>
      </c>
      <c r="AJ432" s="58">
        <v>0.0</v>
      </c>
      <c r="AK432" s="58">
        <v>0.0</v>
      </c>
      <c r="AL432" s="58">
        <v>0.0</v>
      </c>
      <c r="AM432" s="58">
        <v>0.0</v>
      </c>
      <c r="AN432" s="58">
        <v>0.0</v>
      </c>
      <c r="AO432" s="58">
        <v>0.0</v>
      </c>
      <c r="AP432" s="58">
        <v>8.61</v>
      </c>
      <c r="AQ432" s="58">
        <v>0.0</v>
      </c>
      <c r="AR432" s="58">
        <v>0.0</v>
      </c>
      <c r="AS432" s="58">
        <v>0.0</v>
      </c>
      <c r="AT432" s="58">
        <v>0.0</v>
      </c>
      <c r="AU432" s="58">
        <v>0.0</v>
      </c>
      <c r="AV432" s="58">
        <v>0.0</v>
      </c>
      <c r="AW432" s="58">
        <v>0.0</v>
      </c>
      <c r="AX432" s="58">
        <v>0.0</v>
      </c>
      <c r="AY432" s="58">
        <v>0.0</v>
      </c>
      <c r="AZ432" s="58">
        <v>0.0</v>
      </c>
      <c r="BA432" s="58">
        <v>0.0</v>
      </c>
      <c r="BB432" s="58">
        <v>8.61</v>
      </c>
      <c r="BC432" s="58" t="s">
        <v>106</v>
      </c>
      <c r="BF432" s="58">
        <v>127.98</v>
      </c>
      <c r="BG432" s="58">
        <v>-12.8</v>
      </c>
      <c r="BH432" s="58" t="s">
        <v>107</v>
      </c>
      <c r="BI432" s="58" t="s">
        <v>108</v>
      </c>
      <c r="BJ432" s="58" t="s">
        <v>109</v>
      </c>
      <c r="BK432" s="58" t="s">
        <v>614</v>
      </c>
      <c r="BN432" s="58" t="s">
        <v>111</v>
      </c>
      <c r="BO432" s="58" t="s">
        <v>112</v>
      </c>
      <c r="BP432" s="58" t="s">
        <v>113</v>
      </c>
      <c r="BQ432" s="58" t="s">
        <v>317</v>
      </c>
      <c r="BR432" s="58">
        <v>3.84</v>
      </c>
      <c r="BT432" s="58">
        <v>-5.05</v>
      </c>
      <c r="BU432" s="73" t="s">
        <v>318</v>
      </c>
      <c r="BV432" s="73"/>
      <c r="BW432" s="64" t="str">
        <f>if(OR(F432="SALE",F432="REFUNDED"),IFERROR(Vlookup(I432,'Listing SKU - Fill SKU Mapping'!A:C,3,false),"Map"),"")</f>
        <v>Keystone</v>
      </c>
      <c r="BX432" s="64" t="str">
        <f>IF(OR(F432="SALE",F432="REFUNDED")=TRUE,iferror(Vlookup(I432,'Listing SKU - Fill SKU Mapping'!A:B,2,false),"Map"),"")</f>
        <v>IMP361X</v>
      </c>
      <c r="BY432" s="64">
        <f>IF(OR(F432="SALE",F432="REFUNDED")=TRUE,iferror(Vlookup(I432,'Listing SKU - Fill SKU Mapping'!A:D,4,false),"Map"),"")</f>
        <v>62.33</v>
      </c>
      <c r="BZ432" s="66">
        <f t="shared" si="1"/>
        <v>11.5</v>
      </c>
      <c r="CA432" s="66">
        <f t="shared" si="2"/>
        <v>73.83</v>
      </c>
      <c r="CB432" s="66">
        <f t="shared" si="3"/>
        <v>45.19</v>
      </c>
      <c r="CC432" s="64" t="str">
        <f>if(F432="REFUNDED",iferror(Vlookup(I432,'Listing SKU - Fill SKU Mapping'!A:B,2,false),"Map"),"")</f>
        <v/>
      </c>
      <c r="CD432" s="64" t="str">
        <f>if(F432="REFUNDED",iferror(Vlookup(I432,'Listing SKU - Fill SKU Mapping'!A:C,3,false),"Map"),"")</f>
        <v/>
      </c>
      <c r="CE432" s="64" t="str">
        <f t="shared" si="4"/>
        <v>2025</v>
      </c>
      <c r="CF432" s="64" t="str">
        <f t="shared" si="5"/>
        <v>November</v>
      </c>
      <c r="CG432" s="64" t="str">
        <f t="shared" si="6"/>
        <v/>
      </c>
    </row>
    <row r="433">
      <c r="A433" s="55">
        <v>2.0001E14</v>
      </c>
      <c r="B433" s="56">
        <v>1.0</v>
      </c>
      <c r="C433" s="57">
        <v>1.2903E14</v>
      </c>
      <c r="D433" s="58">
        <v>1.0</v>
      </c>
      <c r="F433" s="59" t="s">
        <v>100</v>
      </c>
      <c r="G433" s="60">
        <v>45971.0</v>
      </c>
      <c r="H433" s="58">
        <v>1.0</v>
      </c>
      <c r="I433" s="58" t="s">
        <v>436</v>
      </c>
      <c r="J433" s="61">
        <v>4.67129938025E11</v>
      </c>
      <c r="K433" s="62" t="s">
        <v>456</v>
      </c>
      <c r="L433" s="62">
        <v>2038710.0</v>
      </c>
      <c r="M433" s="63"/>
      <c r="N433" s="63"/>
      <c r="O433" s="62" t="s">
        <v>166</v>
      </c>
      <c r="P433" s="63"/>
      <c r="Q433" s="63"/>
      <c r="R433" s="62" t="s">
        <v>630</v>
      </c>
      <c r="S433" s="62">
        <v>23236.0</v>
      </c>
      <c r="T433" s="58" t="s">
        <v>105</v>
      </c>
      <c r="U433" s="59">
        <v>77.27</v>
      </c>
      <c r="V433" s="59">
        <v>74.38</v>
      </c>
      <c r="W433" s="58">
        <v>5.6</v>
      </c>
      <c r="X433" s="58">
        <v>7.0</v>
      </c>
      <c r="Y433" s="58">
        <v>10.0</v>
      </c>
      <c r="Z433" s="59">
        <v>72.9</v>
      </c>
      <c r="AA433" s="58">
        <v>0.0</v>
      </c>
      <c r="AB433" s="58">
        <v>0.0</v>
      </c>
      <c r="AC433" s="58">
        <v>0.0</v>
      </c>
      <c r="AD433" s="58">
        <v>0.0</v>
      </c>
      <c r="AE433" s="58">
        <v>0.0</v>
      </c>
      <c r="AF433" s="58">
        <v>0.0</v>
      </c>
      <c r="AG433" s="58">
        <v>0.0</v>
      </c>
      <c r="AH433" s="58">
        <v>0.0</v>
      </c>
      <c r="AI433" s="58">
        <v>0.0</v>
      </c>
      <c r="AJ433" s="58">
        <v>0.0</v>
      </c>
      <c r="AK433" s="58">
        <v>0.0</v>
      </c>
      <c r="AL433" s="58">
        <v>0.0</v>
      </c>
      <c r="AM433" s="58">
        <v>0.0</v>
      </c>
      <c r="AN433" s="58">
        <v>0.0</v>
      </c>
      <c r="AO433" s="58">
        <v>0.0</v>
      </c>
      <c r="AP433" s="58">
        <v>4.37</v>
      </c>
      <c r="AQ433" s="58">
        <v>0.0</v>
      </c>
      <c r="AR433" s="58">
        <v>0.0</v>
      </c>
      <c r="AS433" s="58">
        <v>0.0</v>
      </c>
      <c r="AT433" s="58">
        <v>0.0</v>
      </c>
      <c r="AU433" s="58">
        <v>0.0</v>
      </c>
      <c r="AV433" s="58">
        <v>0.0</v>
      </c>
      <c r="AW433" s="58">
        <v>0.0</v>
      </c>
      <c r="AX433" s="58">
        <v>0.0</v>
      </c>
      <c r="AY433" s="58">
        <v>0.0</v>
      </c>
      <c r="AZ433" s="58">
        <v>0.0</v>
      </c>
      <c r="BA433" s="58">
        <v>0.0</v>
      </c>
      <c r="BB433" s="58">
        <v>4.37</v>
      </c>
      <c r="BC433" s="58" t="s">
        <v>106</v>
      </c>
      <c r="BF433" s="58">
        <v>79.98</v>
      </c>
      <c r="BG433" s="58">
        <v>-8.0</v>
      </c>
      <c r="BH433" s="58" t="s">
        <v>107</v>
      </c>
      <c r="BI433" s="58" t="s">
        <v>108</v>
      </c>
      <c r="BJ433" s="58" t="s">
        <v>109</v>
      </c>
      <c r="BK433" s="58" t="s">
        <v>614</v>
      </c>
      <c r="BN433" s="58" t="s">
        <v>111</v>
      </c>
      <c r="BO433" s="58" t="s">
        <v>112</v>
      </c>
      <c r="BP433" s="58" t="s">
        <v>113</v>
      </c>
      <c r="BQ433" s="58" t="s">
        <v>317</v>
      </c>
      <c r="BR433" s="58">
        <v>2.4</v>
      </c>
      <c r="BT433" s="58">
        <v>-7.08</v>
      </c>
      <c r="BU433" s="73" t="s">
        <v>318</v>
      </c>
      <c r="BV433" s="73"/>
      <c r="BW433" s="64" t="str">
        <f>if(OR(F433="SALE",F433="REFUNDED"),IFERROR(Vlookup(I433,'Listing SKU - Fill SKU Mapping'!A:C,3,false),"Map"),"")</f>
        <v>Keystone</v>
      </c>
      <c r="BX433" s="64" t="str">
        <f>IF(OR(F433="SALE",F433="REFUNDED")=TRUE,iferror(Vlookup(I433,'Listing SKU - Fill SKU Mapping'!A:B,2,false),"Map"),"")</f>
        <v>51917BLK</v>
      </c>
      <c r="BY433" s="64">
        <f>IF(OR(F433="SALE",F433="REFUNDED")=TRUE,iferror(Vlookup(I433,'Listing SKU - Fill SKU Mapping'!A:D,4,false),"Map"),"")</f>
        <v>29.58</v>
      </c>
      <c r="BZ433" s="66">
        <f t="shared" si="1"/>
        <v>11.5</v>
      </c>
      <c r="CA433" s="66">
        <f t="shared" si="2"/>
        <v>41.08</v>
      </c>
      <c r="CB433" s="66">
        <f t="shared" si="3"/>
        <v>33.3</v>
      </c>
      <c r="CC433" s="64" t="str">
        <f>if(F433="REFUNDED",iferror(Vlookup(I433,'Listing SKU - Fill SKU Mapping'!A:B,2,false),"Map"),"")</f>
        <v/>
      </c>
      <c r="CD433" s="64" t="str">
        <f>if(F433="REFUNDED",iferror(Vlookup(I433,'Listing SKU - Fill SKU Mapping'!A:C,3,false),"Map"),"")</f>
        <v/>
      </c>
      <c r="CE433" s="64" t="str">
        <f t="shared" si="4"/>
        <v>2025</v>
      </c>
      <c r="CF433" s="64" t="str">
        <f t="shared" si="5"/>
        <v>November</v>
      </c>
      <c r="CG433" s="64" t="str">
        <f t="shared" si="6"/>
        <v/>
      </c>
    </row>
    <row r="434">
      <c r="A434" s="55">
        <v>2.0001E14</v>
      </c>
      <c r="B434" s="56">
        <v>3.0</v>
      </c>
      <c r="C434" s="57">
        <v>1.2903E14</v>
      </c>
      <c r="D434" s="58">
        <v>3.0</v>
      </c>
      <c r="F434" s="59" t="s">
        <v>100</v>
      </c>
      <c r="G434" s="60">
        <v>45971.0</v>
      </c>
      <c r="H434" s="58">
        <v>1.0</v>
      </c>
      <c r="I434" s="58" t="s">
        <v>631</v>
      </c>
      <c r="J434" s="61">
        <v>4.60776230993E11</v>
      </c>
      <c r="K434" s="62" t="s">
        <v>632</v>
      </c>
      <c r="L434" s="62">
        <v>2038710.0</v>
      </c>
      <c r="M434" s="63"/>
      <c r="N434" s="63"/>
      <c r="O434" s="62" t="s">
        <v>633</v>
      </c>
      <c r="P434" s="63"/>
      <c r="Q434" s="63"/>
      <c r="R434" s="62" t="s">
        <v>634</v>
      </c>
      <c r="S434" s="62">
        <v>82426.0</v>
      </c>
      <c r="T434" s="58" t="s">
        <v>105</v>
      </c>
      <c r="U434" s="59">
        <v>133.33</v>
      </c>
      <c r="V434" s="59">
        <v>118.09</v>
      </c>
      <c r="W434" s="58">
        <v>8.89</v>
      </c>
      <c r="X434" s="58">
        <v>7.0</v>
      </c>
      <c r="Y434" s="58">
        <v>10.0</v>
      </c>
      <c r="Z434" s="59">
        <v>126.98</v>
      </c>
      <c r="AA434" s="58">
        <v>0.0</v>
      </c>
      <c r="AB434" s="58">
        <v>0.0</v>
      </c>
      <c r="AC434" s="58">
        <v>0.0</v>
      </c>
      <c r="AD434" s="58">
        <v>0.0</v>
      </c>
      <c r="AE434" s="58">
        <v>0.0</v>
      </c>
      <c r="AF434" s="58">
        <v>0.0</v>
      </c>
      <c r="AG434" s="58">
        <v>0.0</v>
      </c>
      <c r="AH434" s="58">
        <v>0.0</v>
      </c>
      <c r="AI434" s="58">
        <v>0.0</v>
      </c>
      <c r="AJ434" s="58">
        <v>0.0</v>
      </c>
      <c r="AK434" s="58">
        <v>0.0</v>
      </c>
      <c r="AL434" s="58">
        <v>0.0</v>
      </c>
      <c r="AM434" s="58">
        <v>0.0</v>
      </c>
      <c r="AN434" s="58">
        <v>0.0</v>
      </c>
      <c r="AO434" s="58">
        <v>0.0</v>
      </c>
      <c r="AP434" s="58">
        <v>6.35</v>
      </c>
      <c r="AQ434" s="58">
        <v>0.0</v>
      </c>
      <c r="AR434" s="58">
        <v>0.0</v>
      </c>
      <c r="AS434" s="58">
        <v>0.0</v>
      </c>
      <c r="AT434" s="58">
        <v>0.0</v>
      </c>
      <c r="AU434" s="58">
        <v>0.0</v>
      </c>
      <c r="AV434" s="58">
        <v>0.0</v>
      </c>
      <c r="AW434" s="58">
        <v>0.0</v>
      </c>
      <c r="AX434" s="58">
        <v>0.0</v>
      </c>
      <c r="AY434" s="58">
        <v>0.0</v>
      </c>
      <c r="AZ434" s="58">
        <v>0.0</v>
      </c>
      <c r="BA434" s="58">
        <v>0.0</v>
      </c>
      <c r="BB434" s="58">
        <v>6.35</v>
      </c>
      <c r="BC434" s="58" t="s">
        <v>106</v>
      </c>
      <c r="BG434" s="58">
        <v>-12.7</v>
      </c>
      <c r="BH434" s="58" t="s">
        <v>107</v>
      </c>
      <c r="BI434" s="58" t="s">
        <v>108</v>
      </c>
      <c r="BJ434" s="58" t="s">
        <v>109</v>
      </c>
      <c r="BK434" s="58" t="s">
        <v>614</v>
      </c>
      <c r="BN434" s="58" t="s">
        <v>111</v>
      </c>
      <c r="BO434" s="58" t="s">
        <v>112</v>
      </c>
      <c r="BP434" s="58" t="s">
        <v>113</v>
      </c>
      <c r="BQ434" s="58" t="s">
        <v>114</v>
      </c>
      <c r="BR434" s="58">
        <v>3.81</v>
      </c>
      <c r="BU434" s="72"/>
      <c r="BV434" s="72"/>
      <c r="BW434" s="64" t="str">
        <f>if(OR(F434="SALE",F434="REFUNDED"),IFERROR(Vlookup(I434,'Listing SKU - Fill SKU Mapping'!A:C,3,false),"Map"),"")</f>
        <v>Keystone</v>
      </c>
      <c r="BX434" s="64" t="str">
        <f>IF(OR(F434="SALE",F434="REFUNDED")=TRUE,iferror(Vlookup(I434,'Listing SKU - Fill SKU Mapping'!A:B,2,false),"Map"),"")</f>
        <v>IMP392BLK</v>
      </c>
      <c r="BY434" s="64">
        <f>IF(OR(F434="SALE",F434="REFUNDED")=TRUE,iferror(Vlookup(I434,'Listing SKU - Fill SKU Mapping'!A:D,4,false),"Map"),"")</f>
        <v>61.54</v>
      </c>
      <c r="BZ434" s="66">
        <f t="shared" si="1"/>
        <v>11.5</v>
      </c>
      <c r="CA434" s="66">
        <f t="shared" si="2"/>
        <v>73.04</v>
      </c>
      <c r="CB434" s="66">
        <f t="shared" si="3"/>
        <v>45.05</v>
      </c>
      <c r="CC434" s="64" t="str">
        <f>if(F434="REFUNDED",iferror(Vlookup(I434,'Listing SKU - Fill SKU Mapping'!A:B,2,false),"Map"),"")</f>
        <v/>
      </c>
      <c r="CD434" s="64" t="str">
        <f>if(F434="REFUNDED",iferror(Vlookup(I434,'Listing SKU - Fill SKU Mapping'!A:C,3,false),"Map"),"")</f>
        <v/>
      </c>
      <c r="CE434" s="64" t="str">
        <f t="shared" si="4"/>
        <v>2025</v>
      </c>
      <c r="CF434" s="64" t="str">
        <f t="shared" si="5"/>
        <v>November</v>
      </c>
      <c r="CG434" s="64" t="str">
        <f t="shared" si="6"/>
        <v/>
      </c>
    </row>
    <row r="435">
      <c r="A435" s="55">
        <v>2.0001E14</v>
      </c>
      <c r="B435" s="56">
        <v>5.0</v>
      </c>
      <c r="C435" s="57">
        <v>1.2903E14</v>
      </c>
      <c r="D435" s="58">
        <v>5.0</v>
      </c>
      <c r="F435" s="59" t="s">
        <v>128</v>
      </c>
      <c r="G435" s="60">
        <v>45962.0</v>
      </c>
      <c r="H435" s="58">
        <v>1.0</v>
      </c>
      <c r="I435" s="58" t="s">
        <v>159</v>
      </c>
      <c r="J435" s="61">
        <v>4.60776234854E11</v>
      </c>
      <c r="K435" s="62" t="s">
        <v>160</v>
      </c>
      <c r="L435" s="62">
        <v>2038710.0</v>
      </c>
      <c r="M435" s="63"/>
      <c r="N435" s="63"/>
      <c r="O435" s="63"/>
      <c r="P435" s="63"/>
      <c r="Q435" s="63"/>
      <c r="R435" s="62" t="s">
        <v>545</v>
      </c>
      <c r="S435" s="62">
        <v>33880.0</v>
      </c>
      <c r="U435" s="59">
        <v>-105.91</v>
      </c>
      <c r="V435" s="59">
        <v>-92.05</v>
      </c>
      <c r="W435" s="58">
        <v>-6.93</v>
      </c>
      <c r="X435" s="58">
        <v>0.0</v>
      </c>
      <c r="Y435" s="58">
        <v>0.0</v>
      </c>
      <c r="Z435" s="59">
        <v>0.0</v>
      </c>
      <c r="AA435" s="58">
        <v>-98.98</v>
      </c>
      <c r="AB435" s="58">
        <v>0.0</v>
      </c>
      <c r="AC435" s="58">
        <v>0.0</v>
      </c>
      <c r="AD435" s="58">
        <v>0.0</v>
      </c>
      <c r="AE435" s="58">
        <v>0.0</v>
      </c>
      <c r="AF435" s="58">
        <v>0.0</v>
      </c>
      <c r="AG435" s="58">
        <v>0.0</v>
      </c>
      <c r="AH435" s="58">
        <v>0.0</v>
      </c>
      <c r="AI435" s="58">
        <v>0.0</v>
      </c>
      <c r="AJ435" s="58">
        <v>0.0</v>
      </c>
      <c r="AK435" s="58">
        <v>0.0</v>
      </c>
      <c r="AL435" s="58">
        <v>0.0</v>
      </c>
      <c r="AM435" s="58">
        <v>0.0</v>
      </c>
      <c r="AN435" s="58">
        <v>0.0</v>
      </c>
      <c r="AO435" s="58">
        <v>0.0</v>
      </c>
      <c r="AP435" s="58">
        <v>0.0</v>
      </c>
      <c r="AQ435" s="58">
        <v>0.0</v>
      </c>
      <c r="AR435" s="58">
        <v>0.0</v>
      </c>
      <c r="AS435" s="58">
        <v>0.0</v>
      </c>
      <c r="AT435" s="58">
        <v>0.0</v>
      </c>
      <c r="AU435" s="58">
        <v>-6.93</v>
      </c>
      <c r="AV435" s="58">
        <v>0.0</v>
      </c>
      <c r="AW435" s="58">
        <v>0.0</v>
      </c>
      <c r="AX435" s="58">
        <v>0.0</v>
      </c>
      <c r="AY435" s="58">
        <v>0.0</v>
      </c>
      <c r="AZ435" s="58">
        <v>0.0</v>
      </c>
      <c r="BA435" s="58">
        <v>0.0</v>
      </c>
      <c r="BB435" s="58">
        <v>-6.93</v>
      </c>
      <c r="BC435" s="58" t="s">
        <v>106</v>
      </c>
      <c r="BD435" s="58" t="s">
        <v>156</v>
      </c>
      <c r="BE435" s="58">
        <v>5010.0</v>
      </c>
      <c r="BH435" s="58" t="s">
        <v>107</v>
      </c>
      <c r="BI435" s="58" t="s">
        <v>108</v>
      </c>
      <c r="BL435" s="58">
        <v>1018.0</v>
      </c>
      <c r="BM435" s="58" t="s">
        <v>157</v>
      </c>
      <c r="BN435" s="58" t="s">
        <v>111</v>
      </c>
      <c r="BO435" s="58" t="s">
        <v>112</v>
      </c>
      <c r="BU435" s="72"/>
      <c r="BV435" s="72"/>
      <c r="BW435" s="64" t="str">
        <f>if(OR(F435="SALE",F435="REFUNDED"),IFERROR(Vlookup(I435,'Listing SKU - Fill SKU Mapping'!A:C,3,false),"Map"),"")</f>
        <v>Keystone</v>
      </c>
      <c r="BX435" s="64" t="str">
        <f>IF(OR(F435="SALE",F435="REFUNDED")=TRUE,iferror(Vlookup(I435,'Listing SKU - Fill SKU Mapping'!A:B,2,false),"Map"),"")</f>
        <v>IMP371BLK</v>
      </c>
      <c r="BY435" s="64">
        <f>IF(OR(F435="SALE",F435="REFUNDED")=TRUE,iferror(Vlookup(I435,'Listing SKU - Fill SKU Mapping'!A:D,4,false),"Map"),"")</f>
        <v>43.79</v>
      </c>
      <c r="BZ435" s="66">
        <f t="shared" si="1"/>
        <v>11.5</v>
      </c>
      <c r="CA435" s="66">
        <f t="shared" si="2"/>
        <v>55.29</v>
      </c>
      <c r="CB435" s="64" t="str">
        <f t="shared" si="3"/>
        <v/>
      </c>
      <c r="CC435" s="64" t="str">
        <f>if(F435="REFUNDED",iferror(Vlookup(I435,'Listing SKU - Fill SKU Mapping'!A:B,2,false),"Map"),"")</f>
        <v>IMP371BLK</v>
      </c>
      <c r="CD435" s="64" t="str">
        <f>if(F435="REFUNDED",iferror(Vlookup(I435,'Listing SKU - Fill SKU Mapping'!A:C,3,false),"Map"),"")</f>
        <v>Keystone</v>
      </c>
      <c r="CE435" s="64" t="str">
        <f t="shared" si="4"/>
        <v>2025</v>
      </c>
      <c r="CF435" s="64" t="str">
        <f t="shared" si="5"/>
        <v>November</v>
      </c>
      <c r="CG435" s="64" t="str">
        <f t="shared" si="6"/>
        <v/>
      </c>
    </row>
    <row r="436">
      <c r="A436" s="55">
        <v>2.0001E14</v>
      </c>
      <c r="B436" s="56">
        <v>1.0</v>
      </c>
      <c r="C436" s="57">
        <v>1.2903E14</v>
      </c>
      <c r="D436" s="58">
        <v>1.0</v>
      </c>
      <c r="F436" s="59" t="s">
        <v>100</v>
      </c>
      <c r="G436" s="60">
        <v>45971.0</v>
      </c>
      <c r="H436" s="58">
        <v>1.0</v>
      </c>
      <c r="I436" s="58" t="s">
        <v>411</v>
      </c>
      <c r="J436" s="61">
        <v>4.67129941902E11</v>
      </c>
      <c r="K436" s="62" t="s">
        <v>635</v>
      </c>
      <c r="L436" s="62">
        <v>2038710.0</v>
      </c>
      <c r="M436" s="63"/>
      <c r="N436" s="63"/>
      <c r="O436" s="62" t="s">
        <v>636</v>
      </c>
      <c r="P436" s="63"/>
      <c r="Q436" s="63"/>
      <c r="R436" s="62" t="s">
        <v>637</v>
      </c>
      <c r="S436" s="62">
        <v>2920.0</v>
      </c>
      <c r="T436" s="58" t="s">
        <v>105</v>
      </c>
      <c r="U436" s="59">
        <v>111.17</v>
      </c>
      <c r="V436" s="59">
        <v>103.21</v>
      </c>
      <c r="W436" s="58">
        <v>7.77</v>
      </c>
      <c r="X436" s="58">
        <v>7.0</v>
      </c>
      <c r="Y436" s="58">
        <v>10.0</v>
      </c>
      <c r="Z436" s="59">
        <v>103.9</v>
      </c>
      <c r="AA436" s="58">
        <v>0.0</v>
      </c>
      <c r="AB436" s="58">
        <v>0.0</v>
      </c>
      <c r="AC436" s="58">
        <v>0.0</v>
      </c>
      <c r="AD436" s="58">
        <v>0.0</v>
      </c>
      <c r="AE436" s="58">
        <v>0.0</v>
      </c>
      <c r="AF436" s="58">
        <v>0.0</v>
      </c>
      <c r="AG436" s="58">
        <v>0.0</v>
      </c>
      <c r="AH436" s="58">
        <v>0.0</v>
      </c>
      <c r="AI436" s="58">
        <v>0.0</v>
      </c>
      <c r="AJ436" s="58">
        <v>0.0</v>
      </c>
      <c r="AK436" s="58">
        <v>0.0</v>
      </c>
      <c r="AL436" s="58">
        <v>0.0</v>
      </c>
      <c r="AM436" s="58">
        <v>0.0</v>
      </c>
      <c r="AN436" s="58">
        <v>0.0</v>
      </c>
      <c r="AO436" s="58">
        <v>0.0</v>
      </c>
      <c r="AP436" s="58">
        <v>7.27</v>
      </c>
      <c r="AQ436" s="58">
        <v>0.0</v>
      </c>
      <c r="AR436" s="58">
        <v>0.0</v>
      </c>
      <c r="AS436" s="58">
        <v>0.0</v>
      </c>
      <c r="AT436" s="58">
        <v>0.0</v>
      </c>
      <c r="AU436" s="58">
        <v>0.0</v>
      </c>
      <c r="AV436" s="58">
        <v>0.0</v>
      </c>
      <c r="AW436" s="58">
        <v>0.0</v>
      </c>
      <c r="AX436" s="58">
        <v>0.0</v>
      </c>
      <c r="AY436" s="58">
        <v>0.0</v>
      </c>
      <c r="AZ436" s="58">
        <v>0.0</v>
      </c>
      <c r="BA436" s="58">
        <v>0.0</v>
      </c>
      <c r="BB436" s="58">
        <v>7.27</v>
      </c>
      <c r="BC436" s="58" t="s">
        <v>106</v>
      </c>
      <c r="BF436" s="58">
        <v>110.98</v>
      </c>
      <c r="BG436" s="58">
        <v>-11.1</v>
      </c>
      <c r="BH436" s="58" t="s">
        <v>107</v>
      </c>
      <c r="BI436" s="58" t="s">
        <v>108</v>
      </c>
      <c r="BJ436" s="58" t="s">
        <v>109</v>
      </c>
      <c r="BK436" s="58" t="s">
        <v>614</v>
      </c>
      <c r="BN436" s="58" t="s">
        <v>111</v>
      </c>
      <c r="BO436" s="58" t="s">
        <v>112</v>
      </c>
      <c r="BP436" s="58" t="s">
        <v>113</v>
      </c>
      <c r="BQ436" s="58" t="s">
        <v>317</v>
      </c>
      <c r="BR436" s="58">
        <v>3.33</v>
      </c>
      <c r="BT436" s="58">
        <v>-7.08</v>
      </c>
      <c r="BU436" s="73" t="s">
        <v>318</v>
      </c>
      <c r="BV436" s="73"/>
      <c r="BW436" s="64" t="str">
        <f>if(OR(F436="SALE",F436="REFUNDED"),IFERROR(Vlookup(I436,'Listing SKU - Fill SKU Mapping'!A:C,3,false),"Map"),"")</f>
        <v>Keystone</v>
      </c>
      <c r="BX436" s="64" t="str">
        <f>IF(OR(F436="SALE",F436="REFUNDED")=TRUE,iferror(Vlookup(I436,'Listing SKU - Fill SKU Mapping'!A:B,2,false),"Map"),"")</f>
        <v>52116C</v>
      </c>
      <c r="BY436" s="64">
        <f>IF(OR(F436="SALE",F436="REFUNDED")=TRUE,iferror(Vlookup(I436,'Listing SKU - Fill SKU Mapping'!A:D,4,false),"Map"),"")</f>
        <v>48.52</v>
      </c>
      <c r="BZ436" s="66">
        <f t="shared" si="1"/>
        <v>11.5</v>
      </c>
      <c r="CA436" s="66">
        <f t="shared" si="2"/>
        <v>60.02</v>
      </c>
      <c r="CB436" s="66">
        <f t="shared" si="3"/>
        <v>43.19</v>
      </c>
      <c r="CC436" s="64" t="str">
        <f>if(F436="REFUNDED",iferror(Vlookup(I436,'Listing SKU - Fill SKU Mapping'!A:B,2,false),"Map"),"")</f>
        <v/>
      </c>
      <c r="CD436" s="64" t="str">
        <f>if(F436="REFUNDED",iferror(Vlookup(I436,'Listing SKU - Fill SKU Mapping'!A:C,3,false),"Map"),"")</f>
        <v/>
      </c>
      <c r="CE436" s="64" t="str">
        <f t="shared" si="4"/>
        <v>2025</v>
      </c>
      <c r="CF436" s="64" t="str">
        <f t="shared" si="5"/>
        <v>November</v>
      </c>
      <c r="CG436" s="64" t="str">
        <f t="shared" si="6"/>
        <v/>
      </c>
    </row>
    <row r="437">
      <c r="A437" s="55">
        <v>2.0001E14</v>
      </c>
      <c r="B437" s="56">
        <v>1.0</v>
      </c>
      <c r="C437" s="57">
        <v>1.2903E14</v>
      </c>
      <c r="D437" s="58">
        <v>1.0</v>
      </c>
      <c r="F437" s="59" t="s">
        <v>100</v>
      </c>
      <c r="G437" s="60">
        <v>45970.0</v>
      </c>
      <c r="H437" s="58">
        <v>1.0</v>
      </c>
      <c r="I437" s="58" t="s">
        <v>386</v>
      </c>
      <c r="J437" s="61">
        <v>4.67620062427E11</v>
      </c>
      <c r="K437" s="62" t="s">
        <v>638</v>
      </c>
      <c r="L437" s="62">
        <v>2038710.0</v>
      </c>
      <c r="M437" s="63"/>
      <c r="N437" s="63"/>
      <c r="O437" s="62" t="s">
        <v>536</v>
      </c>
      <c r="P437" s="63"/>
      <c r="Q437" s="63"/>
      <c r="R437" s="62" t="s">
        <v>564</v>
      </c>
      <c r="S437" s="62">
        <v>85016.0</v>
      </c>
      <c r="T437" s="58" t="s">
        <v>105</v>
      </c>
      <c r="U437" s="59">
        <v>67.2</v>
      </c>
      <c r="V437" s="59">
        <v>57.65</v>
      </c>
      <c r="W437" s="58">
        <v>4.34</v>
      </c>
      <c r="X437" s="58">
        <v>7.0</v>
      </c>
      <c r="Y437" s="58">
        <v>10.0</v>
      </c>
      <c r="Z437" s="59">
        <v>61.99</v>
      </c>
      <c r="AA437" s="58">
        <v>0.0</v>
      </c>
      <c r="AB437" s="58">
        <v>0.0</v>
      </c>
      <c r="AC437" s="58">
        <v>0.0</v>
      </c>
      <c r="AD437" s="58">
        <v>0.0</v>
      </c>
      <c r="AE437" s="58">
        <v>0.0</v>
      </c>
      <c r="AF437" s="58">
        <v>0.0</v>
      </c>
      <c r="AG437" s="58">
        <v>0.0</v>
      </c>
      <c r="AH437" s="58">
        <v>0.0</v>
      </c>
      <c r="AI437" s="58">
        <v>0.0</v>
      </c>
      <c r="AJ437" s="58">
        <v>0.0</v>
      </c>
      <c r="AK437" s="58">
        <v>0.0</v>
      </c>
      <c r="AL437" s="58">
        <v>0.0</v>
      </c>
      <c r="AM437" s="58">
        <v>0.0</v>
      </c>
      <c r="AN437" s="58">
        <v>0.0</v>
      </c>
      <c r="AO437" s="58">
        <v>0.0</v>
      </c>
      <c r="AP437" s="58">
        <v>5.21</v>
      </c>
      <c r="AQ437" s="58">
        <v>0.0</v>
      </c>
      <c r="AR437" s="58">
        <v>0.0</v>
      </c>
      <c r="AS437" s="58">
        <v>0.0</v>
      </c>
      <c r="AT437" s="58">
        <v>0.0</v>
      </c>
      <c r="AU437" s="58">
        <v>0.0</v>
      </c>
      <c r="AV437" s="58">
        <v>0.0</v>
      </c>
      <c r="AW437" s="58">
        <v>0.0</v>
      </c>
      <c r="AX437" s="58">
        <v>0.0</v>
      </c>
      <c r="AY437" s="58">
        <v>0.0</v>
      </c>
      <c r="AZ437" s="58">
        <v>0.0</v>
      </c>
      <c r="BA437" s="58">
        <v>0.0</v>
      </c>
      <c r="BB437" s="58">
        <v>5.21</v>
      </c>
      <c r="BC437" s="58" t="s">
        <v>106</v>
      </c>
      <c r="BG437" s="58">
        <v>-6.2</v>
      </c>
      <c r="BH437" s="58" t="s">
        <v>107</v>
      </c>
      <c r="BI437" s="58" t="s">
        <v>108</v>
      </c>
      <c r="BJ437" s="58" t="s">
        <v>325</v>
      </c>
      <c r="BK437" s="58" t="s">
        <v>614</v>
      </c>
      <c r="BN437" s="58" t="s">
        <v>111</v>
      </c>
      <c r="BO437" s="58" t="s">
        <v>112</v>
      </c>
      <c r="BP437" s="58" t="s">
        <v>113</v>
      </c>
      <c r="BQ437" s="58" t="s">
        <v>114</v>
      </c>
      <c r="BR437" s="58">
        <v>1.86</v>
      </c>
      <c r="BU437" s="72"/>
      <c r="BV437" s="72"/>
      <c r="BW437" s="64" t="str">
        <f>if(OR(F437="SALE",F437="REFUNDED"),IFERROR(Vlookup(I437,'Listing SKU - Fill SKU Mapping'!A:C,3,false),"Map"),"")</f>
        <v>Keystone</v>
      </c>
      <c r="BX437" s="64" t="str">
        <f>IF(OR(F437="SALE",F437="REFUNDED")=TRUE,iferror(Vlookup(I437,'Listing SKU - Fill SKU Mapping'!A:B,2,false),"Map"),"")</f>
        <v>1515P</v>
      </c>
      <c r="BY437" s="64">
        <f>IF(OR(F437="SALE",F437="REFUNDED")=TRUE,iferror(Vlookup(I437,'Listing SKU - Fill SKU Mapping'!A:D,4,false),"Map"),"")</f>
        <v>24.46</v>
      </c>
      <c r="BZ437" s="66">
        <f t="shared" si="1"/>
        <v>11.5</v>
      </c>
      <c r="CA437" s="66">
        <f t="shared" si="2"/>
        <v>35.96</v>
      </c>
      <c r="CB437" s="66">
        <f t="shared" si="3"/>
        <v>21.69</v>
      </c>
      <c r="CC437" s="64" t="str">
        <f>if(F437="REFUNDED",iferror(Vlookup(I437,'Listing SKU - Fill SKU Mapping'!A:B,2,false),"Map"),"")</f>
        <v/>
      </c>
      <c r="CD437" s="64" t="str">
        <f>if(F437="REFUNDED",iferror(Vlookup(I437,'Listing SKU - Fill SKU Mapping'!A:C,3,false),"Map"),"")</f>
        <v/>
      </c>
      <c r="CE437" s="64" t="str">
        <f t="shared" si="4"/>
        <v>2025</v>
      </c>
      <c r="CF437" s="64" t="str">
        <f t="shared" si="5"/>
        <v>November</v>
      </c>
      <c r="CG437" s="64" t="str">
        <f t="shared" si="6"/>
        <v/>
      </c>
    </row>
    <row r="438">
      <c r="A438" s="55">
        <v>2.0001E14</v>
      </c>
      <c r="B438" s="56">
        <v>1.0</v>
      </c>
      <c r="C438" s="57">
        <v>1.2903E14</v>
      </c>
      <c r="D438" s="58">
        <v>1.0</v>
      </c>
      <c r="F438" s="59" t="s">
        <v>100</v>
      </c>
      <c r="G438" s="60">
        <v>45974.0</v>
      </c>
      <c r="H438" s="58">
        <v>1.0</v>
      </c>
      <c r="I438" s="58" t="s">
        <v>413</v>
      </c>
      <c r="J438" s="61">
        <v>4.67129958542E11</v>
      </c>
      <c r="K438" s="62" t="s">
        <v>639</v>
      </c>
      <c r="L438" s="62">
        <v>2038710.0</v>
      </c>
      <c r="M438" s="63"/>
      <c r="N438" s="63"/>
      <c r="O438" s="62" t="s">
        <v>536</v>
      </c>
      <c r="P438" s="63"/>
      <c r="Q438" s="63"/>
      <c r="R438" s="62" t="s">
        <v>640</v>
      </c>
      <c r="S438" s="62">
        <v>86047.0</v>
      </c>
      <c r="T438" s="58" t="s">
        <v>105</v>
      </c>
      <c r="U438" s="59">
        <v>71.7</v>
      </c>
      <c r="V438" s="59">
        <v>70.66</v>
      </c>
      <c r="W438" s="58">
        <v>5.32</v>
      </c>
      <c r="X438" s="58">
        <v>7.0</v>
      </c>
      <c r="Y438" s="58">
        <v>10.0</v>
      </c>
      <c r="Z438" s="59">
        <v>67.9</v>
      </c>
      <c r="AA438" s="58">
        <v>0.0</v>
      </c>
      <c r="AB438" s="58">
        <v>0.0</v>
      </c>
      <c r="AC438" s="58">
        <v>0.0</v>
      </c>
      <c r="AD438" s="58">
        <v>0.0</v>
      </c>
      <c r="AE438" s="58">
        <v>0.0</v>
      </c>
      <c r="AF438" s="58">
        <v>0.0</v>
      </c>
      <c r="AG438" s="58">
        <v>0.0</v>
      </c>
      <c r="AH438" s="58">
        <v>0.0</v>
      </c>
      <c r="AI438" s="58">
        <v>0.0</v>
      </c>
      <c r="AJ438" s="58">
        <v>0.0</v>
      </c>
      <c r="AK438" s="58">
        <v>0.0</v>
      </c>
      <c r="AL438" s="58">
        <v>0.0</v>
      </c>
      <c r="AM438" s="58">
        <v>0.0</v>
      </c>
      <c r="AN438" s="58">
        <v>0.0</v>
      </c>
      <c r="AO438" s="58">
        <v>0.0</v>
      </c>
      <c r="AP438" s="58">
        <v>3.8</v>
      </c>
      <c r="AQ438" s="58">
        <v>0.0</v>
      </c>
      <c r="AR438" s="58">
        <v>0.0</v>
      </c>
      <c r="AS438" s="58">
        <v>0.0</v>
      </c>
      <c r="AT438" s="58">
        <v>0.0</v>
      </c>
      <c r="AU438" s="58">
        <v>0.0</v>
      </c>
      <c r="AV438" s="58">
        <v>0.0</v>
      </c>
      <c r="AW438" s="58">
        <v>0.0</v>
      </c>
      <c r="AX438" s="58">
        <v>0.0</v>
      </c>
      <c r="AY438" s="58">
        <v>0.0</v>
      </c>
      <c r="AZ438" s="58">
        <v>0.0</v>
      </c>
      <c r="BA438" s="58">
        <v>0.0</v>
      </c>
      <c r="BB438" s="58">
        <v>3.8</v>
      </c>
      <c r="BC438" s="58" t="s">
        <v>106</v>
      </c>
      <c r="BF438" s="58">
        <v>75.98</v>
      </c>
      <c r="BG438" s="58">
        <v>-7.6</v>
      </c>
      <c r="BH438" s="58" t="s">
        <v>107</v>
      </c>
      <c r="BI438" s="58" t="s">
        <v>108</v>
      </c>
      <c r="BJ438" s="58" t="s">
        <v>109</v>
      </c>
      <c r="BK438" s="58" t="s">
        <v>614</v>
      </c>
      <c r="BN438" s="58" t="s">
        <v>111</v>
      </c>
      <c r="BO438" s="58" t="s">
        <v>112</v>
      </c>
      <c r="BP438" s="58" t="s">
        <v>113</v>
      </c>
      <c r="BQ438" s="58" t="s">
        <v>317</v>
      </c>
      <c r="BR438" s="58">
        <v>2.28</v>
      </c>
      <c r="BT438" s="58">
        <v>-8.08</v>
      </c>
      <c r="BU438" s="73" t="s">
        <v>318</v>
      </c>
      <c r="BV438" s="73"/>
      <c r="BW438" s="64" t="str">
        <f>if(OR(F438="SALE",F438="REFUNDED"),IFERROR(Vlookup(I438,'Listing SKU - Fill SKU Mapping'!A:C,3,false),"Map"),"")</f>
        <v>Keystone</v>
      </c>
      <c r="BX438" s="64" t="str">
        <f>IF(OR(F438="SALE",F438="REFUNDED")=TRUE,iferror(Vlookup(I438,'Listing SKU - Fill SKU Mapping'!A:B,2,false),"Map"),"")</f>
        <v>45216S</v>
      </c>
      <c r="BY438" s="64">
        <f>IF(OR(F438="SALE",F438="REFUNDED")=TRUE,iferror(Vlookup(I438,'Listing SKU - Fill SKU Mapping'!A:D,4,false),"Map"),"")</f>
        <v>27.22</v>
      </c>
      <c r="BZ438" s="66">
        <f t="shared" si="1"/>
        <v>11.5</v>
      </c>
      <c r="CA438" s="66">
        <f t="shared" si="2"/>
        <v>38.72</v>
      </c>
      <c r="CB438" s="66">
        <f t="shared" si="3"/>
        <v>31.94</v>
      </c>
      <c r="CC438" s="64" t="str">
        <f>if(F438="REFUNDED",iferror(Vlookup(I438,'Listing SKU - Fill SKU Mapping'!A:B,2,false),"Map"),"")</f>
        <v/>
      </c>
      <c r="CD438" s="64" t="str">
        <f>if(F438="REFUNDED",iferror(Vlookup(I438,'Listing SKU - Fill SKU Mapping'!A:C,3,false),"Map"),"")</f>
        <v/>
      </c>
      <c r="CE438" s="64" t="str">
        <f t="shared" si="4"/>
        <v>2025</v>
      </c>
      <c r="CF438" s="64" t="str">
        <f t="shared" si="5"/>
        <v>November</v>
      </c>
      <c r="CG438" s="64" t="str">
        <f t="shared" si="6"/>
        <v/>
      </c>
    </row>
    <row r="439">
      <c r="A439" s="55">
        <v>2.0001E14</v>
      </c>
      <c r="B439" s="56">
        <v>1.0</v>
      </c>
      <c r="C439" s="57">
        <v>1.2903E14</v>
      </c>
      <c r="D439" s="58">
        <v>1.0</v>
      </c>
      <c r="F439" s="59" t="s">
        <v>100</v>
      </c>
      <c r="G439" s="60">
        <v>45967.0</v>
      </c>
      <c r="H439" s="58">
        <v>1.0</v>
      </c>
      <c r="I439" s="58" t="s">
        <v>641</v>
      </c>
      <c r="J439" s="61">
        <v>4.60776231334E11</v>
      </c>
      <c r="K439" s="62" t="s">
        <v>642</v>
      </c>
      <c r="L439" s="62">
        <v>2038710.0</v>
      </c>
      <c r="M439" s="63"/>
      <c r="N439" s="63"/>
      <c r="O439" s="62" t="s">
        <v>274</v>
      </c>
      <c r="P439" s="63"/>
      <c r="Q439" s="63"/>
      <c r="R439" s="62" t="s">
        <v>643</v>
      </c>
      <c r="S439" s="62">
        <v>63111.0</v>
      </c>
      <c r="T439" s="58" t="s">
        <v>105</v>
      </c>
      <c r="U439" s="59">
        <v>115.53</v>
      </c>
      <c r="V439" s="59">
        <v>98.56</v>
      </c>
      <c r="W439" s="58">
        <v>7.42</v>
      </c>
      <c r="X439" s="58">
        <v>7.0</v>
      </c>
      <c r="Y439" s="58">
        <v>10.0</v>
      </c>
      <c r="Z439" s="59">
        <v>105.98</v>
      </c>
      <c r="AA439" s="58">
        <v>0.0</v>
      </c>
      <c r="AB439" s="58">
        <v>0.0</v>
      </c>
      <c r="AC439" s="58">
        <v>0.0</v>
      </c>
      <c r="AD439" s="58">
        <v>0.0</v>
      </c>
      <c r="AE439" s="58">
        <v>0.0</v>
      </c>
      <c r="AF439" s="58">
        <v>0.0</v>
      </c>
      <c r="AG439" s="58">
        <v>0.0</v>
      </c>
      <c r="AH439" s="58">
        <v>0.0</v>
      </c>
      <c r="AI439" s="58">
        <v>0.0</v>
      </c>
      <c r="AJ439" s="58">
        <v>0.0</v>
      </c>
      <c r="AK439" s="58">
        <v>0.0</v>
      </c>
      <c r="AL439" s="58">
        <v>0.0</v>
      </c>
      <c r="AM439" s="58">
        <v>0.0</v>
      </c>
      <c r="AN439" s="58">
        <v>0.0</v>
      </c>
      <c r="AO439" s="58">
        <v>0.0</v>
      </c>
      <c r="AP439" s="58">
        <v>9.55</v>
      </c>
      <c r="AQ439" s="58">
        <v>0.0</v>
      </c>
      <c r="AR439" s="58">
        <v>0.0</v>
      </c>
      <c r="AS439" s="58">
        <v>0.0</v>
      </c>
      <c r="AT439" s="58">
        <v>0.0</v>
      </c>
      <c r="AU439" s="58">
        <v>0.0</v>
      </c>
      <c r="AV439" s="58">
        <v>0.0</v>
      </c>
      <c r="AW439" s="58">
        <v>0.0</v>
      </c>
      <c r="AX439" s="58">
        <v>0.0</v>
      </c>
      <c r="AY439" s="58">
        <v>0.0</v>
      </c>
      <c r="AZ439" s="58">
        <v>0.0</v>
      </c>
      <c r="BA439" s="58">
        <v>0.0</v>
      </c>
      <c r="BB439" s="58">
        <v>9.55</v>
      </c>
      <c r="BC439" s="58" t="s">
        <v>106</v>
      </c>
      <c r="BG439" s="58">
        <v>-10.6</v>
      </c>
      <c r="BH439" s="58" t="s">
        <v>107</v>
      </c>
      <c r="BI439" s="58" t="s">
        <v>108</v>
      </c>
      <c r="BJ439" s="58" t="s">
        <v>109</v>
      </c>
      <c r="BK439" s="58" t="s">
        <v>551</v>
      </c>
      <c r="BN439" s="58" t="s">
        <v>111</v>
      </c>
      <c r="BO439" s="58" t="s">
        <v>112</v>
      </c>
      <c r="BP439" s="58" t="s">
        <v>113</v>
      </c>
      <c r="BQ439" s="58" t="s">
        <v>114</v>
      </c>
      <c r="BR439" s="58">
        <v>3.18</v>
      </c>
      <c r="BU439" s="72"/>
      <c r="BV439" s="72"/>
      <c r="BW439" s="64" t="str">
        <f>if(OR(F439="SALE",F439="REFUNDED"),IFERROR(Vlookup(I439,'Listing SKU - Fill SKU Mapping'!A:C,3,false),"Map"),"")</f>
        <v>Keystone</v>
      </c>
      <c r="BX439" s="64" t="str">
        <f>IF(OR(F439="SALE",F439="REFUNDED")=TRUE,iferror(Vlookup(I439,'Listing SKU - Fill SKU Mapping'!A:B,2,false),"Map"),"")</f>
        <v>IMP440BLK</v>
      </c>
      <c r="BY439" s="64">
        <f>IF(OR(F439="SALE",F439="REFUNDED")=TRUE,iferror(Vlookup(I439,'Listing SKU - Fill SKU Mapping'!A:D,4,false),"Map"),"")</f>
        <v>48.13</v>
      </c>
      <c r="BZ439" s="66">
        <f t="shared" si="1"/>
        <v>11.5</v>
      </c>
      <c r="CA439" s="66">
        <f t="shared" si="2"/>
        <v>59.63</v>
      </c>
      <c r="CB439" s="66">
        <f t="shared" si="3"/>
        <v>38.93</v>
      </c>
      <c r="CC439" s="64" t="str">
        <f>if(F439="REFUNDED",iferror(Vlookup(I439,'Listing SKU - Fill SKU Mapping'!A:B,2,false),"Map"),"")</f>
        <v/>
      </c>
      <c r="CD439" s="64" t="str">
        <f>if(F439="REFUNDED",iferror(Vlookup(I439,'Listing SKU - Fill SKU Mapping'!A:C,3,false),"Map"),"")</f>
        <v/>
      </c>
      <c r="CE439" s="64" t="str">
        <f t="shared" si="4"/>
        <v>2025</v>
      </c>
      <c r="CF439" s="64" t="str">
        <f t="shared" si="5"/>
        <v>November</v>
      </c>
      <c r="CG439" s="64" t="str">
        <f t="shared" si="6"/>
        <v/>
      </c>
    </row>
    <row r="440">
      <c r="A440" s="55">
        <v>2.0001E14</v>
      </c>
      <c r="B440" s="56">
        <v>1.0</v>
      </c>
      <c r="C440" s="57">
        <v>1.2903E14</v>
      </c>
      <c r="D440" s="58">
        <v>1.0</v>
      </c>
      <c r="F440" s="59" t="s">
        <v>100</v>
      </c>
      <c r="G440" s="60">
        <v>45964.0</v>
      </c>
      <c r="H440" s="58">
        <v>1.0</v>
      </c>
      <c r="I440" s="58" t="s">
        <v>369</v>
      </c>
      <c r="J440" s="61">
        <v>4.66885076132E11</v>
      </c>
      <c r="K440" s="62" t="s">
        <v>644</v>
      </c>
      <c r="L440" s="62">
        <v>2038710.0</v>
      </c>
      <c r="M440" s="63"/>
      <c r="N440" s="63"/>
      <c r="O440" s="62" t="s">
        <v>137</v>
      </c>
      <c r="P440" s="63"/>
      <c r="Q440" s="63"/>
      <c r="R440" s="62" t="s">
        <v>645</v>
      </c>
      <c r="S440" s="62">
        <v>43615.0</v>
      </c>
      <c r="T440" s="58" t="s">
        <v>105</v>
      </c>
      <c r="U440" s="59">
        <v>79.71</v>
      </c>
      <c r="V440" s="59">
        <v>68.8</v>
      </c>
      <c r="W440" s="58">
        <v>5.18</v>
      </c>
      <c r="X440" s="58">
        <v>7.0</v>
      </c>
      <c r="Y440" s="58">
        <v>10.0</v>
      </c>
      <c r="Z440" s="59">
        <v>73.98</v>
      </c>
      <c r="AA440" s="58">
        <v>0.0</v>
      </c>
      <c r="AB440" s="58">
        <v>0.0</v>
      </c>
      <c r="AC440" s="58">
        <v>0.0</v>
      </c>
      <c r="AD440" s="58">
        <v>0.0</v>
      </c>
      <c r="AE440" s="58">
        <v>0.0</v>
      </c>
      <c r="AF440" s="58">
        <v>0.0</v>
      </c>
      <c r="AG440" s="58">
        <v>0.0</v>
      </c>
      <c r="AH440" s="58">
        <v>0.0</v>
      </c>
      <c r="AI440" s="58">
        <v>0.0</v>
      </c>
      <c r="AJ440" s="58">
        <v>0.0</v>
      </c>
      <c r="AK440" s="58">
        <v>0.0</v>
      </c>
      <c r="AL440" s="58">
        <v>0.0</v>
      </c>
      <c r="AM440" s="58">
        <v>0.0</v>
      </c>
      <c r="AN440" s="58">
        <v>0.0</v>
      </c>
      <c r="AO440" s="58">
        <v>0.0</v>
      </c>
      <c r="AP440" s="58">
        <v>5.73</v>
      </c>
      <c r="AQ440" s="58">
        <v>0.0</v>
      </c>
      <c r="AR440" s="58">
        <v>0.0</v>
      </c>
      <c r="AS440" s="58">
        <v>0.0</v>
      </c>
      <c r="AT440" s="58">
        <v>0.0</v>
      </c>
      <c r="AU440" s="58">
        <v>0.0</v>
      </c>
      <c r="AV440" s="58">
        <v>0.0</v>
      </c>
      <c r="AW440" s="58">
        <v>0.0</v>
      </c>
      <c r="AX440" s="58">
        <v>0.0</v>
      </c>
      <c r="AY440" s="58">
        <v>0.0</v>
      </c>
      <c r="AZ440" s="58">
        <v>0.0</v>
      </c>
      <c r="BA440" s="58">
        <v>0.0</v>
      </c>
      <c r="BB440" s="58">
        <v>5.73</v>
      </c>
      <c r="BC440" s="58" t="s">
        <v>106</v>
      </c>
      <c r="BG440" s="58">
        <v>-7.4</v>
      </c>
      <c r="BH440" s="58" t="s">
        <v>107</v>
      </c>
      <c r="BI440" s="58" t="s">
        <v>108</v>
      </c>
      <c r="BJ440" s="58" t="s">
        <v>109</v>
      </c>
      <c r="BK440" s="58" t="s">
        <v>551</v>
      </c>
      <c r="BN440" s="58" t="s">
        <v>111</v>
      </c>
      <c r="BO440" s="58" t="s">
        <v>112</v>
      </c>
      <c r="BP440" s="58" t="s">
        <v>113</v>
      </c>
      <c r="BQ440" s="58" t="s">
        <v>114</v>
      </c>
      <c r="BR440" s="58">
        <v>2.22</v>
      </c>
      <c r="BU440" s="72"/>
      <c r="BV440" s="72"/>
      <c r="BW440" s="64" t="str">
        <f>if(OR(F440="SALE",F440="REFUNDED"),IFERROR(Vlookup(I440,'Listing SKU - Fill SKU Mapping'!A:C,3,false),"Map"),"")</f>
        <v>Keystone</v>
      </c>
      <c r="BX440" s="64" t="str">
        <f>IF(OR(F440="SALE",F440="REFUNDED")=TRUE,iferror(Vlookup(I440,'Listing SKU - Fill SKU Mapping'!A:B,2,false),"Map"),"")</f>
        <v>41415S</v>
      </c>
      <c r="BY440" s="64">
        <f>IF(OR(F440="SALE",F440="REFUNDED")=TRUE,iferror(Vlookup(I440,'Listing SKU - Fill SKU Mapping'!A:D,4,false),"Map"),"")</f>
        <v>26.04</v>
      </c>
      <c r="BZ440" s="66">
        <f t="shared" si="1"/>
        <v>11.5</v>
      </c>
      <c r="CA440" s="66">
        <f t="shared" si="2"/>
        <v>37.54</v>
      </c>
      <c r="CB440" s="66">
        <f t="shared" si="3"/>
        <v>31.26</v>
      </c>
      <c r="CC440" s="64" t="str">
        <f>if(F440="REFUNDED",iferror(Vlookup(I440,'Listing SKU - Fill SKU Mapping'!A:B,2,false),"Map"),"")</f>
        <v/>
      </c>
      <c r="CD440" s="64" t="str">
        <f>if(F440="REFUNDED",iferror(Vlookup(I440,'Listing SKU - Fill SKU Mapping'!A:C,3,false),"Map"),"")</f>
        <v/>
      </c>
      <c r="CE440" s="64" t="str">
        <f t="shared" si="4"/>
        <v>2025</v>
      </c>
      <c r="CF440" s="64" t="str">
        <f t="shared" si="5"/>
        <v>November</v>
      </c>
      <c r="CG440" s="64" t="str">
        <f t="shared" si="6"/>
        <v/>
      </c>
    </row>
    <row r="441">
      <c r="A441" s="55">
        <v>2.0001E14</v>
      </c>
      <c r="B441" s="56">
        <v>1.0</v>
      </c>
      <c r="C441" s="57">
        <v>1.2903E14</v>
      </c>
      <c r="D441" s="58">
        <v>1.0</v>
      </c>
      <c r="F441" s="59" t="s">
        <v>100</v>
      </c>
      <c r="G441" s="60">
        <v>45974.0</v>
      </c>
      <c r="H441" s="58">
        <v>1.0</v>
      </c>
      <c r="I441" s="58" t="s">
        <v>338</v>
      </c>
      <c r="J441" s="61">
        <v>4.6712993485E11</v>
      </c>
      <c r="K441" s="62" t="s">
        <v>480</v>
      </c>
      <c r="L441" s="62">
        <v>2038710.0</v>
      </c>
      <c r="M441" s="63"/>
      <c r="N441" s="63"/>
      <c r="O441" s="62" t="s">
        <v>161</v>
      </c>
      <c r="P441" s="63"/>
      <c r="Q441" s="63"/>
      <c r="R441" s="62" t="s">
        <v>574</v>
      </c>
      <c r="S441" s="62">
        <v>95132.0</v>
      </c>
      <c r="T441" s="58" t="s">
        <v>105</v>
      </c>
      <c r="U441" s="59">
        <v>93.82</v>
      </c>
      <c r="V441" s="59">
        <v>79.96</v>
      </c>
      <c r="W441" s="58">
        <v>6.02</v>
      </c>
      <c r="X441" s="58">
        <v>7.0</v>
      </c>
      <c r="Y441" s="58">
        <v>10.0</v>
      </c>
      <c r="Z441" s="59">
        <v>85.98</v>
      </c>
      <c r="AA441" s="58">
        <v>0.0</v>
      </c>
      <c r="AB441" s="58">
        <v>0.0</v>
      </c>
      <c r="AC441" s="58">
        <v>0.0</v>
      </c>
      <c r="AD441" s="58">
        <v>0.0</v>
      </c>
      <c r="AE441" s="58">
        <v>0.0</v>
      </c>
      <c r="AF441" s="58">
        <v>0.0</v>
      </c>
      <c r="AG441" s="58">
        <v>0.0</v>
      </c>
      <c r="AH441" s="58">
        <v>0.0</v>
      </c>
      <c r="AI441" s="58">
        <v>0.0</v>
      </c>
      <c r="AJ441" s="58">
        <v>0.0</v>
      </c>
      <c r="AK441" s="58">
        <v>0.0</v>
      </c>
      <c r="AL441" s="58">
        <v>0.0</v>
      </c>
      <c r="AM441" s="58">
        <v>0.0</v>
      </c>
      <c r="AN441" s="58">
        <v>0.0</v>
      </c>
      <c r="AO441" s="58">
        <v>0.0</v>
      </c>
      <c r="AP441" s="58">
        <v>7.84</v>
      </c>
      <c r="AQ441" s="58">
        <v>0.0</v>
      </c>
      <c r="AR441" s="58">
        <v>0.0</v>
      </c>
      <c r="AS441" s="58">
        <v>0.0</v>
      </c>
      <c r="AT441" s="58">
        <v>0.0</v>
      </c>
      <c r="AU441" s="58">
        <v>0.0</v>
      </c>
      <c r="AV441" s="58">
        <v>0.0</v>
      </c>
      <c r="AW441" s="58">
        <v>0.0</v>
      </c>
      <c r="AX441" s="58">
        <v>0.0</v>
      </c>
      <c r="AY441" s="58">
        <v>0.0</v>
      </c>
      <c r="AZ441" s="58">
        <v>0.0</v>
      </c>
      <c r="BA441" s="58">
        <v>0.0</v>
      </c>
      <c r="BB441" s="58">
        <v>7.84</v>
      </c>
      <c r="BC441" s="58" t="s">
        <v>106</v>
      </c>
      <c r="BG441" s="58">
        <v>-8.6</v>
      </c>
      <c r="BH441" s="58" t="s">
        <v>107</v>
      </c>
      <c r="BI441" s="58" t="s">
        <v>108</v>
      </c>
      <c r="BJ441" s="58" t="s">
        <v>109</v>
      </c>
      <c r="BK441" s="58" t="s">
        <v>614</v>
      </c>
      <c r="BN441" s="58" t="s">
        <v>111</v>
      </c>
      <c r="BO441" s="58" t="s">
        <v>112</v>
      </c>
      <c r="BP441" s="58" t="s">
        <v>113</v>
      </c>
      <c r="BQ441" s="58" t="s">
        <v>114</v>
      </c>
      <c r="BR441" s="58">
        <v>2.58</v>
      </c>
      <c r="BU441" s="72"/>
      <c r="BV441" s="72"/>
      <c r="BW441" s="64" t="str">
        <f>if(OR(F441="SALE",F441="REFUNDED"),IFERROR(Vlookup(I441,'Listing SKU - Fill SKU Mapping'!A:C,3,false),"Map"),"")</f>
        <v>Keystone</v>
      </c>
      <c r="BX441" s="64" t="str">
        <f>IF(OR(F441="SALE",F441="REFUNDED")=TRUE,iferror(Vlookup(I441,'Listing SKU - Fill SKU Mapping'!A:B,2,false),"Map"),"")</f>
        <v>54216BLK</v>
      </c>
      <c r="BY441" s="64">
        <f>IF(OR(F441="SALE",F441="REFUNDED")=TRUE,iferror(Vlookup(I441,'Listing SKU - Fill SKU Mapping'!A:D,4,false),"Map"),"")</f>
        <v>33.14</v>
      </c>
      <c r="BZ441" s="66">
        <f t="shared" si="1"/>
        <v>11.5</v>
      </c>
      <c r="CA441" s="66">
        <f t="shared" si="2"/>
        <v>44.64</v>
      </c>
      <c r="CB441" s="66">
        <f t="shared" si="3"/>
        <v>35.32</v>
      </c>
      <c r="CC441" s="64" t="str">
        <f>if(F441="REFUNDED",iferror(Vlookup(I441,'Listing SKU - Fill SKU Mapping'!A:B,2,false),"Map"),"")</f>
        <v/>
      </c>
      <c r="CD441" s="64" t="str">
        <f>if(F441="REFUNDED",iferror(Vlookup(I441,'Listing SKU - Fill SKU Mapping'!A:C,3,false),"Map"),"")</f>
        <v/>
      </c>
      <c r="CE441" s="64" t="str">
        <f t="shared" si="4"/>
        <v>2025</v>
      </c>
      <c r="CF441" s="64" t="str">
        <f t="shared" si="5"/>
        <v>November</v>
      </c>
      <c r="CG441" s="64" t="str">
        <f t="shared" si="6"/>
        <v/>
      </c>
    </row>
    <row r="442">
      <c r="A442" s="55">
        <v>2.0001E14</v>
      </c>
      <c r="B442" s="56">
        <v>1.0</v>
      </c>
      <c r="C442" s="57">
        <v>1.2903E14</v>
      </c>
      <c r="D442" s="58">
        <v>1.0</v>
      </c>
      <c r="F442" s="59" t="s">
        <v>100</v>
      </c>
      <c r="G442" s="60">
        <v>45975.0</v>
      </c>
      <c r="H442" s="58">
        <v>1.0</v>
      </c>
      <c r="I442" s="58" t="s">
        <v>354</v>
      </c>
      <c r="J442" s="61">
        <v>4.6712995803E11</v>
      </c>
      <c r="K442" s="62" t="s">
        <v>549</v>
      </c>
      <c r="L442" s="62">
        <v>2038710.0</v>
      </c>
      <c r="M442" s="63"/>
      <c r="N442" s="63"/>
      <c r="O442" s="62" t="s">
        <v>149</v>
      </c>
      <c r="P442" s="63"/>
      <c r="Q442" s="63"/>
      <c r="R442" s="62" t="s">
        <v>646</v>
      </c>
      <c r="S442" s="62">
        <v>39581.0</v>
      </c>
      <c r="T442" s="58" t="s">
        <v>105</v>
      </c>
      <c r="U442" s="59">
        <v>124.1</v>
      </c>
      <c r="V442" s="59">
        <v>119.02</v>
      </c>
      <c r="W442" s="58">
        <v>8.96</v>
      </c>
      <c r="X442" s="58">
        <v>7.0</v>
      </c>
      <c r="Y442" s="58">
        <v>10.0</v>
      </c>
      <c r="Z442" s="59">
        <v>115.98</v>
      </c>
      <c r="AA442" s="58">
        <v>0.0</v>
      </c>
      <c r="AB442" s="58">
        <v>0.0</v>
      </c>
      <c r="AC442" s="58">
        <v>0.0</v>
      </c>
      <c r="AD442" s="58">
        <v>0.0</v>
      </c>
      <c r="AE442" s="58">
        <v>0.0</v>
      </c>
      <c r="AF442" s="58">
        <v>0.0</v>
      </c>
      <c r="AG442" s="58">
        <v>0.0</v>
      </c>
      <c r="AH442" s="58">
        <v>0.0</v>
      </c>
      <c r="AI442" s="58">
        <v>0.0</v>
      </c>
      <c r="AJ442" s="58">
        <v>0.0</v>
      </c>
      <c r="AK442" s="58">
        <v>0.0</v>
      </c>
      <c r="AL442" s="58">
        <v>0.0</v>
      </c>
      <c r="AM442" s="58">
        <v>0.0</v>
      </c>
      <c r="AN442" s="58">
        <v>0.0</v>
      </c>
      <c r="AO442" s="58">
        <v>0.0</v>
      </c>
      <c r="AP442" s="58">
        <v>8.12</v>
      </c>
      <c r="AQ442" s="58">
        <v>0.0</v>
      </c>
      <c r="AR442" s="58">
        <v>0.0</v>
      </c>
      <c r="AS442" s="58">
        <v>0.0</v>
      </c>
      <c r="AT442" s="58">
        <v>0.0</v>
      </c>
      <c r="AU442" s="58">
        <v>0.0</v>
      </c>
      <c r="AV442" s="58">
        <v>0.0</v>
      </c>
      <c r="AW442" s="58">
        <v>0.0</v>
      </c>
      <c r="AX442" s="58">
        <v>0.0</v>
      </c>
      <c r="AY442" s="58">
        <v>0.0</v>
      </c>
      <c r="AZ442" s="58">
        <v>0.0</v>
      </c>
      <c r="BA442" s="58">
        <v>0.0</v>
      </c>
      <c r="BB442" s="58">
        <v>8.12</v>
      </c>
      <c r="BC442" s="58" t="s">
        <v>106</v>
      </c>
      <c r="BF442" s="58">
        <v>127.98</v>
      </c>
      <c r="BG442" s="58">
        <v>-12.8</v>
      </c>
      <c r="BH442" s="58" t="s">
        <v>107</v>
      </c>
      <c r="BI442" s="58" t="s">
        <v>108</v>
      </c>
      <c r="BJ442" s="58" t="s">
        <v>109</v>
      </c>
      <c r="BK442" s="58" t="s">
        <v>623</v>
      </c>
      <c r="BN442" s="58" t="s">
        <v>111</v>
      </c>
      <c r="BO442" s="58" t="s">
        <v>112</v>
      </c>
      <c r="BP442" s="58" t="s">
        <v>113</v>
      </c>
      <c r="BQ442" s="58" t="s">
        <v>317</v>
      </c>
      <c r="BR442" s="58">
        <v>3.84</v>
      </c>
      <c r="BT442" s="58">
        <v>-12.0</v>
      </c>
      <c r="BU442" s="73" t="s">
        <v>318</v>
      </c>
      <c r="BV442" s="73"/>
      <c r="BW442" s="64" t="str">
        <f>if(OR(F442="SALE",F442="REFUNDED"),IFERROR(Vlookup(I442,'Listing SKU - Fill SKU Mapping'!A:C,3,false),"Map"),"")</f>
        <v>Keystone</v>
      </c>
      <c r="BX442" s="64" t="str">
        <f>IF(OR(F442="SALE",F442="REFUNDED")=TRUE,iferror(Vlookup(I442,'Listing SKU - Fill SKU Mapping'!A:B,2,false),"Map"),"")</f>
        <v>43118BLK</v>
      </c>
      <c r="BY442" s="64">
        <f>IF(OR(F442="SALE",F442="REFUNDED")=TRUE,iferror(Vlookup(I442,'Listing SKU - Fill SKU Mapping'!A:D,4,false),"Map"),"")</f>
        <v>59.17</v>
      </c>
      <c r="BZ442" s="66">
        <f t="shared" si="1"/>
        <v>11.5</v>
      </c>
      <c r="CA442" s="66">
        <f t="shared" si="2"/>
        <v>70.67</v>
      </c>
      <c r="CB442" s="66">
        <f t="shared" si="3"/>
        <v>48.35</v>
      </c>
      <c r="CC442" s="64" t="str">
        <f>if(F442="REFUNDED",iferror(Vlookup(I442,'Listing SKU - Fill SKU Mapping'!A:B,2,false),"Map"),"")</f>
        <v/>
      </c>
      <c r="CD442" s="64" t="str">
        <f>if(F442="REFUNDED",iferror(Vlookup(I442,'Listing SKU - Fill SKU Mapping'!A:C,3,false),"Map"),"")</f>
        <v/>
      </c>
      <c r="CE442" s="64" t="str">
        <f t="shared" si="4"/>
        <v>2025</v>
      </c>
      <c r="CF442" s="64" t="str">
        <f t="shared" si="5"/>
        <v>November</v>
      </c>
      <c r="CG442" s="64" t="str">
        <f t="shared" si="6"/>
        <v/>
      </c>
    </row>
    <row r="443">
      <c r="A443" s="55">
        <v>2.0001E14</v>
      </c>
      <c r="B443" s="56">
        <v>1.0</v>
      </c>
      <c r="C443" s="57">
        <v>1.2903E14</v>
      </c>
      <c r="D443" s="58">
        <v>1.0</v>
      </c>
      <c r="F443" s="59" t="s">
        <v>100</v>
      </c>
      <c r="G443" s="60">
        <v>45975.0</v>
      </c>
      <c r="H443" s="58">
        <v>1.0</v>
      </c>
      <c r="I443" s="58" t="s">
        <v>413</v>
      </c>
      <c r="J443" s="61">
        <v>4.67129958542E11</v>
      </c>
      <c r="K443" s="62" t="s">
        <v>639</v>
      </c>
      <c r="L443" s="62">
        <v>2038710.0</v>
      </c>
      <c r="M443" s="63"/>
      <c r="N443" s="63"/>
      <c r="O443" s="62" t="s">
        <v>117</v>
      </c>
      <c r="P443" s="63"/>
      <c r="Q443" s="63"/>
      <c r="R443" s="62" t="s">
        <v>647</v>
      </c>
      <c r="S443" s="62">
        <v>20782.0</v>
      </c>
      <c r="T443" s="58" t="s">
        <v>105</v>
      </c>
      <c r="U443" s="59">
        <v>71.97</v>
      </c>
      <c r="V443" s="59">
        <v>70.66</v>
      </c>
      <c r="W443" s="58">
        <v>5.32</v>
      </c>
      <c r="X443" s="58">
        <v>7.0</v>
      </c>
      <c r="Y443" s="58">
        <v>10.0</v>
      </c>
      <c r="Z443" s="59">
        <v>67.9</v>
      </c>
      <c r="AA443" s="58">
        <v>0.0</v>
      </c>
      <c r="AB443" s="58">
        <v>0.0</v>
      </c>
      <c r="AC443" s="58">
        <v>0.0</v>
      </c>
      <c r="AD443" s="58">
        <v>0.0</v>
      </c>
      <c r="AE443" s="58">
        <v>0.0</v>
      </c>
      <c r="AF443" s="58">
        <v>0.0</v>
      </c>
      <c r="AG443" s="58">
        <v>0.0</v>
      </c>
      <c r="AH443" s="58">
        <v>0.0</v>
      </c>
      <c r="AI443" s="58">
        <v>0.0</v>
      </c>
      <c r="AJ443" s="58">
        <v>0.0</v>
      </c>
      <c r="AK443" s="58">
        <v>0.0</v>
      </c>
      <c r="AL443" s="58">
        <v>0.0</v>
      </c>
      <c r="AM443" s="58">
        <v>0.0</v>
      </c>
      <c r="AN443" s="58">
        <v>0.0</v>
      </c>
      <c r="AO443" s="58">
        <v>0.0</v>
      </c>
      <c r="AP443" s="58">
        <v>4.07</v>
      </c>
      <c r="AQ443" s="58">
        <v>0.0</v>
      </c>
      <c r="AR443" s="58">
        <v>0.0</v>
      </c>
      <c r="AS443" s="58">
        <v>0.0</v>
      </c>
      <c r="AT443" s="58">
        <v>0.0</v>
      </c>
      <c r="AU443" s="58">
        <v>0.0</v>
      </c>
      <c r="AV443" s="58">
        <v>0.0</v>
      </c>
      <c r="AW443" s="58">
        <v>0.0</v>
      </c>
      <c r="AX443" s="58">
        <v>0.0</v>
      </c>
      <c r="AY443" s="58">
        <v>0.0</v>
      </c>
      <c r="AZ443" s="58">
        <v>0.0</v>
      </c>
      <c r="BA443" s="58">
        <v>0.0</v>
      </c>
      <c r="BB443" s="58">
        <v>4.07</v>
      </c>
      <c r="BC443" s="58" t="s">
        <v>106</v>
      </c>
      <c r="BF443" s="58">
        <v>75.98</v>
      </c>
      <c r="BG443" s="58">
        <v>-7.6</v>
      </c>
      <c r="BH443" s="58" t="s">
        <v>107</v>
      </c>
      <c r="BI443" s="58" t="s">
        <v>108</v>
      </c>
      <c r="BJ443" s="58" t="s">
        <v>109</v>
      </c>
      <c r="BK443" s="58" t="s">
        <v>623</v>
      </c>
      <c r="BN443" s="58" t="s">
        <v>111</v>
      </c>
      <c r="BO443" s="58" t="s">
        <v>112</v>
      </c>
      <c r="BP443" s="58" t="s">
        <v>113</v>
      </c>
      <c r="BQ443" s="58" t="s">
        <v>317</v>
      </c>
      <c r="BR443" s="58">
        <v>2.28</v>
      </c>
      <c r="BT443" s="58">
        <v>-8.08</v>
      </c>
      <c r="BU443" s="73" t="s">
        <v>318</v>
      </c>
      <c r="BV443" s="73"/>
      <c r="BW443" s="64" t="str">
        <f>if(OR(F443="SALE",F443="REFUNDED"),IFERROR(Vlookup(I443,'Listing SKU - Fill SKU Mapping'!A:C,3,false),"Map"),"")</f>
        <v>Keystone</v>
      </c>
      <c r="BX443" s="64" t="str">
        <f>IF(OR(F443="SALE",F443="REFUNDED")=TRUE,iferror(Vlookup(I443,'Listing SKU - Fill SKU Mapping'!A:B,2,false),"Map"),"")</f>
        <v>45216S</v>
      </c>
      <c r="BY443" s="64">
        <f>IF(OR(F443="SALE",F443="REFUNDED")=TRUE,iferror(Vlookup(I443,'Listing SKU - Fill SKU Mapping'!A:D,4,false),"Map"),"")</f>
        <v>27.22</v>
      </c>
      <c r="BZ443" s="66">
        <f t="shared" si="1"/>
        <v>11.5</v>
      </c>
      <c r="CA443" s="66">
        <f t="shared" si="2"/>
        <v>38.72</v>
      </c>
      <c r="CB443" s="66">
        <f t="shared" si="3"/>
        <v>31.94</v>
      </c>
      <c r="CC443" s="64" t="str">
        <f>if(F443="REFUNDED",iferror(Vlookup(I443,'Listing SKU - Fill SKU Mapping'!A:B,2,false),"Map"),"")</f>
        <v/>
      </c>
      <c r="CD443" s="64" t="str">
        <f>if(F443="REFUNDED",iferror(Vlookup(I443,'Listing SKU - Fill SKU Mapping'!A:C,3,false),"Map"),"")</f>
        <v/>
      </c>
      <c r="CE443" s="64" t="str">
        <f t="shared" si="4"/>
        <v>2025</v>
      </c>
      <c r="CF443" s="64" t="str">
        <f t="shared" si="5"/>
        <v>November</v>
      </c>
      <c r="CG443" s="64" t="str">
        <f t="shared" si="6"/>
        <v/>
      </c>
    </row>
    <row r="444">
      <c r="A444" s="55">
        <v>2.0001E14</v>
      </c>
      <c r="B444" s="56">
        <v>3.0</v>
      </c>
      <c r="C444" s="57">
        <v>1.2903E14</v>
      </c>
      <c r="D444" s="58">
        <v>3.0</v>
      </c>
      <c r="F444" s="59" t="s">
        <v>100</v>
      </c>
      <c r="G444" s="60">
        <v>45973.0</v>
      </c>
      <c r="H444" s="58">
        <v>1.0</v>
      </c>
      <c r="I444" s="58" t="s">
        <v>648</v>
      </c>
      <c r="J444" s="61">
        <v>4.66885065631E11</v>
      </c>
      <c r="K444" s="62" t="s">
        <v>649</v>
      </c>
      <c r="L444" s="62">
        <v>2038710.0</v>
      </c>
      <c r="M444" s="63"/>
      <c r="N444" s="63"/>
      <c r="O444" s="62" t="s">
        <v>297</v>
      </c>
      <c r="P444" s="63"/>
      <c r="Q444" s="63"/>
      <c r="R444" s="62" t="s">
        <v>650</v>
      </c>
      <c r="S444" s="62">
        <v>80212.0</v>
      </c>
      <c r="T444" s="58" t="s">
        <v>105</v>
      </c>
      <c r="U444" s="59">
        <v>72.05</v>
      </c>
      <c r="V444" s="59">
        <v>67.87</v>
      </c>
      <c r="W444" s="58">
        <v>5.11</v>
      </c>
      <c r="X444" s="58">
        <v>7.0</v>
      </c>
      <c r="Y444" s="58">
        <v>10.0</v>
      </c>
      <c r="Z444" s="59">
        <v>66.71</v>
      </c>
      <c r="AA444" s="58">
        <v>0.0</v>
      </c>
      <c r="AB444" s="58">
        <v>0.0</v>
      </c>
      <c r="AC444" s="58">
        <v>0.0</v>
      </c>
      <c r="AD444" s="58">
        <v>0.0</v>
      </c>
      <c r="AE444" s="58">
        <v>0.0</v>
      </c>
      <c r="AF444" s="58">
        <v>0.0</v>
      </c>
      <c r="AG444" s="58">
        <v>0.0</v>
      </c>
      <c r="AH444" s="58">
        <v>0.0</v>
      </c>
      <c r="AI444" s="58">
        <v>0.0</v>
      </c>
      <c r="AJ444" s="58">
        <v>0.0</v>
      </c>
      <c r="AK444" s="58">
        <v>0.0</v>
      </c>
      <c r="AL444" s="58">
        <v>0.0</v>
      </c>
      <c r="AM444" s="58">
        <v>0.0</v>
      </c>
      <c r="AN444" s="58">
        <v>0.0</v>
      </c>
      <c r="AO444" s="58">
        <v>0.0</v>
      </c>
      <c r="AP444" s="58">
        <v>5.34</v>
      </c>
      <c r="AQ444" s="58">
        <v>0.0</v>
      </c>
      <c r="AR444" s="58">
        <v>0.0</v>
      </c>
      <c r="AS444" s="58">
        <v>0.0</v>
      </c>
      <c r="AT444" s="58">
        <v>0.0</v>
      </c>
      <c r="AU444" s="58">
        <v>0.0</v>
      </c>
      <c r="AV444" s="58">
        <v>0.0</v>
      </c>
      <c r="AW444" s="58">
        <v>0.0</v>
      </c>
      <c r="AX444" s="58">
        <v>0.0</v>
      </c>
      <c r="AY444" s="58">
        <v>0.0</v>
      </c>
      <c r="AZ444" s="58">
        <v>0.0</v>
      </c>
      <c r="BA444" s="58">
        <v>0.0</v>
      </c>
      <c r="BB444" s="58">
        <v>5.34</v>
      </c>
      <c r="BC444" s="58" t="s">
        <v>106</v>
      </c>
      <c r="BF444" s="58">
        <v>72.98</v>
      </c>
      <c r="BG444" s="58">
        <v>-7.3</v>
      </c>
      <c r="BH444" s="58" t="s">
        <v>107</v>
      </c>
      <c r="BI444" s="58" t="s">
        <v>108</v>
      </c>
      <c r="BJ444" s="58" t="s">
        <v>109</v>
      </c>
      <c r="BK444" s="58" t="s">
        <v>614</v>
      </c>
      <c r="BN444" s="58" t="s">
        <v>111</v>
      </c>
      <c r="BO444" s="58" t="s">
        <v>112</v>
      </c>
      <c r="BP444" s="58" t="s">
        <v>113</v>
      </c>
      <c r="BQ444" s="58" t="s">
        <v>317</v>
      </c>
      <c r="BR444" s="58">
        <v>2.19</v>
      </c>
      <c r="BT444" s="58">
        <v>-6.27</v>
      </c>
      <c r="BU444" s="73" t="s">
        <v>318</v>
      </c>
      <c r="BV444" s="73"/>
      <c r="BW444" s="64" t="str">
        <f>if(OR(F444="SALE",F444="REFUNDED"),IFERROR(Vlookup(I444,'Listing SKU - Fill SKU Mapping'!A:C,3,false),"Map"),"")</f>
        <v>Keystone</v>
      </c>
      <c r="BX444" s="64" t="str">
        <f>IF(OR(F444="SALE",F444="REFUNDED")=TRUE,iferror(Vlookup(I444,'Listing SKU - Fill SKU Mapping'!A:B,2,false),"Map"),"")</f>
        <v>103716S</v>
      </c>
      <c r="BY444" s="64">
        <f>IF(OR(F444="SALE",F444="REFUNDED")=TRUE,iferror(Vlookup(I444,'Listing SKU - Fill SKU Mapping'!A:D,4,false),"Map"),"")</f>
        <v>25.25</v>
      </c>
      <c r="BZ444" s="66">
        <f t="shared" si="1"/>
        <v>11.5</v>
      </c>
      <c r="CA444" s="66">
        <f t="shared" si="2"/>
        <v>36.75</v>
      </c>
      <c r="CB444" s="66">
        <f t="shared" si="3"/>
        <v>31.12</v>
      </c>
      <c r="CC444" s="64" t="str">
        <f>if(F444="REFUNDED",iferror(Vlookup(I444,'Listing SKU - Fill SKU Mapping'!A:B,2,false),"Map"),"")</f>
        <v/>
      </c>
      <c r="CD444" s="64" t="str">
        <f>if(F444="REFUNDED",iferror(Vlookup(I444,'Listing SKU - Fill SKU Mapping'!A:C,3,false),"Map"),"")</f>
        <v/>
      </c>
      <c r="CE444" s="64" t="str">
        <f t="shared" si="4"/>
        <v>2025</v>
      </c>
      <c r="CF444" s="64" t="str">
        <f t="shared" si="5"/>
        <v>November</v>
      </c>
      <c r="CG444" s="64" t="str">
        <f t="shared" si="6"/>
        <v/>
      </c>
    </row>
    <row r="445">
      <c r="A445" s="55">
        <v>2.0001E14</v>
      </c>
      <c r="B445" s="56">
        <v>1.0</v>
      </c>
      <c r="C445" s="57">
        <v>1.2903E14</v>
      </c>
      <c r="D445" s="58">
        <v>1.0</v>
      </c>
      <c r="F445" s="59" t="s">
        <v>100</v>
      </c>
      <c r="G445" s="60">
        <v>45964.0</v>
      </c>
      <c r="H445" s="58">
        <v>1.0</v>
      </c>
      <c r="I445" s="58" t="s">
        <v>589</v>
      </c>
      <c r="J445" s="61">
        <v>4.69971002138E11</v>
      </c>
      <c r="K445" s="62" t="s">
        <v>590</v>
      </c>
      <c r="L445" s="62">
        <v>2038710.0</v>
      </c>
      <c r="M445" s="63"/>
      <c r="N445" s="63"/>
      <c r="O445" s="62" t="s">
        <v>166</v>
      </c>
      <c r="P445" s="63"/>
      <c r="Q445" s="63"/>
      <c r="R445" s="62" t="s">
        <v>651</v>
      </c>
      <c r="S445" s="62">
        <v>24112.0</v>
      </c>
      <c r="T445" s="58" t="s">
        <v>105</v>
      </c>
      <c r="U445" s="59">
        <v>95.56</v>
      </c>
      <c r="V445" s="59">
        <v>94.84</v>
      </c>
      <c r="W445" s="58">
        <v>7.14</v>
      </c>
      <c r="X445" s="58">
        <v>7.0</v>
      </c>
      <c r="Y445" s="58">
        <v>10.0</v>
      </c>
      <c r="Z445" s="59">
        <v>89.9</v>
      </c>
      <c r="AA445" s="58">
        <v>0.0</v>
      </c>
      <c r="AB445" s="58">
        <v>0.0</v>
      </c>
      <c r="AC445" s="58">
        <v>0.0</v>
      </c>
      <c r="AD445" s="58">
        <v>0.0</v>
      </c>
      <c r="AE445" s="58">
        <v>0.0</v>
      </c>
      <c r="AF445" s="58">
        <v>0.0</v>
      </c>
      <c r="AG445" s="58">
        <v>0.0</v>
      </c>
      <c r="AH445" s="58">
        <v>0.0</v>
      </c>
      <c r="AI445" s="58">
        <v>0.0</v>
      </c>
      <c r="AJ445" s="58">
        <v>0.0</v>
      </c>
      <c r="AK445" s="58">
        <v>0.0</v>
      </c>
      <c r="AL445" s="58">
        <v>0.0</v>
      </c>
      <c r="AM445" s="58">
        <v>0.0</v>
      </c>
      <c r="AN445" s="58">
        <v>0.0</v>
      </c>
      <c r="AO445" s="58">
        <v>0.0</v>
      </c>
      <c r="AP445" s="58">
        <v>5.66</v>
      </c>
      <c r="AQ445" s="58">
        <v>0.0</v>
      </c>
      <c r="AR445" s="58">
        <v>0.0</v>
      </c>
      <c r="AS445" s="58">
        <v>0.0</v>
      </c>
      <c r="AT445" s="58">
        <v>0.0</v>
      </c>
      <c r="AU445" s="58">
        <v>0.0</v>
      </c>
      <c r="AV445" s="58">
        <v>0.0</v>
      </c>
      <c r="AW445" s="58">
        <v>0.0</v>
      </c>
      <c r="AX445" s="58">
        <v>0.0</v>
      </c>
      <c r="AY445" s="58">
        <v>0.0</v>
      </c>
      <c r="AZ445" s="58">
        <v>0.0</v>
      </c>
      <c r="BA445" s="58">
        <v>0.0</v>
      </c>
      <c r="BB445" s="58">
        <v>5.66</v>
      </c>
      <c r="BC445" s="58" t="s">
        <v>106</v>
      </c>
      <c r="BF445" s="58">
        <v>101.98</v>
      </c>
      <c r="BG445" s="58">
        <v>-10.2</v>
      </c>
      <c r="BH445" s="58" t="s">
        <v>107</v>
      </c>
      <c r="BI445" s="58" t="s">
        <v>108</v>
      </c>
      <c r="BJ445" s="58" t="s">
        <v>109</v>
      </c>
      <c r="BK445" s="58" t="s">
        <v>551</v>
      </c>
      <c r="BN445" s="58" t="s">
        <v>111</v>
      </c>
      <c r="BO445" s="58" t="s">
        <v>112</v>
      </c>
      <c r="BP445" s="58" t="s">
        <v>113</v>
      </c>
      <c r="BQ445" s="58" t="s">
        <v>317</v>
      </c>
      <c r="BR445" s="58">
        <v>3.06</v>
      </c>
      <c r="BT445" s="58">
        <v>-12.08</v>
      </c>
      <c r="BU445" s="73" t="s">
        <v>318</v>
      </c>
      <c r="BV445" s="73"/>
      <c r="BW445" s="64" t="str">
        <f>if(OR(F445="SALE",F445="REFUNDED"),IFERROR(Vlookup(I445,'Listing SKU - Fill SKU Mapping'!A:C,3,false),"Map"),"")</f>
        <v>Keystone</v>
      </c>
      <c r="BX445" s="64" t="str">
        <f>IF(OR(F445="SALE",F445="REFUNDED")=TRUE,iferror(Vlookup(I445,'Listing SKU - Fill SKU Mapping'!A:B,2,false),"Map"),"")</f>
        <v>46217C</v>
      </c>
      <c r="BY445" s="64">
        <f>IF(OR(F445="SALE",F445="REFUNDED")=TRUE,iferror(Vlookup(I445,'Listing SKU - Fill SKU Mapping'!A:D,4,false),"Map"),"")</f>
        <v>43</v>
      </c>
      <c r="BZ445" s="66">
        <f t="shared" si="1"/>
        <v>11.5</v>
      </c>
      <c r="CA445" s="66">
        <f t="shared" si="2"/>
        <v>54.5</v>
      </c>
      <c r="CB445" s="66">
        <f t="shared" si="3"/>
        <v>40.34</v>
      </c>
      <c r="CC445" s="64" t="str">
        <f>if(F445="REFUNDED",iferror(Vlookup(I445,'Listing SKU - Fill SKU Mapping'!A:B,2,false),"Map"),"")</f>
        <v/>
      </c>
      <c r="CD445" s="64" t="str">
        <f>if(F445="REFUNDED",iferror(Vlookup(I445,'Listing SKU - Fill SKU Mapping'!A:C,3,false),"Map"),"")</f>
        <v/>
      </c>
      <c r="CE445" s="64" t="str">
        <f t="shared" si="4"/>
        <v>2025</v>
      </c>
      <c r="CF445" s="64" t="str">
        <f t="shared" si="5"/>
        <v>November</v>
      </c>
      <c r="CG445" s="64" t="str">
        <f t="shared" si="6"/>
        <v/>
      </c>
    </row>
    <row r="446">
      <c r="A446" s="55">
        <v>2.0001E14</v>
      </c>
      <c r="B446" s="56">
        <v>1.0</v>
      </c>
      <c r="C446" s="57">
        <v>1.2903E14</v>
      </c>
      <c r="D446" s="58">
        <v>1.0</v>
      </c>
      <c r="F446" s="59" t="s">
        <v>100</v>
      </c>
      <c r="G446" s="60">
        <v>45964.0</v>
      </c>
      <c r="H446" s="58">
        <v>1.0</v>
      </c>
      <c r="I446" s="58" t="s">
        <v>324</v>
      </c>
      <c r="J446" s="61">
        <v>4.67620062434E11</v>
      </c>
      <c r="K446" s="62" t="s">
        <v>652</v>
      </c>
      <c r="L446" s="62">
        <v>2038710.0</v>
      </c>
      <c r="M446" s="63"/>
      <c r="N446" s="63"/>
      <c r="O446" s="62" t="s">
        <v>536</v>
      </c>
      <c r="P446" s="63"/>
      <c r="Q446" s="63"/>
      <c r="R446" s="62" t="s">
        <v>653</v>
      </c>
      <c r="S446" s="62">
        <v>85120.0</v>
      </c>
      <c r="T446" s="58" t="s">
        <v>105</v>
      </c>
      <c r="U446" s="59">
        <v>41.03</v>
      </c>
      <c r="V446" s="59">
        <v>35.33</v>
      </c>
      <c r="W446" s="58">
        <v>2.66</v>
      </c>
      <c r="X446" s="58">
        <v>7.0</v>
      </c>
      <c r="Y446" s="58">
        <v>10.0</v>
      </c>
      <c r="Z446" s="59">
        <v>37.99</v>
      </c>
      <c r="AA446" s="58">
        <v>0.0</v>
      </c>
      <c r="AB446" s="58">
        <v>0.0</v>
      </c>
      <c r="AC446" s="58">
        <v>0.0</v>
      </c>
      <c r="AD446" s="58">
        <v>0.0</v>
      </c>
      <c r="AE446" s="58">
        <v>0.0</v>
      </c>
      <c r="AF446" s="58">
        <v>0.0</v>
      </c>
      <c r="AG446" s="58">
        <v>0.0</v>
      </c>
      <c r="AH446" s="58">
        <v>0.0</v>
      </c>
      <c r="AI446" s="58">
        <v>0.0</v>
      </c>
      <c r="AJ446" s="58">
        <v>0.0</v>
      </c>
      <c r="AK446" s="58">
        <v>0.0</v>
      </c>
      <c r="AL446" s="58">
        <v>0.0</v>
      </c>
      <c r="AM446" s="58">
        <v>0.0</v>
      </c>
      <c r="AN446" s="58">
        <v>0.0</v>
      </c>
      <c r="AO446" s="58">
        <v>0.0</v>
      </c>
      <c r="AP446" s="58">
        <v>3.04</v>
      </c>
      <c r="AQ446" s="58">
        <v>0.0</v>
      </c>
      <c r="AR446" s="58">
        <v>0.0</v>
      </c>
      <c r="AS446" s="58">
        <v>0.0</v>
      </c>
      <c r="AT446" s="58">
        <v>0.0</v>
      </c>
      <c r="AU446" s="58">
        <v>0.0</v>
      </c>
      <c r="AV446" s="58">
        <v>0.0</v>
      </c>
      <c r="AW446" s="58">
        <v>0.0</v>
      </c>
      <c r="AX446" s="58">
        <v>0.0</v>
      </c>
      <c r="AY446" s="58">
        <v>0.0</v>
      </c>
      <c r="AZ446" s="58">
        <v>0.0</v>
      </c>
      <c r="BA446" s="58">
        <v>0.0</v>
      </c>
      <c r="BB446" s="58">
        <v>3.04</v>
      </c>
      <c r="BC446" s="58" t="s">
        <v>106</v>
      </c>
      <c r="BG446" s="58">
        <v>-3.8</v>
      </c>
      <c r="BH446" s="58" t="s">
        <v>107</v>
      </c>
      <c r="BI446" s="58" t="s">
        <v>108</v>
      </c>
      <c r="BJ446" s="58" t="s">
        <v>325</v>
      </c>
      <c r="BK446" s="58" t="s">
        <v>551</v>
      </c>
      <c r="BN446" s="58" t="s">
        <v>111</v>
      </c>
      <c r="BO446" s="58" t="s">
        <v>112</v>
      </c>
      <c r="BP446" s="58" t="s">
        <v>113</v>
      </c>
      <c r="BQ446" s="58" t="s">
        <v>114</v>
      </c>
      <c r="BR446" s="58">
        <v>1.14</v>
      </c>
      <c r="BU446" s="72"/>
      <c r="BV446" s="72"/>
      <c r="BW446" s="64" t="str">
        <f>if(OR(F446="SALE",F446="REFUNDED"),IFERROR(Vlookup(I446,'Listing SKU - Fill SKU Mapping'!A:C,3,false),"Map"),"")</f>
        <v>Keystone</v>
      </c>
      <c r="BX446" s="64" t="str">
        <f>IF(OR(F446="SALE",F446="REFUNDED")=TRUE,iferror(Vlookup(I446,'Listing SKU - Fill SKU Mapping'!A:B,2,false),"Map"),"")</f>
        <v>1515TP</v>
      </c>
      <c r="BY446" s="64">
        <f>IF(OR(F446="SALE",F446="REFUNDED")=TRUE,iferror(Vlookup(I446,'Listing SKU - Fill SKU Mapping'!A:D,4,false),"Map"),"")</f>
        <v>14.99</v>
      </c>
      <c r="BZ446" s="66">
        <f t="shared" si="1"/>
        <v>11.5</v>
      </c>
      <c r="CA446" s="66">
        <f t="shared" si="2"/>
        <v>26.49</v>
      </c>
      <c r="CB446" s="66">
        <f t="shared" si="3"/>
        <v>8.84</v>
      </c>
      <c r="CC446" s="64" t="str">
        <f>if(F446="REFUNDED",iferror(Vlookup(I446,'Listing SKU - Fill SKU Mapping'!A:B,2,false),"Map"),"")</f>
        <v/>
      </c>
      <c r="CD446" s="64" t="str">
        <f>if(F446="REFUNDED",iferror(Vlookup(I446,'Listing SKU - Fill SKU Mapping'!A:C,3,false),"Map"),"")</f>
        <v/>
      </c>
      <c r="CE446" s="64" t="str">
        <f t="shared" si="4"/>
        <v>2025</v>
      </c>
      <c r="CF446" s="64" t="str">
        <f t="shared" si="5"/>
        <v>November</v>
      </c>
      <c r="CG446" s="64" t="str">
        <f t="shared" si="6"/>
        <v/>
      </c>
    </row>
    <row r="447">
      <c r="A447" s="55">
        <v>2.0001E14</v>
      </c>
      <c r="B447" s="56">
        <v>1.0</v>
      </c>
      <c r="C447" s="57">
        <v>1.2903E14</v>
      </c>
      <c r="D447" s="58">
        <v>1.0</v>
      </c>
      <c r="F447" s="59" t="s">
        <v>128</v>
      </c>
      <c r="G447" s="60">
        <v>45964.0</v>
      </c>
      <c r="H447" s="58">
        <v>1.0</v>
      </c>
      <c r="I447" s="58" t="s">
        <v>220</v>
      </c>
      <c r="J447" s="61">
        <v>4.60776238135E11</v>
      </c>
      <c r="K447" s="62" t="s">
        <v>221</v>
      </c>
      <c r="L447" s="62">
        <v>2038710.0</v>
      </c>
      <c r="M447" s="63"/>
      <c r="N447" s="63"/>
      <c r="O447" s="63"/>
      <c r="P447" s="63"/>
      <c r="Q447" s="63"/>
      <c r="R447" s="62" t="s">
        <v>559</v>
      </c>
      <c r="S447" s="62">
        <v>71360.0</v>
      </c>
      <c r="U447" s="59">
        <v>-108.89</v>
      </c>
      <c r="V447" s="59">
        <v>-102.28</v>
      </c>
      <c r="W447" s="58">
        <v>-7.7</v>
      </c>
      <c r="X447" s="58">
        <v>0.0</v>
      </c>
      <c r="Y447" s="58">
        <v>0.0</v>
      </c>
      <c r="Z447" s="59">
        <v>0.0</v>
      </c>
      <c r="AA447" s="58">
        <v>-99.9</v>
      </c>
      <c r="AB447" s="58">
        <v>0.0</v>
      </c>
      <c r="AC447" s="58">
        <v>0.0</v>
      </c>
      <c r="AD447" s="58">
        <v>0.0</v>
      </c>
      <c r="AE447" s="58">
        <v>0.0</v>
      </c>
      <c r="AF447" s="58">
        <v>0.0</v>
      </c>
      <c r="AG447" s="58">
        <v>0.0</v>
      </c>
      <c r="AH447" s="58">
        <v>0.0</v>
      </c>
      <c r="AI447" s="58">
        <v>0.0</v>
      </c>
      <c r="AJ447" s="58">
        <v>0.0</v>
      </c>
      <c r="AK447" s="58">
        <v>0.0</v>
      </c>
      <c r="AL447" s="58">
        <v>0.0</v>
      </c>
      <c r="AM447" s="58">
        <v>0.0</v>
      </c>
      <c r="AN447" s="58">
        <v>0.0</v>
      </c>
      <c r="AO447" s="58">
        <v>0.0</v>
      </c>
      <c r="AP447" s="58">
        <v>0.0</v>
      </c>
      <c r="AQ447" s="58">
        <v>0.0</v>
      </c>
      <c r="AR447" s="58">
        <v>0.0</v>
      </c>
      <c r="AS447" s="58">
        <v>0.0</v>
      </c>
      <c r="AT447" s="58">
        <v>0.0</v>
      </c>
      <c r="AU447" s="58">
        <v>-8.99</v>
      </c>
      <c r="AV447" s="58">
        <v>0.0</v>
      </c>
      <c r="AW447" s="58">
        <v>0.0</v>
      </c>
      <c r="AX447" s="58">
        <v>0.0</v>
      </c>
      <c r="AY447" s="58">
        <v>0.0</v>
      </c>
      <c r="AZ447" s="58">
        <v>0.0</v>
      </c>
      <c r="BA447" s="58">
        <v>0.0</v>
      </c>
      <c r="BB447" s="58">
        <v>-8.99</v>
      </c>
      <c r="BC447" s="58" t="s">
        <v>106</v>
      </c>
      <c r="BD447" s="58" t="s">
        <v>156</v>
      </c>
      <c r="BE447" s="58">
        <v>5010.0</v>
      </c>
      <c r="BF447" s="58">
        <v>109.98</v>
      </c>
      <c r="BH447" s="58" t="s">
        <v>107</v>
      </c>
      <c r="BI447" s="58" t="s">
        <v>108</v>
      </c>
      <c r="BL447" s="58">
        <v>1016.0</v>
      </c>
      <c r="BM447" s="58" t="s">
        <v>258</v>
      </c>
      <c r="BN447" s="58" t="s">
        <v>111</v>
      </c>
      <c r="BO447" s="58" t="s">
        <v>112</v>
      </c>
      <c r="BT447" s="58">
        <v>10.08</v>
      </c>
      <c r="BU447" s="72"/>
      <c r="BV447" s="72"/>
      <c r="BW447" s="64" t="str">
        <f>if(OR(F447="SALE",F447="REFUNDED"),IFERROR(Vlookup(I447,'Listing SKU - Fill SKU Mapping'!A:C,3,false),"Map"),"")</f>
        <v>Keystone</v>
      </c>
      <c r="BX447" s="64" t="str">
        <f>IF(OR(F447="SALE",F447="REFUNDED")=TRUE,iferror(Vlookup(I447,'Listing SKU - Fill SKU Mapping'!A:B,2,false),"Map"),"")</f>
        <v>IMP409BLK</v>
      </c>
      <c r="BY447" s="64">
        <f>IF(OR(F447="SALE",F447="REFUNDED")=TRUE,iferror(Vlookup(I447,'Listing SKU - Fill SKU Mapping'!A:D,4,false),"Map"),"")</f>
        <v>50.49</v>
      </c>
      <c r="BZ447" s="66">
        <f t="shared" si="1"/>
        <v>11.5</v>
      </c>
      <c r="CA447" s="66">
        <f t="shared" si="2"/>
        <v>61.99</v>
      </c>
      <c r="CB447" s="64" t="str">
        <f t="shared" si="3"/>
        <v/>
      </c>
      <c r="CC447" s="64" t="str">
        <f>if(F447="REFUNDED",iferror(Vlookup(I447,'Listing SKU - Fill SKU Mapping'!A:B,2,false),"Map"),"")</f>
        <v>IMP409BLK</v>
      </c>
      <c r="CD447" s="64" t="str">
        <f>if(F447="REFUNDED",iferror(Vlookup(I447,'Listing SKU - Fill SKU Mapping'!A:C,3,false),"Map"),"")</f>
        <v>Keystone</v>
      </c>
      <c r="CE447" s="64" t="str">
        <f t="shared" si="4"/>
        <v>2025</v>
      </c>
      <c r="CF447" s="64" t="str">
        <f t="shared" si="5"/>
        <v>November</v>
      </c>
      <c r="CG447" s="64" t="str">
        <f t="shared" si="6"/>
        <v/>
      </c>
    </row>
    <row r="448">
      <c r="A448" s="55">
        <v>2.0001E14</v>
      </c>
      <c r="B448" s="56">
        <v>1.0</v>
      </c>
      <c r="C448" s="57">
        <v>1.2903E14</v>
      </c>
      <c r="D448" s="58">
        <v>1.0</v>
      </c>
      <c r="F448" s="59" t="s">
        <v>100</v>
      </c>
      <c r="G448" s="60">
        <v>45964.0</v>
      </c>
      <c r="H448" s="58">
        <v>1.0</v>
      </c>
      <c r="I448" s="58" t="s">
        <v>654</v>
      </c>
      <c r="J448" s="61">
        <v>4.67129945436E11</v>
      </c>
      <c r="K448" s="62" t="s">
        <v>655</v>
      </c>
      <c r="L448" s="62">
        <v>2038710.0</v>
      </c>
      <c r="M448" s="63"/>
      <c r="N448" s="63"/>
      <c r="O448" s="62" t="s">
        <v>192</v>
      </c>
      <c r="P448" s="63"/>
      <c r="Q448" s="63"/>
      <c r="R448" s="62" t="s">
        <v>656</v>
      </c>
      <c r="S448" s="62">
        <v>54017.0</v>
      </c>
      <c r="T448" s="58" t="s">
        <v>105</v>
      </c>
      <c r="U448" s="59">
        <v>99.15</v>
      </c>
      <c r="V448" s="59">
        <v>87.4</v>
      </c>
      <c r="W448" s="58">
        <v>6.58</v>
      </c>
      <c r="X448" s="58">
        <v>7.0</v>
      </c>
      <c r="Y448" s="58">
        <v>10.0</v>
      </c>
      <c r="Z448" s="59">
        <v>93.98</v>
      </c>
      <c r="AA448" s="58">
        <v>0.0</v>
      </c>
      <c r="AB448" s="58">
        <v>0.0</v>
      </c>
      <c r="AC448" s="58">
        <v>0.0</v>
      </c>
      <c r="AD448" s="58">
        <v>0.0</v>
      </c>
      <c r="AE448" s="58">
        <v>0.0</v>
      </c>
      <c r="AF448" s="58">
        <v>0.0</v>
      </c>
      <c r="AG448" s="58">
        <v>0.0</v>
      </c>
      <c r="AH448" s="58">
        <v>0.0</v>
      </c>
      <c r="AI448" s="58">
        <v>0.0</v>
      </c>
      <c r="AJ448" s="58">
        <v>0.0</v>
      </c>
      <c r="AK448" s="58">
        <v>0.0</v>
      </c>
      <c r="AL448" s="58">
        <v>0.0</v>
      </c>
      <c r="AM448" s="58">
        <v>0.0</v>
      </c>
      <c r="AN448" s="58">
        <v>0.0</v>
      </c>
      <c r="AO448" s="58">
        <v>0.0</v>
      </c>
      <c r="AP448" s="58">
        <v>5.17</v>
      </c>
      <c r="AQ448" s="58">
        <v>0.0</v>
      </c>
      <c r="AR448" s="58">
        <v>0.0</v>
      </c>
      <c r="AS448" s="58">
        <v>0.0</v>
      </c>
      <c r="AT448" s="58">
        <v>0.0</v>
      </c>
      <c r="AU448" s="58">
        <v>0.0</v>
      </c>
      <c r="AV448" s="58">
        <v>0.0</v>
      </c>
      <c r="AW448" s="58">
        <v>0.0</v>
      </c>
      <c r="AX448" s="58">
        <v>0.0</v>
      </c>
      <c r="AY448" s="58">
        <v>0.0</v>
      </c>
      <c r="AZ448" s="58">
        <v>0.0</v>
      </c>
      <c r="BA448" s="58">
        <v>0.0</v>
      </c>
      <c r="BB448" s="58">
        <v>5.17</v>
      </c>
      <c r="BC448" s="58" t="s">
        <v>106</v>
      </c>
      <c r="BG448" s="58">
        <v>-9.4</v>
      </c>
      <c r="BH448" s="58" t="s">
        <v>107</v>
      </c>
      <c r="BI448" s="58" t="s">
        <v>108</v>
      </c>
      <c r="BJ448" s="58" t="s">
        <v>109</v>
      </c>
      <c r="BK448" s="58" t="s">
        <v>551</v>
      </c>
      <c r="BN448" s="58" t="s">
        <v>111</v>
      </c>
      <c r="BO448" s="58" t="s">
        <v>112</v>
      </c>
      <c r="BP448" s="58" t="s">
        <v>113</v>
      </c>
      <c r="BQ448" s="58" t="s">
        <v>114</v>
      </c>
      <c r="BR448" s="58">
        <v>2.82</v>
      </c>
      <c r="BU448" s="72"/>
      <c r="BV448" s="72"/>
      <c r="BW448" s="64" t="str">
        <f>if(OR(F448="SALE",F448="REFUNDED"),IFERROR(Vlookup(I448,'Listing SKU - Fill SKU Mapping'!A:C,3,false),"Map"),"")</f>
        <v>Keystone</v>
      </c>
      <c r="BX448" s="64" t="str">
        <f>IF(OR(F448="SALE",F448="REFUNDED")=TRUE,iferror(Vlookup(I448,'Listing SKU - Fill SKU Mapping'!A:B,2,false),"Map"),"")</f>
        <v>49514BLK</v>
      </c>
      <c r="BY448" s="64">
        <f>IF(OR(F448="SALE",F448="REFUNDED")=TRUE,iferror(Vlookup(I448,'Listing SKU - Fill SKU Mapping'!A:D,4,false),"Map"),"")</f>
        <v>38.27</v>
      </c>
      <c r="BZ448" s="66">
        <f t="shared" si="1"/>
        <v>11.5</v>
      </c>
      <c r="CA448" s="66">
        <f t="shared" si="2"/>
        <v>49.77</v>
      </c>
      <c r="CB448" s="66">
        <f t="shared" si="3"/>
        <v>37.63</v>
      </c>
      <c r="CC448" s="64" t="str">
        <f>if(F448="REFUNDED",iferror(Vlookup(I448,'Listing SKU - Fill SKU Mapping'!A:B,2,false),"Map"),"")</f>
        <v/>
      </c>
      <c r="CD448" s="64" t="str">
        <f>if(F448="REFUNDED",iferror(Vlookup(I448,'Listing SKU - Fill SKU Mapping'!A:C,3,false),"Map"),"")</f>
        <v/>
      </c>
      <c r="CE448" s="64" t="str">
        <f t="shared" si="4"/>
        <v>2025</v>
      </c>
      <c r="CF448" s="64" t="str">
        <f t="shared" si="5"/>
        <v>November</v>
      </c>
      <c r="CG448" s="64" t="str">
        <f t="shared" si="6"/>
        <v/>
      </c>
    </row>
    <row r="449">
      <c r="A449" s="55">
        <v>2.0001E14</v>
      </c>
      <c r="B449" s="56">
        <v>1.0</v>
      </c>
      <c r="C449" s="57">
        <v>1.2903E14</v>
      </c>
      <c r="D449" s="58">
        <v>1.0</v>
      </c>
      <c r="F449" s="59" t="s">
        <v>100</v>
      </c>
      <c r="G449" s="60">
        <v>45974.0</v>
      </c>
      <c r="H449" s="58">
        <v>1.0</v>
      </c>
      <c r="I449" s="58" t="s">
        <v>413</v>
      </c>
      <c r="J449" s="61">
        <v>4.67129958542E11</v>
      </c>
      <c r="K449" s="62" t="s">
        <v>639</v>
      </c>
      <c r="L449" s="62">
        <v>2038710.0</v>
      </c>
      <c r="M449" s="63"/>
      <c r="N449" s="63"/>
      <c r="O449" s="62" t="s">
        <v>117</v>
      </c>
      <c r="P449" s="63"/>
      <c r="Q449" s="63"/>
      <c r="R449" s="62" t="s">
        <v>657</v>
      </c>
      <c r="S449" s="62">
        <v>20723.0</v>
      </c>
      <c r="T449" s="58" t="s">
        <v>105</v>
      </c>
      <c r="U449" s="59">
        <v>71.97</v>
      </c>
      <c r="V449" s="59">
        <v>70.66</v>
      </c>
      <c r="W449" s="58">
        <v>5.32</v>
      </c>
      <c r="X449" s="58">
        <v>7.0</v>
      </c>
      <c r="Y449" s="58">
        <v>10.0</v>
      </c>
      <c r="Z449" s="59">
        <v>67.9</v>
      </c>
      <c r="AA449" s="58">
        <v>0.0</v>
      </c>
      <c r="AB449" s="58">
        <v>0.0</v>
      </c>
      <c r="AC449" s="58">
        <v>0.0</v>
      </c>
      <c r="AD449" s="58">
        <v>0.0</v>
      </c>
      <c r="AE449" s="58">
        <v>0.0</v>
      </c>
      <c r="AF449" s="58">
        <v>0.0</v>
      </c>
      <c r="AG449" s="58">
        <v>0.0</v>
      </c>
      <c r="AH449" s="58">
        <v>0.0</v>
      </c>
      <c r="AI449" s="58">
        <v>0.0</v>
      </c>
      <c r="AJ449" s="58">
        <v>0.0</v>
      </c>
      <c r="AK449" s="58">
        <v>0.0</v>
      </c>
      <c r="AL449" s="58">
        <v>0.0</v>
      </c>
      <c r="AM449" s="58">
        <v>0.0</v>
      </c>
      <c r="AN449" s="58">
        <v>0.0</v>
      </c>
      <c r="AO449" s="58">
        <v>0.0</v>
      </c>
      <c r="AP449" s="58">
        <v>4.07</v>
      </c>
      <c r="AQ449" s="58">
        <v>0.0</v>
      </c>
      <c r="AR449" s="58">
        <v>0.0</v>
      </c>
      <c r="AS449" s="58">
        <v>0.0</v>
      </c>
      <c r="AT449" s="58">
        <v>0.0</v>
      </c>
      <c r="AU449" s="58">
        <v>0.0</v>
      </c>
      <c r="AV449" s="58">
        <v>0.0</v>
      </c>
      <c r="AW449" s="58">
        <v>0.0</v>
      </c>
      <c r="AX449" s="58">
        <v>0.0</v>
      </c>
      <c r="AY449" s="58">
        <v>0.0</v>
      </c>
      <c r="AZ449" s="58">
        <v>0.0</v>
      </c>
      <c r="BA449" s="58">
        <v>0.0</v>
      </c>
      <c r="BB449" s="58">
        <v>4.07</v>
      </c>
      <c r="BC449" s="58" t="s">
        <v>106</v>
      </c>
      <c r="BF449" s="58">
        <v>75.98</v>
      </c>
      <c r="BG449" s="58">
        <v>-7.6</v>
      </c>
      <c r="BH449" s="58" t="s">
        <v>107</v>
      </c>
      <c r="BI449" s="58" t="s">
        <v>108</v>
      </c>
      <c r="BJ449" s="58" t="s">
        <v>109</v>
      </c>
      <c r="BK449" s="58" t="s">
        <v>614</v>
      </c>
      <c r="BN449" s="58" t="s">
        <v>111</v>
      </c>
      <c r="BO449" s="58" t="s">
        <v>112</v>
      </c>
      <c r="BP449" s="58" t="s">
        <v>113</v>
      </c>
      <c r="BQ449" s="58" t="s">
        <v>317</v>
      </c>
      <c r="BR449" s="58">
        <v>2.28</v>
      </c>
      <c r="BT449" s="58">
        <v>-8.08</v>
      </c>
      <c r="BU449" s="73" t="s">
        <v>318</v>
      </c>
      <c r="BV449" s="73"/>
      <c r="BW449" s="64" t="str">
        <f>if(OR(F449="SALE",F449="REFUNDED"),IFERROR(Vlookup(I449,'Listing SKU - Fill SKU Mapping'!A:C,3,false),"Map"),"")</f>
        <v>Keystone</v>
      </c>
      <c r="BX449" s="64" t="str">
        <f>IF(OR(F449="SALE",F449="REFUNDED")=TRUE,iferror(Vlookup(I449,'Listing SKU - Fill SKU Mapping'!A:B,2,false),"Map"),"")</f>
        <v>45216S</v>
      </c>
      <c r="BY449" s="64">
        <f>IF(OR(F449="SALE",F449="REFUNDED")=TRUE,iferror(Vlookup(I449,'Listing SKU - Fill SKU Mapping'!A:D,4,false),"Map"),"")</f>
        <v>27.22</v>
      </c>
      <c r="BZ449" s="66">
        <f t="shared" si="1"/>
        <v>11.5</v>
      </c>
      <c r="CA449" s="66">
        <f t="shared" si="2"/>
        <v>38.72</v>
      </c>
      <c r="CB449" s="66">
        <f t="shared" si="3"/>
        <v>31.94</v>
      </c>
      <c r="CC449" s="64" t="str">
        <f>if(F449="REFUNDED",iferror(Vlookup(I449,'Listing SKU - Fill SKU Mapping'!A:B,2,false),"Map"),"")</f>
        <v/>
      </c>
      <c r="CD449" s="64" t="str">
        <f>if(F449="REFUNDED",iferror(Vlookup(I449,'Listing SKU - Fill SKU Mapping'!A:C,3,false),"Map"),"")</f>
        <v/>
      </c>
      <c r="CE449" s="64" t="str">
        <f t="shared" si="4"/>
        <v>2025</v>
      </c>
      <c r="CF449" s="64" t="str">
        <f t="shared" si="5"/>
        <v>November</v>
      </c>
      <c r="CG449" s="64" t="str">
        <f t="shared" si="6"/>
        <v/>
      </c>
    </row>
    <row r="450">
      <c r="A450" s="55">
        <v>2.0001E14</v>
      </c>
      <c r="B450" s="56">
        <v>1.0</v>
      </c>
      <c r="C450" s="57">
        <v>1.2903E14</v>
      </c>
      <c r="D450" s="58">
        <v>1.0</v>
      </c>
      <c r="F450" s="59" t="s">
        <v>100</v>
      </c>
      <c r="G450" s="60">
        <v>45966.0</v>
      </c>
      <c r="H450" s="58">
        <v>1.0</v>
      </c>
      <c r="I450" s="58" t="s">
        <v>453</v>
      </c>
      <c r="J450" s="61">
        <v>4.67129937684E11</v>
      </c>
      <c r="K450" s="62" t="s">
        <v>454</v>
      </c>
      <c r="L450" s="62">
        <v>2038710.0</v>
      </c>
      <c r="M450" s="63"/>
      <c r="N450" s="63"/>
      <c r="O450" s="62" t="s">
        <v>117</v>
      </c>
      <c r="P450" s="63"/>
      <c r="Q450" s="63"/>
      <c r="R450" s="62" t="s">
        <v>658</v>
      </c>
      <c r="S450" s="62">
        <v>21678.0</v>
      </c>
      <c r="T450" s="58" t="s">
        <v>105</v>
      </c>
      <c r="U450" s="59">
        <v>71.93</v>
      </c>
      <c r="V450" s="59">
        <v>68.8</v>
      </c>
      <c r="W450" s="58">
        <v>5.18</v>
      </c>
      <c r="X450" s="58">
        <v>7.0</v>
      </c>
      <c r="Y450" s="58">
        <v>10.0</v>
      </c>
      <c r="Z450" s="59">
        <v>67.86</v>
      </c>
      <c r="AA450" s="58">
        <v>0.0</v>
      </c>
      <c r="AB450" s="58">
        <v>0.0</v>
      </c>
      <c r="AC450" s="58">
        <v>0.0</v>
      </c>
      <c r="AD450" s="58">
        <v>0.0</v>
      </c>
      <c r="AE450" s="58">
        <v>0.0</v>
      </c>
      <c r="AF450" s="58">
        <v>0.0</v>
      </c>
      <c r="AG450" s="58">
        <v>0.0</v>
      </c>
      <c r="AH450" s="58">
        <v>0.0</v>
      </c>
      <c r="AI450" s="58">
        <v>0.0</v>
      </c>
      <c r="AJ450" s="58">
        <v>0.0</v>
      </c>
      <c r="AK450" s="58">
        <v>0.0</v>
      </c>
      <c r="AL450" s="58">
        <v>0.0</v>
      </c>
      <c r="AM450" s="58">
        <v>0.0</v>
      </c>
      <c r="AN450" s="58">
        <v>0.0</v>
      </c>
      <c r="AO450" s="58">
        <v>0.0</v>
      </c>
      <c r="AP450" s="58">
        <v>4.07</v>
      </c>
      <c r="AQ450" s="58">
        <v>0.0</v>
      </c>
      <c r="AR450" s="58">
        <v>0.0</v>
      </c>
      <c r="AS450" s="58">
        <v>0.0</v>
      </c>
      <c r="AT450" s="58">
        <v>0.0</v>
      </c>
      <c r="AU450" s="58">
        <v>0.0</v>
      </c>
      <c r="AV450" s="58">
        <v>0.0</v>
      </c>
      <c r="AW450" s="58">
        <v>0.0</v>
      </c>
      <c r="AX450" s="58">
        <v>0.0</v>
      </c>
      <c r="AY450" s="58">
        <v>0.0</v>
      </c>
      <c r="AZ450" s="58">
        <v>0.0</v>
      </c>
      <c r="BA450" s="58">
        <v>0.0</v>
      </c>
      <c r="BB450" s="58">
        <v>4.07</v>
      </c>
      <c r="BC450" s="58" t="s">
        <v>106</v>
      </c>
      <c r="BF450" s="58">
        <v>73.98</v>
      </c>
      <c r="BG450" s="58">
        <v>-7.4</v>
      </c>
      <c r="BH450" s="58" t="s">
        <v>107</v>
      </c>
      <c r="BI450" s="58" t="s">
        <v>108</v>
      </c>
      <c r="BJ450" s="58" t="s">
        <v>109</v>
      </c>
      <c r="BK450" s="58" t="s">
        <v>551</v>
      </c>
      <c r="BN450" s="58" t="s">
        <v>111</v>
      </c>
      <c r="BO450" s="58" t="s">
        <v>112</v>
      </c>
      <c r="BP450" s="58" t="s">
        <v>113</v>
      </c>
      <c r="BQ450" s="58" t="s">
        <v>317</v>
      </c>
      <c r="BR450" s="58">
        <v>2.22</v>
      </c>
      <c r="BT450" s="58">
        <v>-6.12</v>
      </c>
      <c r="BU450" s="73" t="s">
        <v>318</v>
      </c>
      <c r="BV450" s="73"/>
      <c r="BW450" s="64" t="str">
        <f>if(OR(F450="SALE",F450="REFUNDED"),IFERROR(Vlookup(I450,'Listing SKU - Fill SKU Mapping'!A:C,3,false),"Map"),"")</f>
        <v>Keystone</v>
      </c>
      <c r="BX450" s="64" t="str">
        <f>IF(OR(F450="SALE",F450="REFUNDED")=TRUE,iferror(Vlookup(I450,'Listing SKU - Fill SKU Mapping'!A:B,2,false),"Map"),"")</f>
        <v>42315S</v>
      </c>
      <c r="BY450" s="64">
        <f>IF(OR(F450="SALE",F450="REFUNDED")=TRUE,iferror(Vlookup(I450,'Listing SKU - Fill SKU Mapping'!A:D,4,false),"Map"),"")</f>
        <v>26.04</v>
      </c>
      <c r="BZ450" s="66">
        <f t="shared" si="1"/>
        <v>11.5</v>
      </c>
      <c r="CA450" s="66">
        <f t="shared" si="2"/>
        <v>37.54</v>
      </c>
      <c r="CB450" s="66">
        <f t="shared" si="3"/>
        <v>31.26</v>
      </c>
      <c r="CC450" s="64" t="str">
        <f>if(F450="REFUNDED",iferror(Vlookup(I450,'Listing SKU - Fill SKU Mapping'!A:B,2,false),"Map"),"")</f>
        <v/>
      </c>
      <c r="CD450" s="64" t="str">
        <f>if(F450="REFUNDED",iferror(Vlookup(I450,'Listing SKU - Fill SKU Mapping'!A:C,3,false),"Map"),"")</f>
        <v/>
      </c>
      <c r="CE450" s="64" t="str">
        <f t="shared" si="4"/>
        <v>2025</v>
      </c>
      <c r="CF450" s="64" t="str">
        <f t="shared" si="5"/>
        <v>November</v>
      </c>
      <c r="CG450" s="64" t="str">
        <f t="shared" si="6"/>
        <v/>
      </c>
    </row>
    <row r="451">
      <c r="A451" s="55">
        <v>2.0001E14</v>
      </c>
      <c r="B451" s="56">
        <v>5.0</v>
      </c>
      <c r="C451" s="57">
        <v>1.2903E14</v>
      </c>
      <c r="D451" s="58">
        <v>5.0</v>
      </c>
      <c r="F451" s="59" t="s">
        <v>100</v>
      </c>
      <c r="G451" s="60">
        <v>45967.0</v>
      </c>
      <c r="H451" s="58">
        <v>1.0</v>
      </c>
      <c r="I451" s="58" t="s">
        <v>420</v>
      </c>
      <c r="J451" s="61">
        <v>4.50400888287E11</v>
      </c>
      <c r="K451" s="62" t="s">
        <v>483</v>
      </c>
      <c r="L451" s="62">
        <v>2038710.0</v>
      </c>
      <c r="M451" s="63"/>
      <c r="N451" s="63"/>
      <c r="O451" s="62" t="s">
        <v>659</v>
      </c>
      <c r="P451" s="63"/>
      <c r="Q451" s="63"/>
      <c r="R451" s="62" t="s">
        <v>660</v>
      </c>
      <c r="S451" s="62">
        <v>3570.0</v>
      </c>
      <c r="T451" s="58" t="s">
        <v>437</v>
      </c>
      <c r="U451" s="59">
        <v>19.98</v>
      </c>
      <c r="V451" s="59">
        <v>21.05</v>
      </c>
      <c r="W451" s="58">
        <v>1.93</v>
      </c>
      <c r="X451" s="58">
        <v>8.4</v>
      </c>
      <c r="Y451" s="58">
        <v>12.0</v>
      </c>
      <c r="Z451" s="59">
        <v>19.98</v>
      </c>
      <c r="AA451" s="58">
        <v>0.0</v>
      </c>
      <c r="AB451" s="58">
        <v>0.0</v>
      </c>
      <c r="AC451" s="58">
        <v>0.0</v>
      </c>
      <c r="AD451" s="58">
        <v>0.0</v>
      </c>
      <c r="AE451" s="58">
        <v>0.0</v>
      </c>
      <c r="AF451" s="58">
        <v>0.0</v>
      </c>
      <c r="AG451" s="58">
        <v>0.0</v>
      </c>
      <c r="AH451" s="58">
        <v>0.0</v>
      </c>
      <c r="AI451" s="58">
        <v>0.0</v>
      </c>
      <c r="AJ451" s="58">
        <v>0.0</v>
      </c>
      <c r="AK451" s="58">
        <v>0.0</v>
      </c>
      <c r="AL451" s="58">
        <v>0.0</v>
      </c>
      <c r="AM451" s="58">
        <v>0.0</v>
      </c>
      <c r="AN451" s="58">
        <v>0.0</v>
      </c>
      <c r="AO451" s="58">
        <v>0.0</v>
      </c>
      <c r="AP451" s="58">
        <v>0.0</v>
      </c>
      <c r="AQ451" s="58">
        <v>0.0</v>
      </c>
      <c r="AR451" s="58">
        <v>0.0</v>
      </c>
      <c r="AS451" s="58">
        <v>0.0</v>
      </c>
      <c r="AT451" s="58">
        <v>0.0</v>
      </c>
      <c r="AU451" s="58">
        <v>0.0</v>
      </c>
      <c r="AV451" s="58">
        <v>0.0</v>
      </c>
      <c r="AW451" s="58">
        <v>0.0</v>
      </c>
      <c r="AX451" s="58">
        <v>0.0</v>
      </c>
      <c r="AY451" s="58">
        <v>0.0</v>
      </c>
      <c r="AZ451" s="58">
        <v>0.0</v>
      </c>
      <c r="BA451" s="58">
        <v>0.0</v>
      </c>
      <c r="BB451" s="58">
        <v>0.0</v>
      </c>
      <c r="BC451" s="58" t="s">
        <v>111</v>
      </c>
      <c r="BF451" s="58">
        <v>22.98</v>
      </c>
      <c r="BG451" s="58">
        <v>-2.76</v>
      </c>
      <c r="BH451" s="58" t="s">
        <v>421</v>
      </c>
      <c r="BI451" s="58" t="s">
        <v>422</v>
      </c>
      <c r="BJ451" s="58" t="s">
        <v>423</v>
      </c>
      <c r="BK451" s="58" t="s">
        <v>551</v>
      </c>
      <c r="BN451" s="58" t="s">
        <v>111</v>
      </c>
      <c r="BO451" s="58" t="s">
        <v>424</v>
      </c>
      <c r="BP451" s="58" t="s">
        <v>113</v>
      </c>
      <c r="BQ451" s="58" t="s">
        <v>317</v>
      </c>
      <c r="BR451" s="58">
        <v>0.83</v>
      </c>
      <c r="BT451" s="58">
        <v>-3.0</v>
      </c>
      <c r="BU451" s="73" t="s">
        <v>318</v>
      </c>
      <c r="BV451" s="73"/>
      <c r="BW451" s="64" t="str">
        <f>if(OR(F451="SALE",F451="REFUNDED"),IFERROR(Vlookup(I451,'Listing SKU - Fill SKU Mapping'!A:C,3,false),"Map"),"")</f>
        <v>Map</v>
      </c>
      <c r="BX451" s="64" t="str">
        <f>IF(OR(F451="SALE",F451="REFUNDED")=TRUE,iferror(Vlookup(I451,'Listing SKU - Fill SKU Mapping'!A:B,2,false),"Map"),"")</f>
        <v>Map</v>
      </c>
      <c r="BY451" s="64" t="str">
        <f>IF(OR(F451="SALE",F451="REFUNDED")=TRUE,iferror(Vlookup(I451,'Listing SKU - Fill SKU Mapping'!A:D,4,false),"Map"),"")</f>
        <v>Map</v>
      </c>
      <c r="BZ451" s="66" t="str">
        <f t="shared" si="1"/>
        <v/>
      </c>
      <c r="CA451" s="64" t="str">
        <f t="shared" si="2"/>
        <v/>
      </c>
      <c r="CB451" s="64">
        <f t="shared" si="3"/>
        <v>21.05</v>
      </c>
      <c r="CC451" s="64" t="str">
        <f>if(F451="REFUNDED",iferror(Vlookup(I451,'Listing SKU - Fill SKU Mapping'!A:B,2,false),"Map"),"")</f>
        <v/>
      </c>
      <c r="CD451" s="64" t="str">
        <f>if(F451="REFUNDED",iferror(Vlookup(I451,'Listing SKU - Fill SKU Mapping'!A:C,3,false),"Map"),"")</f>
        <v/>
      </c>
      <c r="CE451" s="64" t="str">
        <f t="shared" si="4"/>
        <v>2025</v>
      </c>
      <c r="CF451" s="64" t="str">
        <f t="shared" si="5"/>
        <v>November</v>
      </c>
      <c r="CG451" s="64" t="str">
        <f t="shared" si="6"/>
        <v/>
      </c>
    </row>
    <row r="452">
      <c r="A452" s="55">
        <v>2.0001E14</v>
      </c>
      <c r="B452" s="56">
        <v>5.0</v>
      </c>
      <c r="C452" s="57">
        <v>1.2903E14</v>
      </c>
      <c r="D452" s="58">
        <v>5.0</v>
      </c>
      <c r="F452" s="59" t="s">
        <v>158</v>
      </c>
      <c r="G452" s="60">
        <v>45967.0</v>
      </c>
      <c r="H452" s="58">
        <v>1.0</v>
      </c>
      <c r="I452" s="58" t="s">
        <v>420</v>
      </c>
      <c r="J452" s="61">
        <v>4.50400888287E11</v>
      </c>
      <c r="K452" s="62" t="s">
        <v>483</v>
      </c>
      <c r="L452" s="62">
        <v>2038710.0</v>
      </c>
      <c r="M452" s="63"/>
      <c r="N452" s="63"/>
      <c r="O452" s="62" t="s">
        <v>659</v>
      </c>
      <c r="P452" s="63"/>
      <c r="Q452" s="63"/>
      <c r="R452" s="62" t="s">
        <v>660</v>
      </c>
      <c r="S452" s="62">
        <v>3570.0</v>
      </c>
      <c r="T452" s="58" t="s">
        <v>437</v>
      </c>
      <c r="U452" s="59">
        <v>0.0</v>
      </c>
      <c r="V452" s="59">
        <v>-6.15</v>
      </c>
      <c r="W452" s="58">
        <v>6.15</v>
      </c>
      <c r="X452" s="58">
        <v>0.0</v>
      </c>
      <c r="Z452" s="59">
        <v>0.0</v>
      </c>
      <c r="AA452" s="58">
        <v>0.0</v>
      </c>
      <c r="AB452" s="58">
        <v>0.0</v>
      </c>
      <c r="AC452" s="58">
        <v>0.0</v>
      </c>
      <c r="AD452" s="58">
        <v>0.0</v>
      </c>
      <c r="AE452" s="58">
        <v>0.0</v>
      </c>
      <c r="AF452" s="58">
        <v>0.0</v>
      </c>
      <c r="AG452" s="58">
        <v>0.0</v>
      </c>
      <c r="AH452" s="58">
        <v>0.0</v>
      </c>
      <c r="AI452" s="58">
        <v>0.0</v>
      </c>
      <c r="AJ452" s="58">
        <v>0.0</v>
      </c>
      <c r="AK452" s="58">
        <v>0.0</v>
      </c>
      <c r="AL452" s="58">
        <v>0.0</v>
      </c>
      <c r="AM452" s="58">
        <v>0.0</v>
      </c>
      <c r="AN452" s="58">
        <v>0.0</v>
      </c>
      <c r="AO452" s="58">
        <v>0.0</v>
      </c>
      <c r="AP452" s="58">
        <v>0.0</v>
      </c>
      <c r="AQ452" s="58">
        <v>0.0</v>
      </c>
      <c r="AR452" s="58">
        <v>0.0</v>
      </c>
      <c r="AS452" s="58">
        <v>0.0</v>
      </c>
      <c r="AT452" s="58">
        <v>0.0</v>
      </c>
      <c r="AU452" s="58">
        <v>0.0</v>
      </c>
      <c r="AV452" s="58">
        <v>0.0</v>
      </c>
      <c r="AW452" s="58">
        <v>0.0</v>
      </c>
      <c r="AX452" s="58">
        <v>0.0</v>
      </c>
      <c r="AY452" s="58">
        <v>0.0</v>
      </c>
      <c r="AZ452" s="58">
        <v>0.0</v>
      </c>
      <c r="BA452" s="58">
        <v>0.0</v>
      </c>
      <c r="BB452" s="58">
        <v>0.0</v>
      </c>
      <c r="BC452" s="58" t="s">
        <v>111</v>
      </c>
      <c r="BD452" s="58" t="s">
        <v>425</v>
      </c>
      <c r="BE452" s="58">
        <v>5041.0</v>
      </c>
      <c r="BF452" s="58">
        <v>22.98</v>
      </c>
      <c r="BH452" s="58" t="s">
        <v>421</v>
      </c>
      <c r="BI452" s="58" t="s">
        <v>422</v>
      </c>
      <c r="BN452" s="58" t="s">
        <v>111</v>
      </c>
      <c r="BO452" s="58" t="s">
        <v>424</v>
      </c>
      <c r="BU452" s="72"/>
      <c r="BV452" s="72"/>
      <c r="BW452" s="64" t="str">
        <f>if(OR(F452="SALE",F452="REFUNDED"),IFERROR(Vlookup(I452,'Listing SKU - Fill SKU Mapping'!A:C,3,false),"Map"),"")</f>
        <v/>
      </c>
      <c r="BX452" s="64" t="str">
        <f>IF(OR(F452="SALE",F452="REFUNDED")=TRUE,iferror(Vlookup(I452,'Listing SKU - Fill SKU Mapping'!A:B,2,false),"Map"),"")</f>
        <v/>
      </c>
      <c r="BY452" s="64" t="str">
        <f>IF(OR(F452="SALE",F452="REFUNDED")=TRUE,iferror(Vlookup(I452,'Listing SKU - Fill SKU Mapping'!A:D,4,false),"Map"),"")</f>
        <v/>
      </c>
      <c r="BZ452" s="66" t="str">
        <f t="shared" si="1"/>
        <v/>
      </c>
      <c r="CA452" s="64" t="str">
        <f t="shared" si="2"/>
        <v/>
      </c>
      <c r="CB452" s="64" t="str">
        <f t="shared" si="3"/>
        <v/>
      </c>
      <c r="CC452" s="64" t="str">
        <f>if(F452="REFUNDED",iferror(Vlookup(I452,'Listing SKU - Fill SKU Mapping'!A:B,2,false),"Map"),"")</f>
        <v/>
      </c>
      <c r="CD452" s="64" t="str">
        <f>if(F452="REFUNDED",iferror(Vlookup(I452,'Listing SKU - Fill SKU Mapping'!A:C,3,false),"Map"),"")</f>
        <v/>
      </c>
      <c r="CE452" s="64" t="str">
        <f t="shared" si="4"/>
        <v>2025</v>
      </c>
      <c r="CF452" s="64" t="str">
        <f t="shared" si="5"/>
        <v>November</v>
      </c>
      <c r="CG452" s="64" t="str">
        <f t="shared" si="6"/>
        <v/>
      </c>
    </row>
    <row r="453">
      <c r="A453" s="55">
        <v>2.0001E14</v>
      </c>
      <c r="B453" s="56">
        <v>1.0</v>
      </c>
      <c r="C453" s="57">
        <v>1.2903E14</v>
      </c>
      <c r="D453" s="58">
        <v>1.0</v>
      </c>
      <c r="F453" s="59" t="s">
        <v>100</v>
      </c>
      <c r="G453" s="60">
        <v>45964.0</v>
      </c>
      <c r="H453" s="58">
        <v>1.0</v>
      </c>
      <c r="I453" s="58" t="s">
        <v>597</v>
      </c>
      <c r="J453" s="61">
        <v>4.67129927821E11</v>
      </c>
      <c r="K453" s="62" t="s">
        <v>598</v>
      </c>
      <c r="L453" s="62">
        <v>2038710.0</v>
      </c>
      <c r="M453" s="63"/>
      <c r="N453" s="63"/>
      <c r="O453" s="62" t="s">
        <v>126</v>
      </c>
      <c r="P453" s="63"/>
      <c r="Q453" s="63"/>
      <c r="R453" s="62" t="s">
        <v>661</v>
      </c>
      <c r="S453" s="62">
        <v>27834.0</v>
      </c>
      <c r="T453" s="58" t="s">
        <v>105</v>
      </c>
      <c r="U453" s="59">
        <v>75.86</v>
      </c>
      <c r="V453" s="59">
        <v>75.31</v>
      </c>
      <c r="W453" s="58">
        <v>5.67</v>
      </c>
      <c r="X453" s="58">
        <v>7.0</v>
      </c>
      <c r="Y453" s="58">
        <v>10.0</v>
      </c>
      <c r="Z453" s="59">
        <v>70.9</v>
      </c>
      <c r="AA453" s="58">
        <v>0.0</v>
      </c>
      <c r="AB453" s="58">
        <v>0.0</v>
      </c>
      <c r="AC453" s="58">
        <v>0.0</v>
      </c>
      <c r="AD453" s="58">
        <v>0.0</v>
      </c>
      <c r="AE453" s="58">
        <v>0.0</v>
      </c>
      <c r="AF453" s="58">
        <v>0.0</v>
      </c>
      <c r="AG453" s="58">
        <v>0.0</v>
      </c>
      <c r="AH453" s="58">
        <v>0.0</v>
      </c>
      <c r="AI453" s="58">
        <v>0.0</v>
      </c>
      <c r="AJ453" s="58">
        <v>0.0</v>
      </c>
      <c r="AK453" s="58">
        <v>0.0</v>
      </c>
      <c r="AL453" s="58">
        <v>0.0</v>
      </c>
      <c r="AM453" s="58">
        <v>0.0</v>
      </c>
      <c r="AN453" s="58">
        <v>0.0</v>
      </c>
      <c r="AO453" s="58">
        <v>0.0</v>
      </c>
      <c r="AP453" s="58">
        <v>4.96</v>
      </c>
      <c r="AQ453" s="58">
        <v>0.0</v>
      </c>
      <c r="AR453" s="58">
        <v>0.0</v>
      </c>
      <c r="AS453" s="58">
        <v>0.0</v>
      </c>
      <c r="AT453" s="58">
        <v>0.0</v>
      </c>
      <c r="AU453" s="58">
        <v>0.0</v>
      </c>
      <c r="AV453" s="58">
        <v>0.0</v>
      </c>
      <c r="AW453" s="58">
        <v>0.0</v>
      </c>
      <c r="AX453" s="58">
        <v>0.0</v>
      </c>
      <c r="AY453" s="58">
        <v>0.0</v>
      </c>
      <c r="AZ453" s="58">
        <v>0.0</v>
      </c>
      <c r="BA453" s="58">
        <v>0.0</v>
      </c>
      <c r="BB453" s="58">
        <v>4.96</v>
      </c>
      <c r="BC453" s="58" t="s">
        <v>106</v>
      </c>
      <c r="BF453" s="58">
        <v>80.98</v>
      </c>
      <c r="BG453" s="58">
        <v>-8.1</v>
      </c>
      <c r="BH453" s="58" t="s">
        <v>107</v>
      </c>
      <c r="BI453" s="58" t="s">
        <v>108</v>
      </c>
      <c r="BJ453" s="58" t="s">
        <v>109</v>
      </c>
      <c r="BK453" s="58" t="s">
        <v>551</v>
      </c>
      <c r="BN453" s="58" t="s">
        <v>111</v>
      </c>
      <c r="BO453" s="58" t="s">
        <v>112</v>
      </c>
      <c r="BP453" s="58" t="s">
        <v>113</v>
      </c>
      <c r="BQ453" s="58" t="s">
        <v>317</v>
      </c>
      <c r="BR453" s="58">
        <v>2.43</v>
      </c>
      <c r="BT453" s="58">
        <v>-10.08</v>
      </c>
      <c r="BU453" s="73" t="s">
        <v>318</v>
      </c>
      <c r="BV453" s="73"/>
      <c r="BW453" s="64" t="str">
        <f>if(OR(F453="SALE",F453="REFUNDED"),IFERROR(Vlookup(I453,'Listing SKU - Fill SKU Mapping'!A:C,3,false),"Map"),"")</f>
        <v>Keystone</v>
      </c>
      <c r="BX453" s="64" t="str">
        <f>IF(OR(F453="SALE",F453="REFUNDED")=TRUE,iferror(Vlookup(I453,'Listing SKU - Fill SKU Mapping'!A:B,2,false),"Map"),"")</f>
        <v>44815S</v>
      </c>
      <c r="BY453" s="64">
        <f>IF(OR(F453="SALE",F453="REFUNDED")=TRUE,iferror(Vlookup(I453,'Listing SKU - Fill SKU Mapping'!A:D,4,false),"Map"),"")</f>
        <v>29.98</v>
      </c>
      <c r="BZ453" s="66">
        <f t="shared" si="1"/>
        <v>11.5</v>
      </c>
      <c r="CA453" s="66">
        <f t="shared" si="2"/>
        <v>41.48</v>
      </c>
      <c r="CB453" s="66">
        <f t="shared" si="3"/>
        <v>33.83</v>
      </c>
      <c r="CC453" s="64" t="str">
        <f>if(F453="REFUNDED",iferror(Vlookup(I453,'Listing SKU - Fill SKU Mapping'!A:B,2,false),"Map"),"")</f>
        <v/>
      </c>
      <c r="CD453" s="64" t="str">
        <f>if(F453="REFUNDED",iferror(Vlookup(I453,'Listing SKU - Fill SKU Mapping'!A:C,3,false),"Map"),"")</f>
        <v/>
      </c>
      <c r="CE453" s="64" t="str">
        <f t="shared" si="4"/>
        <v>2025</v>
      </c>
      <c r="CF453" s="64" t="str">
        <f t="shared" si="5"/>
        <v>November</v>
      </c>
      <c r="CG453" s="64" t="str">
        <f t="shared" si="6"/>
        <v/>
      </c>
    </row>
    <row r="454">
      <c r="A454" s="55">
        <v>2.0001E14</v>
      </c>
      <c r="B454" s="56">
        <v>1.0</v>
      </c>
      <c r="C454" s="57">
        <v>1.2903E14</v>
      </c>
      <c r="D454" s="58">
        <v>1.0</v>
      </c>
      <c r="F454" s="59" t="s">
        <v>100</v>
      </c>
      <c r="G454" s="60">
        <v>45972.0</v>
      </c>
      <c r="H454" s="58">
        <v>1.0</v>
      </c>
      <c r="I454" s="58" t="s">
        <v>213</v>
      </c>
      <c r="J454" s="61">
        <v>4.60776230832E11</v>
      </c>
      <c r="K454" s="62" t="s">
        <v>214</v>
      </c>
      <c r="L454" s="62">
        <v>2038710.0</v>
      </c>
      <c r="M454" s="63"/>
      <c r="N454" s="63"/>
      <c r="O454" s="62" t="s">
        <v>149</v>
      </c>
      <c r="P454" s="63"/>
      <c r="Q454" s="63"/>
      <c r="R454" s="62" t="s">
        <v>662</v>
      </c>
      <c r="S454" s="62">
        <v>39501.0</v>
      </c>
      <c r="T454" s="58" t="s">
        <v>105</v>
      </c>
      <c r="U454" s="59">
        <v>115.54</v>
      </c>
      <c r="V454" s="59">
        <v>100.42</v>
      </c>
      <c r="W454" s="58">
        <v>7.56</v>
      </c>
      <c r="X454" s="58">
        <v>7.0</v>
      </c>
      <c r="Y454" s="58">
        <v>10.0</v>
      </c>
      <c r="Z454" s="59">
        <v>107.98</v>
      </c>
      <c r="AA454" s="58">
        <v>0.0</v>
      </c>
      <c r="AB454" s="58">
        <v>0.0</v>
      </c>
      <c r="AC454" s="58">
        <v>0.0</v>
      </c>
      <c r="AD454" s="58">
        <v>0.0</v>
      </c>
      <c r="AE454" s="58">
        <v>0.0</v>
      </c>
      <c r="AF454" s="58">
        <v>0.0</v>
      </c>
      <c r="AG454" s="58">
        <v>0.0</v>
      </c>
      <c r="AH454" s="58">
        <v>0.0</v>
      </c>
      <c r="AI454" s="58">
        <v>0.0</v>
      </c>
      <c r="AJ454" s="58">
        <v>0.0</v>
      </c>
      <c r="AK454" s="58">
        <v>0.0</v>
      </c>
      <c r="AL454" s="58">
        <v>0.0</v>
      </c>
      <c r="AM454" s="58">
        <v>0.0</v>
      </c>
      <c r="AN454" s="58">
        <v>0.0</v>
      </c>
      <c r="AO454" s="58">
        <v>0.0</v>
      </c>
      <c r="AP454" s="58">
        <v>7.56</v>
      </c>
      <c r="AQ454" s="58">
        <v>0.0</v>
      </c>
      <c r="AR454" s="58">
        <v>0.0</v>
      </c>
      <c r="AS454" s="58">
        <v>0.0</v>
      </c>
      <c r="AT454" s="58">
        <v>0.0</v>
      </c>
      <c r="AU454" s="58">
        <v>0.0</v>
      </c>
      <c r="AV454" s="58">
        <v>0.0</v>
      </c>
      <c r="AW454" s="58">
        <v>0.0</v>
      </c>
      <c r="AX454" s="58">
        <v>0.0</v>
      </c>
      <c r="AY454" s="58">
        <v>0.0</v>
      </c>
      <c r="AZ454" s="58">
        <v>0.0</v>
      </c>
      <c r="BA454" s="58">
        <v>0.0</v>
      </c>
      <c r="BB454" s="58">
        <v>7.56</v>
      </c>
      <c r="BC454" s="58" t="s">
        <v>106</v>
      </c>
      <c r="BG454" s="58">
        <v>-10.8</v>
      </c>
      <c r="BH454" s="58" t="s">
        <v>107</v>
      </c>
      <c r="BI454" s="58" t="s">
        <v>108</v>
      </c>
      <c r="BJ454" s="58" t="s">
        <v>109</v>
      </c>
      <c r="BK454" s="58" t="s">
        <v>614</v>
      </c>
      <c r="BN454" s="58" t="s">
        <v>111</v>
      </c>
      <c r="BO454" s="58" t="s">
        <v>112</v>
      </c>
      <c r="BP454" s="58" t="s">
        <v>113</v>
      </c>
      <c r="BQ454" s="58" t="s">
        <v>114</v>
      </c>
      <c r="BR454" s="58">
        <v>3.24</v>
      </c>
      <c r="BU454" s="72"/>
      <c r="BV454" s="72"/>
      <c r="BW454" s="64" t="str">
        <f>if(OR(F454="SALE",F454="REFUNDED"),IFERROR(Vlookup(I454,'Listing SKU - Fill SKU Mapping'!A:C,3,false),"Map"),"")</f>
        <v>Keystone</v>
      </c>
      <c r="BX454" s="64" t="str">
        <f>IF(OR(F454="SALE",F454="REFUNDED")=TRUE,iferror(Vlookup(I454,'Listing SKU - Fill SKU Mapping'!A:B,2,false),"Map"),"")</f>
        <v>IMP407BLK</v>
      </c>
      <c r="BY454" s="64">
        <f>IF(OR(F454="SALE",F454="REFUNDED")=TRUE,iferror(Vlookup(I454,'Listing SKU - Fill SKU Mapping'!A:D,4,false),"Map"),"")</f>
        <v>49.71</v>
      </c>
      <c r="BZ454" s="66">
        <f t="shared" si="1"/>
        <v>11.5</v>
      </c>
      <c r="CA454" s="66">
        <f t="shared" si="2"/>
        <v>61.21</v>
      </c>
      <c r="CB454" s="66">
        <f t="shared" si="3"/>
        <v>39.21</v>
      </c>
      <c r="CC454" s="64" t="str">
        <f>if(F454="REFUNDED",iferror(Vlookup(I454,'Listing SKU - Fill SKU Mapping'!A:B,2,false),"Map"),"")</f>
        <v/>
      </c>
      <c r="CD454" s="64" t="str">
        <f>if(F454="REFUNDED",iferror(Vlookup(I454,'Listing SKU - Fill SKU Mapping'!A:C,3,false),"Map"),"")</f>
        <v/>
      </c>
      <c r="CE454" s="64" t="str">
        <f t="shared" si="4"/>
        <v>2025</v>
      </c>
      <c r="CF454" s="64" t="str">
        <f t="shared" si="5"/>
        <v>November</v>
      </c>
      <c r="CG454" s="64" t="str">
        <f t="shared" si="6"/>
        <v/>
      </c>
    </row>
    <row r="455">
      <c r="A455" s="55">
        <v>2.0001E14</v>
      </c>
      <c r="B455" s="56">
        <v>1.0</v>
      </c>
      <c r="C455" s="57">
        <v>1.2903E14</v>
      </c>
      <c r="D455" s="58">
        <v>1.0</v>
      </c>
      <c r="F455" s="59" t="s">
        <v>100</v>
      </c>
      <c r="G455" s="60">
        <v>45971.0</v>
      </c>
      <c r="H455" s="58">
        <v>1.0</v>
      </c>
      <c r="I455" s="58" t="s">
        <v>354</v>
      </c>
      <c r="J455" s="61">
        <v>4.6712995803E11</v>
      </c>
      <c r="K455" s="62" t="s">
        <v>549</v>
      </c>
      <c r="L455" s="62">
        <v>2038710.0</v>
      </c>
      <c r="M455" s="63"/>
      <c r="N455" s="63"/>
      <c r="O455" s="62" t="s">
        <v>503</v>
      </c>
      <c r="P455" s="63"/>
      <c r="Q455" s="63"/>
      <c r="R455" s="62" t="s">
        <v>663</v>
      </c>
      <c r="S455" s="62">
        <v>13126.0</v>
      </c>
      <c r="T455" s="58" t="s">
        <v>105</v>
      </c>
      <c r="U455" s="59">
        <v>125.26</v>
      </c>
      <c r="V455" s="59">
        <v>119.02</v>
      </c>
      <c r="W455" s="58">
        <v>8.96</v>
      </c>
      <c r="X455" s="58">
        <v>7.0</v>
      </c>
      <c r="Y455" s="58">
        <v>10.0</v>
      </c>
      <c r="Z455" s="59">
        <v>115.98</v>
      </c>
      <c r="AA455" s="58">
        <v>0.0</v>
      </c>
      <c r="AB455" s="58">
        <v>0.0</v>
      </c>
      <c r="AC455" s="58">
        <v>0.0</v>
      </c>
      <c r="AD455" s="58">
        <v>0.0</v>
      </c>
      <c r="AE455" s="58">
        <v>0.0</v>
      </c>
      <c r="AF455" s="58">
        <v>0.0</v>
      </c>
      <c r="AG455" s="58">
        <v>0.0</v>
      </c>
      <c r="AH455" s="58">
        <v>0.0</v>
      </c>
      <c r="AI455" s="58">
        <v>0.0</v>
      </c>
      <c r="AJ455" s="58">
        <v>0.0</v>
      </c>
      <c r="AK455" s="58">
        <v>0.0</v>
      </c>
      <c r="AL455" s="58">
        <v>0.0</v>
      </c>
      <c r="AM455" s="58">
        <v>0.0</v>
      </c>
      <c r="AN455" s="58">
        <v>0.0</v>
      </c>
      <c r="AO455" s="58">
        <v>0.0</v>
      </c>
      <c r="AP455" s="58">
        <v>9.28</v>
      </c>
      <c r="AQ455" s="58">
        <v>0.0</v>
      </c>
      <c r="AR455" s="58">
        <v>0.0</v>
      </c>
      <c r="AS455" s="58">
        <v>0.0</v>
      </c>
      <c r="AT455" s="58">
        <v>0.0</v>
      </c>
      <c r="AU455" s="58">
        <v>0.0</v>
      </c>
      <c r="AV455" s="58">
        <v>0.0</v>
      </c>
      <c r="AW455" s="58">
        <v>0.0</v>
      </c>
      <c r="AX455" s="58">
        <v>0.0</v>
      </c>
      <c r="AY455" s="58">
        <v>0.0</v>
      </c>
      <c r="AZ455" s="58">
        <v>0.0</v>
      </c>
      <c r="BA455" s="58">
        <v>0.0</v>
      </c>
      <c r="BB455" s="58">
        <v>9.28</v>
      </c>
      <c r="BC455" s="58" t="s">
        <v>106</v>
      </c>
      <c r="BF455" s="58">
        <v>127.98</v>
      </c>
      <c r="BG455" s="58">
        <v>-12.8</v>
      </c>
      <c r="BH455" s="58" t="s">
        <v>107</v>
      </c>
      <c r="BI455" s="58" t="s">
        <v>108</v>
      </c>
      <c r="BJ455" s="58" t="s">
        <v>109</v>
      </c>
      <c r="BK455" s="58" t="s">
        <v>614</v>
      </c>
      <c r="BN455" s="58" t="s">
        <v>111</v>
      </c>
      <c r="BO455" s="58" t="s">
        <v>112</v>
      </c>
      <c r="BP455" s="58" t="s">
        <v>113</v>
      </c>
      <c r="BQ455" s="58" t="s">
        <v>317</v>
      </c>
      <c r="BR455" s="58">
        <v>3.84</v>
      </c>
      <c r="BT455" s="58">
        <v>-12.0</v>
      </c>
      <c r="BU455" s="73" t="s">
        <v>318</v>
      </c>
      <c r="BV455" s="73"/>
      <c r="BW455" s="64" t="str">
        <f>if(OR(F455="SALE",F455="REFUNDED"),IFERROR(Vlookup(I455,'Listing SKU - Fill SKU Mapping'!A:C,3,false),"Map"),"")</f>
        <v>Keystone</v>
      </c>
      <c r="BX455" s="64" t="str">
        <f>IF(OR(F455="SALE",F455="REFUNDED")=TRUE,iferror(Vlookup(I455,'Listing SKU - Fill SKU Mapping'!A:B,2,false),"Map"),"")</f>
        <v>43118BLK</v>
      </c>
      <c r="BY455" s="64">
        <f>IF(OR(F455="SALE",F455="REFUNDED")=TRUE,iferror(Vlookup(I455,'Listing SKU - Fill SKU Mapping'!A:D,4,false),"Map"),"")</f>
        <v>59.17</v>
      </c>
      <c r="BZ455" s="66">
        <f t="shared" si="1"/>
        <v>11.5</v>
      </c>
      <c r="CA455" s="66">
        <f t="shared" si="2"/>
        <v>70.67</v>
      </c>
      <c r="CB455" s="66">
        <f t="shared" si="3"/>
        <v>48.35</v>
      </c>
      <c r="CC455" s="64" t="str">
        <f>if(F455="REFUNDED",iferror(Vlookup(I455,'Listing SKU - Fill SKU Mapping'!A:B,2,false),"Map"),"")</f>
        <v/>
      </c>
      <c r="CD455" s="64" t="str">
        <f>if(F455="REFUNDED",iferror(Vlookup(I455,'Listing SKU - Fill SKU Mapping'!A:C,3,false),"Map"),"")</f>
        <v/>
      </c>
      <c r="CE455" s="64" t="str">
        <f t="shared" si="4"/>
        <v>2025</v>
      </c>
      <c r="CF455" s="64" t="str">
        <f t="shared" si="5"/>
        <v>November</v>
      </c>
      <c r="CG455" s="64" t="str">
        <f t="shared" si="6"/>
        <v/>
      </c>
    </row>
    <row r="456">
      <c r="A456" s="55">
        <v>2.0001E14</v>
      </c>
      <c r="B456" s="56">
        <v>1.0</v>
      </c>
      <c r="C456" s="57">
        <v>1.2903E14</v>
      </c>
      <c r="D456" s="58">
        <v>1.0</v>
      </c>
      <c r="F456" s="59" t="s">
        <v>100</v>
      </c>
      <c r="G456" s="60">
        <v>45973.0</v>
      </c>
      <c r="H456" s="58">
        <v>1.0</v>
      </c>
      <c r="I456" s="58" t="s">
        <v>664</v>
      </c>
      <c r="J456" s="61">
        <v>4.67129923014E11</v>
      </c>
      <c r="K456" s="62" t="s">
        <v>665</v>
      </c>
      <c r="L456" s="62">
        <v>2038710.0</v>
      </c>
      <c r="M456" s="63"/>
      <c r="N456" s="63"/>
      <c r="O456" s="62" t="s">
        <v>503</v>
      </c>
      <c r="P456" s="63"/>
      <c r="Q456" s="63"/>
      <c r="R456" s="62" t="s">
        <v>666</v>
      </c>
      <c r="S456" s="62">
        <v>11738.0</v>
      </c>
      <c r="T456" s="58" t="s">
        <v>105</v>
      </c>
      <c r="U456" s="59">
        <v>110.9</v>
      </c>
      <c r="V456" s="59">
        <v>94.84</v>
      </c>
      <c r="W456" s="58">
        <v>7.14</v>
      </c>
      <c r="X456" s="58">
        <v>7.0</v>
      </c>
      <c r="Y456" s="58">
        <v>10.0</v>
      </c>
      <c r="Z456" s="59">
        <v>101.98</v>
      </c>
      <c r="AA456" s="58">
        <v>0.0</v>
      </c>
      <c r="AB456" s="58">
        <v>0.0</v>
      </c>
      <c r="AC456" s="58">
        <v>0.0</v>
      </c>
      <c r="AD456" s="58">
        <v>0.0</v>
      </c>
      <c r="AE456" s="58">
        <v>0.0</v>
      </c>
      <c r="AF456" s="58">
        <v>0.0</v>
      </c>
      <c r="AG456" s="58">
        <v>0.0</v>
      </c>
      <c r="AH456" s="58">
        <v>0.0</v>
      </c>
      <c r="AI456" s="58">
        <v>0.0</v>
      </c>
      <c r="AJ456" s="58">
        <v>0.0</v>
      </c>
      <c r="AK456" s="58">
        <v>0.0</v>
      </c>
      <c r="AL456" s="58">
        <v>0.0</v>
      </c>
      <c r="AM456" s="58">
        <v>0.0</v>
      </c>
      <c r="AN456" s="58">
        <v>0.0</v>
      </c>
      <c r="AO456" s="58">
        <v>0.0</v>
      </c>
      <c r="AP456" s="58">
        <v>8.92</v>
      </c>
      <c r="AQ456" s="58">
        <v>0.0</v>
      </c>
      <c r="AR456" s="58">
        <v>0.0</v>
      </c>
      <c r="AS456" s="58">
        <v>0.0</v>
      </c>
      <c r="AT456" s="58">
        <v>0.0</v>
      </c>
      <c r="AU456" s="58">
        <v>0.0</v>
      </c>
      <c r="AV456" s="58">
        <v>0.0</v>
      </c>
      <c r="AW456" s="58">
        <v>0.0</v>
      </c>
      <c r="AX456" s="58">
        <v>0.0</v>
      </c>
      <c r="AY456" s="58">
        <v>0.0</v>
      </c>
      <c r="AZ456" s="58">
        <v>0.0</v>
      </c>
      <c r="BA456" s="58">
        <v>0.0</v>
      </c>
      <c r="BB456" s="58">
        <v>8.92</v>
      </c>
      <c r="BC456" s="58" t="s">
        <v>106</v>
      </c>
      <c r="BG456" s="58">
        <v>-10.2</v>
      </c>
      <c r="BH456" s="58" t="s">
        <v>107</v>
      </c>
      <c r="BI456" s="58" t="s">
        <v>108</v>
      </c>
      <c r="BJ456" s="58" t="s">
        <v>109</v>
      </c>
      <c r="BK456" s="58" t="s">
        <v>614</v>
      </c>
      <c r="BN456" s="58" t="s">
        <v>111</v>
      </c>
      <c r="BO456" s="58" t="s">
        <v>112</v>
      </c>
      <c r="BP456" s="58" t="s">
        <v>113</v>
      </c>
      <c r="BQ456" s="58" t="s">
        <v>114</v>
      </c>
      <c r="BR456" s="58">
        <v>3.06</v>
      </c>
      <c r="BU456" s="72"/>
      <c r="BV456" s="72"/>
      <c r="BW456" s="64" t="str">
        <f>if(OR(F456="SALE",F456="REFUNDED"),IFERROR(Vlookup(I456,'Listing SKU - Fill SKU Mapping'!A:C,3,false),"Map"),"")</f>
        <v>Keystone</v>
      </c>
      <c r="BX456" s="64" t="str">
        <f>IF(OR(F456="SALE",F456="REFUNDED")=TRUE,iferror(Vlookup(I456,'Listing SKU - Fill SKU Mapping'!A:B,2,false),"Map"),"")</f>
        <v>51216BLK</v>
      </c>
      <c r="BY456" s="64">
        <f>IF(OR(F456="SALE",F456="REFUNDED")=TRUE,iferror(Vlookup(I456,'Listing SKU - Fill SKU Mapping'!A:D,4,false),"Map"),"")</f>
        <v>43</v>
      </c>
      <c r="BZ456" s="66">
        <f t="shared" si="1"/>
        <v>11.5</v>
      </c>
      <c r="CA456" s="66">
        <f t="shared" si="2"/>
        <v>54.5</v>
      </c>
      <c r="CB456" s="66">
        <f t="shared" si="3"/>
        <v>40.34</v>
      </c>
      <c r="CC456" s="64" t="str">
        <f>if(F456="REFUNDED",iferror(Vlookup(I456,'Listing SKU - Fill SKU Mapping'!A:B,2,false),"Map"),"")</f>
        <v/>
      </c>
      <c r="CD456" s="64" t="str">
        <f>if(F456="REFUNDED",iferror(Vlookup(I456,'Listing SKU - Fill SKU Mapping'!A:C,3,false),"Map"),"")</f>
        <v/>
      </c>
      <c r="CE456" s="64" t="str">
        <f t="shared" si="4"/>
        <v>2025</v>
      </c>
      <c r="CF456" s="64" t="str">
        <f t="shared" si="5"/>
        <v>November</v>
      </c>
      <c r="CG456" s="64" t="str">
        <f t="shared" si="6"/>
        <v/>
      </c>
    </row>
    <row r="457">
      <c r="A457" s="55">
        <v>2.0001E14</v>
      </c>
      <c r="B457" s="56">
        <v>1.0</v>
      </c>
      <c r="C457" s="57">
        <v>1.2903E14</v>
      </c>
      <c r="D457" s="58">
        <v>1.0</v>
      </c>
      <c r="F457" s="59" t="s">
        <v>100</v>
      </c>
      <c r="G457" s="60">
        <v>45965.0</v>
      </c>
      <c r="H457" s="58">
        <v>1.0</v>
      </c>
      <c r="I457" s="58" t="s">
        <v>398</v>
      </c>
      <c r="J457" s="61">
        <v>4.66885055274E11</v>
      </c>
      <c r="K457" s="62" t="s">
        <v>667</v>
      </c>
      <c r="L457" s="62">
        <v>2038710.0</v>
      </c>
      <c r="M457" s="63"/>
      <c r="N457" s="63"/>
      <c r="O457" s="62" t="s">
        <v>161</v>
      </c>
      <c r="P457" s="63"/>
      <c r="Q457" s="63"/>
      <c r="R457" s="62" t="s">
        <v>668</v>
      </c>
      <c r="S457" s="62">
        <v>94597.0</v>
      </c>
      <c r="T457" s="58" t="s">
        <v>105</v>
      </c>
      <c r="U457" s="59">
        <v>69.58</v>
      </c>
      <c r="V457" s="59">
        <v>67.87</v>
      </c>
      <c r="W457" s="58">
        <v>5.11</v>
      </c>
      <c r="X457" s="58">
        <v>7.0</v>
      </c>
      <c r="Y457" s="58">
        <v>10.0</v>
      </c>
      <c r="Z457" s="59">
        <v>63.98</v>
      </c>
      <c r="AA457" s="58">
        <v>0.0</v>
      </c>
      <c r="AB457" s="58">
        <v>0.0</v>
      </c>
      <c r="AC457" s="58">
        <v>0.0</v>
      </c>
      <c r="AD457" s="58">
        <v>0.0</v>
      </c>
      <c r="AE457" s="58">
        <v>0.0</v>
      </c>
      <c r="AF457" s="58">
        <v>0.0</v>
      </c>
      <c r="AG457" s="58">
        <v>0.0</v>
      </c>
      <c r="AH457" s="58">
        <v>0.0</v>
      </c>
      <c r="AI457" s="58">
        <v>0.0</v>
      </c>
      <c r="AJ457" s="58">
        <v>0.0</v>
      </c>
      <c r="AK457" s="58">
        <v>0.0</v>
      </c>
      <c r="AL457" s="58">
        <v>0.0</v>
      </c>
      <c r="AM457" s="58">
        <v>0.0</v>
      </c>
      <c r="AN457" s="58">
        <v>0.0</v>
      </c>
      <c r="AO457" s="58">
        <v>0.0</v>
      </c>
      <c r="AP457" s="58">
        <v>5.6</v>
      </c>
      <c r="AQ457" s="58">
        <v>0.0</v>
      </c>
      <c r="AR457" s="58">
        <v>0.0</v>
      </c>
      <c r="AS457" s="58">
        <v>0.0</v>
      </c>
      <c r="AT457" s="58">
        <v>0.0</v>
      </c>
      <c r="AU457" s="58">
        <v>0.0</v>
      </c>
      <c r="AV457" s="58">
        <v>0.0</v>
      </c>
      <c r="AW457" s="58">
        <v>0.0</v>
      </c>
      <c r="AX457" s="58">
        <v>0.0</v>
      </c>
      <c r="AY457" s="58">
        <v>0.0</v>
      </c>
      <c r="AZ457" s="58">
        <v>0.0</v>
      </c>
      <c r="BA457" s="58">
        <v>0.0</v>
      </c>
      <c r="BB457" s="58">
        <v>5.6</v>
      </c>
      <c r="BC457" s="58" t="s">
        <v>106</v>
      </c>
      <c r="BF457" s="58">
        <v>72.98</v>
      </c>
      <c r="BG457" s="58">
        <v>-7.3</v>
      </c>
      <c r="BH457" s="58" t="s">
        <v>107</v>
      </c>
      <c r="BI457" s="58" t="s">
        <v>108</v>
      </c>
      <c r="BJ457" s="58" t="s">
        <v>109</v>
      </c>
      <c r="BK457" s="58" t="s">
        <v>551</v>
      </c>
      <c r="BN457" s="58" t="s">
        <v>111</v>
      </c>
      <c r="BO457" s="58" t="s">
        <v>112</v>
      </c>
      <c r="BP457" s="58" t="s">
        <v>113</v>
      </c>
      <c r="BQ457" s="58" t="s">
        <v>317</v>
      </c>
      <c r="BR457" s="58">
        <v>2.19</v>
      </c>
      <c r="BT457" s="58">
        <v>-9.0</v>
      </c>
      <c r="BU457" s="73" t="s">
        <v>318</v>
      </c>
      <c r="BV457" s="73"/>
      <c r="BW457" s="64" t="str">
        <f>if(OR(F457="SALE",F457="REFUNDED"),IFERROR(Vlookup(I457,'Listing SKU - Fill SKU Mapping'!A:C,3,false),"Map"),"")</f>
        <v>Keystone</v>
      </c>
      <c r="BX457" s="64" t="str">
        <f>IF(OR(F457="SALE",F457="REFUNDED")=TRUE,iferror(Vlookup(I457,'Listing SKU - Fill SKU Mapping'!A:B,2,false),"Map"),"")</f>
        <v>103816S</v>
      </c>
      <c r="BY457" s="64">
        <f>IF(OR(F457="SALE",F457="REFUNDED")=TRUE,iferror(Vlookup(I457,'Listing SKU - Fill SKU Mapping'!A:D,4,false),"Map"),"")</f>
        <v>25.25</v>
      </c>
      <c r="BZ457" s="66">
        <f t="shared" si="1"/>
        <v>11.5</v>
      </c>
      <c r="CA457" s="66">
        <f t="shared" si="2"/>
        <v>36.75</v>
      </c>
      <c r="CB457" s="66">
        <f t="shared" si="3"/>
        <v>31.12</v>
      </c>
      <c r="CC457" s="64" t="str">
        <f>if(F457="REFUNDED",iferror(Vlookup(I457,'Listing SKU - Fill SKU Mapping'!A:B,2,false),"Map"),"")</f>
        <v/>
      </c>
      <c r="CD457" s="64" t="str">
        <f>if(F457="REFUNDED",iferror(Vlookup(I457,'Listing SKU - Fill SKU Mapping'!A:C,3,false),"Map"),"")</f>
        <v/>
      </c>
      <c r="CE457" s="64" t="str">
        <f t="shared" si="4"/>
        <v>2025</v>
      </c>
      <c r="CF457" s="64" t="str">
        <f t="shared" si="5"/>
        <v>November</v>
      </c>
      <c r="CG457" s="64" t="str">
        <f t="shared" si="6"/>
        <v/>
      </c>
    </row>
    <row r="458">
      <c r="A458" s="55">
        <v>2.0001E14</v>
      </c>
      <c r="B458" s="56">
        <v>1.0</v>
      </c>
      <c r="C458" s="57">
        <v>1.2903E14</v>
      </c>
      <c r="D458" s="58">
        <v>1.0</v>
      </c>
      <c r="F458" s="59" t="s">
        <v>100</v>
      </c>
      <c r="G458" s="60">
        <v>45964.0</v>
      </c>
      <c r="H458" s="58">
        <v>1.0</v>
      </c>
      <c r="I458" s="58" t="s">
        <v>416</v>
      </c>
      <c r="J458" s="61">
        <v>4.67129941926E11</v>
      </c>
      <c r="K458" s="62" t="s">
        <v>669</v>
      </c>
      <c r="L458" s="62">
        <v>2038710.0</v>
      </c>
      <c r="M458" s="63"/>
      <c r="N458" s="63"/>
      <c r="O458" s="62" t="s">
        <v>126</v>
      </c>
      <c r="P458" s="63"/>
      <c r="Q458" s="63"/>
      <c r="R458" s="62" t="s">
        <v>670</v>
      </c>
      <c r="S458" s="62">
        <v>28391.0</v>
      </c>
      <c r="T458" s="58" t="s">
        <v>105</v>
      </c>
      <c r="U458" s="59">
        <v>107.96</v>
      </c>
      <c r="V458" s="59">
        <v>106.0</v>
      </c>
      <c r="W458" s="58">
        <v>7.98</v>
      </c>
      <c r="X458" s="58">
        <v>7.0</v>
      </c>
      <c r="Y458" s="58">
        <v>10.0</v>
      </c>
      <c r="Z458" s="59">
        <v>100.9</v>
      </c>
      <c r="AA458" s="58">
        <v>0.0</v>
      </c>
      <c r="AB458" s="58">
        <v>0.0</v>
      </c>
      <c r="AC458" s="58">
        <v>0.0</v>
      </c>
      <c r="AD458" s="58">
        <v>0.0</v>
      </c>
      <c r="AE458" s="58">
        <v>0.0</v>
      </c>
      <c r="AF458" s="58">
        <v>0.0</v>
      </c>
      <c r="AG458" s="58">
        <v>0.0</v>
      </c>
      <c r="AH458" s="58">
        <v>0.0</v>
      </c>
      <c r="AI458" s="58">
        <v>0.0</v>
      </c>
      <c r="AJ458" s="58">
        <v>0.0</v>
      </c>
      <c r="AK458" s="58">
        <v>0.0</v>
      </c>
      <c r="AL458" s="58">
        <v>0.0</v>
      </c>
      <c r="AM458" s="58">
        <v>0.0</v>
      </c>
      <c r="AN458" s="58">
        <v>0.0</v>
      </c>
      <c r="AO458" s="58">
        <v>0.0</v>
      </c>
      <c r="AP458" s="58">
        <v>7.06</v>
      </c>
      <c r="AQ458" s="58">
        <v>0.0</v>
      </c>
      <c r="AR458" s="58">
        <v>0.0</v>
      </c>
      <c r="AS458" s="58">
        <v>0.0</v>
      </c>
      <c r="AT458" s="58">
        <v>0.0</v>
      </c>
      <c r="AU458" s="58">
        <v>0.0</v>
      </c>
      <c r="AV458" s="58">
        <v>0.0</v>
      </c>
      <c r="AW458" s="58">
        <v>0.0</v>
      </c>
      <c r="AX458" s="58">
        <v>0.0</v>
      </c>
      <c r="AY458" s="58">
        <v>0.0</v>
      </c>
      <c r="AZ458" s="58">
        <v>0.0</v>
      </c>
      <c r="BA458" s="58">
        <v>0.0</v>
      </c>
      <c r="BB458" s="58">
        <v>7.06</v>
      </c>
      <c r="BC458" s="58" t="s">
        <v>106</v>
      </c>
      <c r="BF458" s="58">
        <v>113.98</v>
      </c>
      <c r="BG458" s="58">
        <v>-11.4</v>
      </c>
      <c r="BH458" s="58" t="s">
        <v>107</v>
      </c>
      <c r="BI458" s="58" t="s">
        <v>108</v>
      </c>
      <c r="BJ458" s="58" t="s">
        <v>109</v>
      </c>
      <c r="BK458" s="58" t="s">
        <v>551</v>
      </c>
      <c r="BN458" s="58" t="s">
        <v>111</v>
      </c>
      <c r="BO458" s="58" t="s">
        <v>112</v>
      </c>
      <c r="BP458" s="58" t="s">
        <v>113</v>
      </c>
      <c r="BQ458" s="58" t="s">
        <v>317</v>
      </c>
      <c r="BR458" s="58">
        <v>3.42</v>
      </c>
      <c r="BT458" s="58">
        <v>-13.08</v>
      </c>
      <c r="BU458" s="73" t="s">
        <v>318</v>
      </c>
      <c r="BV458" s="73"/>
      <c r="BW458" s="64" t="str">
        <f>if(OR(F458="SALE",F458="REFUNDED"),IFERROR(Vlookup(I458,'Listing SKU - Fill SKU Mapping'!A:C,3,false),"Map"),"")</f>
        <v>Keystone</v>
      </c>
      <c r="BX458" s="64" t="str">
        <f>IF(OR(F458="SALE",F458="REFUNDED")=TRUE,iferror(Vlookup(I458,'Listing SKU - Fill SKU Mapping'!A:B,2,false),"Map"),"")</f>
        <v>47218C</v>
      </c>
      <c r="BY458" s="64">
        <f>IF(OR(F458="SALE",F458="REFUNDED")=TRUE,iferror(Vlookup(I458,'Listing SKU - Fill SKU Mapping'!A:D,4,false),"Map"),"")</f>
        <v>50.89</v>
      </c>
      <c r="BZ458" s="66">
        <f t="shared" si="1"/>
        <v>11.5</v>
      </c>
      <c r="CA458" s="66">
        <f t="shared" si="2"/>
        <v>62.39</v>
      </c>
      <c r="CB458" s="66">
        <f t="shared" si="3"/>
        <v>43.61</v>
      </c>
      <c r="CC458" s="64" t="str">
        <f>if(F458="REFUNDED",iferror(Vlookup(I458,'Listing SKU - Fill SKU Mapping'!A:B,2,false),"Map"),"")</f>
        <v/>
      </c>
      <c r="CD458" s="64" t="str">
        <f>if(F458="REFUNDED",iferror(Vlookup(I458,'Listing SKU - Fill SKU Mapping'!A:C,3,false),"Map"),"")</f>
        <v/>
      </c>
      <c r="CE458" s="64" t="str">
        <f t="shared" si="4"/>
        <v>2025</v>
      </c>
      <c r="CF458" s="64" t="str">
        <f t="shared" si="5"/>
        <v>November</v>
      </c>
      <c r="CG458" s="64" t="str">
        <f t="shared" si="6"/>
        <v/>
      </c>
    </row>
    <row r="459">
      <c r="A459" s="55">
        <v>2.0001E14</v>
      </c>
      <c r="B459" s="56">
        <v>1.0</v>
      </c>
      <c r="C459" s="57">
        <v>1.2903E14</v>
      </c>
      <c r="D459" s="58">
        <v>1.0</v>
      </c>
      <c r="F459" s="59" t="s">
        <v>100</v>
      </c>
      <c r="G459" s="60">
        <v>45974.0</v>
      </c>
      <c r="H459" s="58">
        <v>1.0</v>
      </c>
      <c r="I459" s="58" t="s">
        <v>382</v>
      </c>
      <c r="J459" s="61">
        <v>4.67129914852E11</v>
      </c>
      <c r="K459" s="62" t="s">
        <v>563</v>
      </c>
      <c r="L459" s="62">
        <v>2038710.0</v>
      </c>
      <c r="M459" s="63"/>
      <c r="N459" s="63"/>
      <c r="O459" s="62" t="s">
        <v>142</v>
      </c>
      <c r="P459" s="63"/>
      <c r="Q459" s="63"/>
      <c r="R459" s="62" t="s">
        <v>671</v>
      </c>
      <c r="S459" s="62">
        <v>70647.0</v>
      </c>
      <c r="T459" s="58" t="s">
        <v>105</v>
      </c>
      <c r="U459" s="59">
        <v>83.82</v>
      </c>
      <c r="V459" s="59">
        <v>81.82</v>
      </c>
      <c r="W459" s="58">
        <v>6.16</v>
      </c>
      <c r="X459" s="58">
        <v>7.0</v>
      </c>
      <c r="Y459" s="58">
        <v>10.0</v>
      </c>
      <c r="Z459" s="59">
        <v>76.9</v>
      </c>
      <c r="AA459" s="58">
        <v>0.0</v>
      </c>
      <c r="AB459" s="58">
        <v>0.0</v>
      </c>
      <c r="AC459" s="58">
        <v>0.0</v>
      </c>
      <c r="AD459" s="58">
        <v>0.0</v>
      </c>
      <c r="AE459" s="58">
        <v>0.0</v>
      </c>
      <c r="AF459" s="58">
        <v>0.0</v>
      </c>
      <c r="AG459" s="58">
        <v>0.0</v>
      </c>
      <c r="AH459" s="58">
        <v>0.0</v>
      </c>
      <c r="AI459" s="58">
        <v>0.0</v>
      </c>
      <c r="AJ459" s="58">
        <v>0.0</v>
      </c>
      <c r="AK459" s="58">
        <v>0.0</v>
      </c>
      <c r="AL459" s="58">
        <v>0.0</v>
      </c>
      <c r="AM459" s="58">
        <v>0.0</v>
      </c>
      <c r="AN459" s="58">
        <v>0.0</v>
      </c>
      <c r="AO459" s="58">
        <v>0.0</v>
      </c>
      <c r="AP459" s="58">
        <v>6.92</v>
      </c>
      <c r="AQ459" s="58">
        <v>0.0</v>
      </c>
      <c r="AR459" s="58">
        <v>0.0</v>
      </c>
      <c r="AS459" s="58">
        <v>0.0</v>
      </c>
      <c r="AT459" s="58">
        <v>0.0</v>
      </c>
      <c r="AU459" s="58">
        <v>0.0</v>
      </c>
      <c r="AV459" s="58">
        <v>0.0</v>
      </c>
      <c r="AW459" s="58">
        <v>0.0</v>
      </c>
      <c r="AX459" s="58">
        <v>0.0</v>
      </c>
      <c r="AY459" s="58">
        <v>0.0</v>
      </c>
      <c r="AZ459" s="58">
        <v>0.0</v>
      </c>
      <c r="BA459" s="58">
        <v>0.0</v>
      </c>
      <c r="BB459" s="58">
        <v>6.92</v>
      </c>
      <c r="BC459" s="58" t="s">
        <v>106</v>
      </c>
      <c r="BF459" s="58">
        <v>87.98</v>
      </c>
      <c r="BG459" s="58">
        <v>-8.8</v>
      </c>
      <c r="BH459" s="58" t="s">
        <v>107</v>
      </c>
      <c r="BI459" s="58" t="s">
        <v>108</v>
      </c>
      <c r="BJ459" s="58" t="s">
        <v>109</v>
      </c>
      <c r="BK459" s="58" t="s">
        <v>614</v>
      </c>
      <c r="BN459" s="58" t="s">
        <v>111</v>
      </c>
      <c r="BO459" s="58" t="s">
        <v>112</v>
      </c>
      <c r="BP459" s="58" t="s">
        <v>113</v>
      </c>
      <c r="BQ459" s="58" t="s">
        <v>317</v>
      </c>
      <c r="BR459" s="58">
        <v>2.64</v>
      </c>
      <c r="BT459" s="58">
        <v>-11.08</v>
      </c>
      <c r="BU459" s="73" t="s">
        <v>318</v>
      </c>
      <c r="BV459" s="73"/>
      <c r="BW459" s="64" t="str">
        <f>if(OR(F459="SALE",F459="REFUNDED"),IFERROR(Vlookup(I459,'Listing SKU - Fill SKU Mapping'!A:C,3,false),"Map"),"")</f>
        <v>Keystone</v>
      </c>
      <c r="BX459" s="64" t="str">
        <f>IF(OR(F459="SALE",F459="REFUNDED")=TRUE,iferror(Vlookup(I459,'Listing SKU - Fill SKU Mapping'!A:B,2,false),"Map"),"")</f>
        <v>43116BLK</v>
      </c>
      <c r="BY459" s="64">
        <f>IF(OR(F459="SALE",F459="REFUNDED")=TRUE,iferror(Vlookup(I459,'Listing SKU - Fill SKU Mapping'!A:D,4,false),"Map"),"")</f>
        <v>34.32</v>
      </c>
      <c r="BZ459" s="66">
        <f t="shared" si="1"/>
        <v>11.5</v>
      </c>
      <c r="CA459" s="66">
        <f t="shared" si="2"/>
        <v>45.82</v>
      </c>
      <c r="CB459" s="66">
        <f t="shared" si="3"/>
        <v>36</v>
      </c>
      <c r="CC459" s="64" t="str">
        <f>if(F459="REFUNDED",iferror(Vlookup(I459,'Listing SKU - Fill SKU Mapping'!A:B,2,false),"Map"),"")</f>
        <v/>
      </c>
      <c r="CD459" s="64" t="str">
        <f>if(F459="REFUNDED",iferror(Vlookup(I459,'Listing SKU - Fill SKU Mapping'!A:C,3,false),"Map"),"")</f>
        <v/>
      </c>
      <c r="CE459" s="64" t="str">
        <f t="shared" si="4"/>
        <v>2025</v>
      </c>
      <c r="CF459" s="64" t="str">
        <f t="shared" si="5"/>
        <v>November</v>
      </c>
      <c r="CG459" s="64" t="str">
        <f t="shared" si="6"/>
        <v/>
      </c>
    </row>
    <row r="460">
      <c r="A460" s="55">
        <v>2.0001E14</v>
      </c>
      <c r="B460" s="56">
        <v>1.0</v>
      </c>
      <c r="C460" s="57">
        <v>1.2903E14</v>
      </c>
      <c r="D460" s="58">
        <v>1.0</v>
      </c>
      <c r="F460" s="59" t="s">
        <v>100</v>
      </c>
      <c r="G460" s="60">
        <v>45972.0</v>
      </c>
      <c r="H460" s="58">
        <v>1.0</v>
      </c>
      <c r="I460" s="58" t="s">
        <v>324</v>
      </c>
      <c r="J460" s="61">
        <v>4.67620062434E11</v>
      </c>
      <c r="K460" s="62" t="s">
        <v>652</v>
      </c>
      <c r="L460" s="62">
        <v>2038710.0</v>
      </c>
      <c r="M460" s="63"/>
      <c r="N460" s="63"/>
      <c r="O460" s="62" t="s">
        <v>536</v>
      </c>
      <c r="P460" s="63"/>
      <c r="Q460" s="63"/>
      <c r="R460" s="62" t="s">
        <v>672</v>
      </c>
      <c r="S460" s="62">
        <v>86333.0</v>
      </c>
      <c r="T460" s="58" t="s">
        <v>105</v>
      </c>
      <c r="U460" s="59">
        <v>40.12</v>
      </c>
      <c r="V460" s="59">
        <v>35.33</v>
      </c>
      <c r="W460" s="58">
        <v>2.66</v>
      </c>
      <c r="X460" s="58">
        <v>7.0</v>
      </c>
      <c r="Y460" s="58">
        <v>10.0</v>
      </c>
      <c r="Z460" s="59">
        <v>37.99</v>
      </c>
      <c r="AA460" s="58">
        <v>0.0</v>
      </c>
      <c r="AB460" s="58">
        <v>0.0</v>
      </c>
      <c r="AC460" s="58">
        <v>0.0</v>
      </c>
      <c r="AD460" s="58">
        <v>0.0</v>
      </c>
      <c r="AE460" s="58">
        <v>0.0</v>
      </c>
      <c r="AF460" s="58">
        <v>0.0</v>
      </c>
      <c r="AG460" s="58">
        <v>0.0</v>
      </c>
      <c r="AH460" s="58">
        <v>0.0</v>
      </c>
      <c r="AI460" s="58">
        <v>0.0</v>
      </c>
      <c r="AJ460" s="58">
        <v>0.0</v>
      </c>
      <c r="AK460" s="58">
        <v>0.0</v>
      </c>
      <c r="AL460" s="58">
        <v>0.0</v>
      </c>
      <c r="AM460" s="58">
        <v>0.0</v>
      </c>
      <c r="AN460" s="58">
        <v>0.0</v>
      </c>
      <c r="AO460" s="58">
        <v>0.0</v>
      </c>
      <c r="AP460" s="58">
        <v>2.13</v>
      </c>
      <c r="AQ460" s="58">
        <v>0.0</v>
      </c>
      <c r="AR460" s="58">
        <v>0.0</v>
      </c>
      <c r="AS460" s="58">
        <v>0.0</v>
      </c>
      <c r="AT460" s="58">
        <v>0.0</v>
      </c>
      <c r="AU460" s="58">
        <v>0.0</v>
      </c>
      <c r="AV460" s="58">
        <v>0.0</v>
      </c>
      <c r="AW460" s="58">
        <v>0.0</v>
      </c>
      <c r="AX460" s="58">
        <v>0.0</v>
      </c>
      <c r="AY460" s="58">
        <v>0.0</v>
      </c>
      <c r="AZ460" s="58">
        <v>0.0</v>
      </c>
      <c r="BA460" s="58">
        <v>0.0</v>
      </c>
      <c r="BB460" s="58">
        <v>2.13</v>
      </c>
      <c r="BC460" s="58" t="s">
        <v>106</v>
      </c>
      <c r="BG460" s="58">
        <v>-3.8</v>
      </c>
      <c r="BH460" s="58" t="s">
        <v>107</v>
      </c>
      <c r="BI460" s="58" t="s">
        <v>108</v>
      </c>
      <c r="BJ460" s="58" t="s">
        <v>325</v>
      </c>
      <c r="BK460" s="58" t="s">
        <v>614</v>
      </c>
      <c r="BN460" s="58" t="s">
        <v>111</v>
      </c>
      <c r="BO460" s="58" t="s">
        <v>112</v>
      </c>
      <c r="BP460" s="58" t="s">
        <v>113</v>
      </c>
      <c r="BQ460" s="58" t="s">
        <v>114</v>
      </c>
      <c r="BR460" s="58">
        <v>1.14</v>
      </c>
      <c r="BU460" s="72"/>
      <c r="BV460" s="72"/>
      <c r="BW460" s="64" t="str">
        <f>if(OR(F460="SALE",F460="REFUNDED"),IFERROR(Vlookup(I460,'Listing SKU - Fill SKU Mapping'!A:C,3,false),"Map"),"")</f>
        <v>Keystone</v>
      </c>
      <c r="BX460" s="64" t="str">
        <f>IF(OR(F460="SALE",F460="REFUNDED")=TRUE,iferror(Vlookup(I460,'Listing SKU - Fill SKU Mapping'!A:B,2,false),"Map"),"")</f>
        <v>1515TP</v>
      </c>
      <c r="BY460" s="64">
        <f>IF(OR(F460="SALE",F460="REFUNDED")=TRUE,iferror(Vlookup(I460,'Listing SKU - Fill SKU Mapping'!A:D,4,false),"Map"),"")</f>
        <v>14.99</v>
      </c>
      <c r="BZ460" s="66">
        <f t="shared" si="1"/>
        <v>11.5</v>
      </c>
      <c r="CA460" s="66">
        <f t="shared" si="2"/>
        <v>26.49</v>
      </c>
      <c r="CB460" s="66">
        <f t="shared" si="3"/>
        <v>8.84</v>
      </c>
      <c r="CC460" s="64" t="str">
        <f>if(F460="REFUNDED",iferror(Vlookup(I460,'Listing SKU - Fill SKU Mapping'!A:B,2,false),"Map"),"")</f>
        <v/>
      </c>
      <c r="CD460" s="64" t="str">
        <f>if(F460="REFUNDED",iferror(Vlookup(I460,'Listing SKU - Fill SKU Mapping'!A:C,3,false),"Map"),"")</f>
        <v/>
      </c>
      <c r="CE460" s="64" t="str">
        <f t="shared" si="4"/>
        <v>2025</v>
      </c>
      <c r="CF460" s="64" t="str">
        <f t="shared" si="5"/>
        <v>November</v>
      </c>
      <c r="CG460" s="64" t="str">
        <f t="shared" si="6"/>
        <v/>
      </c>
    </row>
    <row r="461">
      <c r="A461" s="55">
        <v>2.0001E14</v>
      </c>
      <c r="B461" s="56">
        <v>1.0</v>
      </c>
      <c r="C461" s="57">
        <v>1.2903E14</v>
      </c>
      <c r="D461" s="58">
        <v>1.0</v>
      </c>
      <c r="F461" s="59" t="s">
        <v>158</v>
      </c>
      <c r="G461" s="60">
        <v>45963.0</v>
      </c>
      <c r="H461" s="58">
        <v>1.0</v>
      </c>
      <c r="I461" s="58" t="s">
        <v>420</v>
      </c>
      <c r="J461" s="61">
        <v>4.50400888287E11</v>
      </c>
      <c r="K461" s="62" t="s">
        <v>483</v>
      </c>
      <c r="L461" s="62">
        <v>2038710.0</v>
      </c>
      <c r="M461" s="63"/>
      <c r="N461" s="63"/>
      <c r="O461" s="62" t="s">
        <v>149</v>
      </c>
      <c r="P461" s="63"/>
      <c r="Q461" s="63"/>
      <c r="R461" s="62" t="s">
        <v>673</v>
      </c>
      <c r="S461" s="62">
        <v>39648.0</v>
      </c>
      <c r="T461" s="58" t="s">
        <v>437</v>
      </c>
      <c r="U461" s="59">
        <v>0.0</v>
      </c>
      <c r="V461" s="59">
        <v>-6.15</v>
      </c>
      <c r="W461" s="58">
        <v>6.15</v>
      </c>
      <c r="X461" s="58">
        <v>0.0</v>
      </c>
      <c r="Z461" s="59">
        <v>0.0</v>
      </c>
      <c r="AA461" s="58">
        <v>0.0</v>
      </c>
      <c r="AB461" s="58">
        <v>0.0</v>
      </c>
      <c r="AC461" s="58">
        <v>0.0</v>
      </c>
      <c r="AD461" s="58">
        <v>0.0</v>
      </c>
      <c r="AE461" s="58">
        <v>0.0</v>
      </c>
      <c r="AF461" s="58">
        <v>0.0</v>
      </c>
      <c r="AG461" s="58">
        <v>0.0</v>
      </c>
      <c r="AH461" s="58">
        <v>0.0</v>
      </c>
      <c r="AI461" s="58">
        <v>0.0</v>
      </c>
      <c r="AJ461" s="58">
        <v>0.0</v>
      </c>
      <c r="AK461" s="58">
        <v>0.0</v>
      </c>
      <c r="AL461" s="58">
        <v>0.0</v>
      </c>
      <c r="AM461" s="58">
        <v>0.0</v>
      </c>
      <c r="AN461" s="58">
        <v>0.0</v>
      </c>
      <c r="AO461" s="58">
        <v>0.0</v>
      </c>
      <c r="AP461" s="58">
        <v>0.0</v>
      </c>
      <c r="AQ461" s="58">
        <v>0.0</v>
      </c>
      <c r="AR461" s="58">
        <v>0.0</v>
      </c>
      <c r="AS461" s="58">
        <v>0.0</v>
      </c>
      <c r="AT461" s="58">
        <v>0.0</v>
      </c>
      <c r="AU461" s="58">
        <v>0.0</v>
      </c>
      <c r="AV461" s="58">
        <v>0.0</v>
      </c>
      <c r="AW461" s="58">
        <v>0.0</v>
      </c>
      <c r="AX461" s="58">
        <v>0.0</v>
      </c>
      <c r="AY461" s="58">
        <v>0.0</v>
      </c>
      <c r="AZ461" s="58">
        <v>0.0</v>
      </c>
      <c r="BA461" s="58">
        <v>0.0</v>
      </c>
      <c r="BB461" s="58">
        <v>0.0</v>
      </c>
      <c r="BC461" s="58" t="s">
        <v>106</v>
      </c>
      <c r="BD461" s="58" t="s">
        <v>425</v>
      </c>
      <c r="BE461" s="58">
        <v>5041.0</v>
      </c>
      <c r="BF461" s="58">
        <v>22.98</v>
      </c>
      <c r="BH461" s="58" t="s">
        <v>421</v>
      </c>
      <c r="BI461" s="58" t="s">
        <v>422</v>
      </c>
      <c r="BN461" s="58" t="s">
        <v>111</v>
      </c>
      <c r="BO461" s="58" t="s">
        <v>424</v>
      </c>
      <c r="BU461" s="72"/>
      <c r="BV461" s="72"/>
      <c r="BW461" s="64" t="str">
        <f>if(OR(F461="SALE",F461="REFUNDED"),IFERROR(Vlookup(I461,'Listing SKU - Fill SKU Mapping'!A:C,3,false),"Map"),"")</f>
        <v/>
      </c>
      <c r="BX461" s="64" t="str">
        <f>IF(OR(F461="SALE",F461="REFUNDED")=TRUE,iferror(Vlookup(I461,'Listing SKU - Fill SKU Mapping'!A:B,2,false),"Map"),"")</f>
        <v/>
      </c>
      <c r="BY461" s="64" t="str">
        <f>IF(OR(F461="SALE",F461="REFUNDED")=TRUE,iferror(Vlookup(I461,'Listing SKU - Fill SKU Mapping'!A:D,4,false),"Map"),"")</f>
        <v/>
      </c>
      <c r="BZ461" s="66" t="str">
        <f t="shared" si="1"/>
        <v/>
      </c>
      <c r="CA461" s="64" t="str">
        <f t="shared" si="2"/>
        <v/>
      </c>
      <c r="CB461" s="64" t="str">
        <f t="shared" si="3"/>
        <v/>
      </c>
      <c r="CC461" s="64" t="str">
        <f>if(F461="REFUNDED",iferror(Vlookup(I461,'Listing SKU - Fill SKU Mapping'!A:B,2,false),"Map"),"")</f>
        <v/>
      </c>
      <c r="CD461" s="64" t="str">
        <f>if(F461="REFUNDED",iferror(Vlookup(I461,'Listing SKU - Fill SKU Mapping'!A:C,3,false),"Map"),"")</f>
        <v/>
      </c>
      <c r="CE461" s="64" t="str">
        <f t="shared" si="4"/>
        <v>2025</v>
      </c>
      <c r="CF461" s="64" t="str">
        <f t="shared" si="5"/>
        <v>November</v>
      </c>
      <c r="CG461" s="64" t="str">
        <f t="shared" si="6"/>
        <v/>
      </c>
    </row>
    <row r="462">
      <c r="A462" s="55">
        <v>2.0001E14</v>
      </c>
      <c r="B462" s="56">
        <v>1.0</v>
      </c>
      <c r="C462" s="57">
        <v>1.2903E14</v>
      </c>
      <c r="D462" s="58">
        <v>1.0</v>
      </c>
      <c r="F462" s="59" t="s">
        <v>100</v>
      </c>
      <c r="G462" s="60">
        <v>45963.0</v>
      </c>
      <c r="H462" s="58">
        <v>1.0</v>
      </c>
      <c r="I462" s="58" t="s">
        <v>420</v>
      </c>
      <c r="J462" s="61">
        <v>4.50400888287E11</v>
      </c>
      <c r="K462" s="62" t="s">
        <v>483</v>
      </c>
      <c r="L462" s="62">
        <v>2038710.0</v>
      </c>
      <c r="M462" s="63"/>
      <c r="N462" s="63"/>
      <c r="O462" s="62" t="s">
        <v>149</v>
      </c>
      <c r="P462" s="63"/>
      <c r="Q462" s="63"/>
      <c r="R462" s="62" t="s">
        <v>673</v>
      </c>
      <c r="S462" s="62">
        <v>39648.0</v>
      </c>
      <c r="T462" s="58" t="s">
        <v>437</v>
      </c>
      <c r="U462" s="59">
        <v>21.38</v>
      </c>
      <c r="V462" s="59">
        <v>21.05</v>
      </c>
      <c r="W462" s="58">
        <v>1.93</v>
      </c>
      <c r="X462" s="58">
        <v>8.4</v>
      </c>
      <c r="Y462" s="58">
        <v>12.0</v>
      </c>
      <c r="Z462" s="59">
        <v>19.98</v>
      </c>
      <c r="AA462" s="58">
        <v>0.0</v>
      </c>
      <c r="AB462" s="58">
        <v>0.0</v>
      </c>
      <c r="AC462" s="58">
        <v>0.0</v>
      </c>
      <c r="AD462" s="58">
        <v>0.0</v>
      </c>
      <c r="AE462" s="58">
        <v>0.0</v>
      </c>
      <c r="AF462" s="58">
        <v>0.0</v>
      </c>
      <c r="AG462" s="58">
        <v>0.0</v>
      </c>
      <c r="AH462" s="58">
        <v>0.0</v>
      </c>
      <c r="AI462" s="58">
        <v>0.0</v>
      </c>
      <c r="AJ462" s="58">
        <v>0.0</v>
      </c>
      <c r="AK462" s="58">
        <v>0.0</v>
      </c>
      <c r="AL462" s="58">
        <v>0.0</v>
      </c>
      <c r="AM462" s="58">
        <v>0.0</v>
      </c>
      <c r="AN462" s="58">
        <v>0.0</v>
      </c>
      <c r="AO462" s="58">
        <v>0.0</v>
      </c>
      <c r="AP462" s="58">
        <v>1.4</v>
      </c>
      <c r="AQ462" s="58">
        <v>0.0</v>
      </c>
      <c r="AR462" s="58">
        <v>0.0</v>
      </c>
      <c r="AS462" s="58">
        <v>0.0</v>
      </c>
      <c r="AT462" s="58">
        <v>0.0</v>
      </c>
      <c r="AU462" s="58">
        <v>0.0</v>
      </c>
      <c r="AV462" s="58">
        <v>0.0</v>
      </c>
      <c r="AW462" s="58">
        <v>0.0</v>
      </c>
      <c r="AX462" s="58">
        <v>0.0</v>
      </c>
      <c r="AY462" s="58">
        <v>0.0</v>
      </c>
      <c r="AZ462" s="58">
        <v>0.0</v>
      </c>
      <c r="BA462" s="58">
        <v>0.0</v>
      </c>
      <c r="BB462" s="58">
        <v>1.4</v>
      </c>
      <c r="BC462" s="58" t="s">
        <v>106</v>
      </c>
      <c r="BF462" s="58">
        <v>22.98</v>
      </c>
      <c r="BG462" s="58">
        <v>-2.76</v>
      </c>
      <c r="BH462" s="58" t="s">
        <v>421</v>
      </c>
      <c r="BI462" s="58" t="s">
        <v>422</v>
      </c>
      <c r="BJ462" s="58" t="s">
        <v>423</v>
      </c>
      <c r="BK462" s="58" t="s">
        <v>551</v>
      </c>
      <c r="BN462" s="58" t="s">
        <v>111</v>
      </c>
      <c r="BO462" s="58" t="s">
        <v>424</v>
      </c>
      <c r="BP462" s="58" t="s">
        <v>113</v>
      </c>
      <c r="BQ462" s="58" t="s">
        <v>317</v>
      </c>
      <c r="BR462" s="58">
        <v>0.83</v>
      </c>
      <c r="BT462" s="58">
        <v>-3.0</v>
      </c>
      <c r="BU462" s="73" t="s">
        <v>318</v>
      </c>
      <c r="BV462" s="73"/>
      <c r="BW462" s="64" t="str">
        <f>if(OR(F462="SALE",F462="REFUNDED"),IFERROR(Vlookup(I462,'Listing SKU - Fill SKU Mapping'!A:C,3,false),"Map"),"")</f>
        <v>Map</v>
      </c>
      <c r="BX462" s="64" t="str">
        <f>IF(OR(F462="SALE",F462="REFUNDED")=TRUE,iferror(Vlookup(I462,'Listing SKU - Fill SKU Mapping'!A:B,2,false),"Map"),"")</f>
        <v>Map</v>
      </c>
      <c r="BY462" s="64" t="str">
        <f>IF(OR(F462="SALE",F462="REFUNDED")=TRUE,iferror(Vlookup(I462,'Listing SKU - Fill SKU Mapping'!A:D,4,false),"Map"),"")</f>
        <v>Map</v>
      </c>
      <c r="BZ462" s="66" t="str">
        <f t="shared" si="1"/>
        <v/>
      </c>
      <c r="CA462" s="64" t="str">
        <f t="shared" si="2"/>
        <v/>
      </c>
      <c r="CB462" s="64">
        <f t="shared" si="3"/>
        <v>21.05</v>
      </c>
      <c r="CC462" s="64" t="str">
        <f>if(F462="REFUNDED",iferror(Vlookup(I462,'Listing SKU - Fill SKU Mapping'!A:B,2,false),"Map"),"")</f>
        <v/>
      </c>
      <c r="CD462" s="64" t="str">
        <f>if(F462="REFUNDED",iferror(Vlookup(I462,'Listing SKU - Fill SKU Mapping'!A:C,3,false),"Map"),"")</f>
        <v/>
      </c>
      <c r="CE462" s="64" t="str">
        <f t="shared" si="4"/>
        <v>2025</v>
      </c>
      <c r="CF462" s="64" t="str">
        <f t="shared" si="5"/>
        <v>November</v>
      </c>
      <c r="CG462" s="64" t="str">
        <f t="shared" si="6"/>
        <v/>
      </c>
    </row>
    <row r="463">
      <c r="A463" s="55">
        <v>2.0001E14</v>
      </c>
      <c r="B463" s="56">
        <v>1.0</v>
      </c>
      <c r="C463" s="57">
        <v>1.2903E14</v>
      </c>
      <c r="D463" s="58">
        <v>1.0</v>
      </c>
      <c r="F463" s="59" t="s">
        <v>100</v>
      </c>
      <c r="G463" s="60">
        <v>45964.0</v>
      </c>
      <c r="H463" s="58">
        <v>1.0</v>
      </c>
      <c r="I463" s="58" t="s">
        <v>674</v>
      </c>
      <c r="J463" s="61">
        <v>4.60776240961E11</v>
      </c>
      <c r="K463" s="62" t="s">
        <v>675</v>
      </c>
      <c r="L463" s="62">
        <v>2038710.0</v>
      </c>
      <c r="M463" s="63"/>
      <c r="N463" s="63"/>
      <c r="O463" s="62" t="s">
        <v>536</v>
      </c>
      <c r="P463" s="63"/>
      <c r="Q463" s="63"/>
      <c r="R463" s="62" t="s">
        <v>676</v>
      </c>
      <c r="S463" s="62">
        <v>85295.0</v>
      </c>
      <c r="T463" s="58" t="s">
        <v>105</v>
      </c>
      <c r="U463" s="59">
        <v>109.73</v>
      </c>
      <c r="V463" s="59">
        <v>94.84</v>
      </c>
      <c r="W463" s="58">
        <v>7.14</v>
      </c>
      <c r="X463" s="58">
        <v>7.0</v>
      </c>
      <c r="Y463" s="58">
        <v>10.0</v>
      </c>
      <c r="Z463" s="59">
        <v>101.98</v>
      </c>
      <c r="AA463" s="58">
        <v>0.0</v>
      </c>
      <c r="AB463" s="58">
        <v>0.0</v>
      </c>
      <c r="AC463" s="58">
        <v>0.0</v>
      </c>
      <c r="AD463" s="58">
        <v>0.0</v>
      </c>
      <c r="AE463" s="58">
        <v>0.0</v>
      </c>
      <c r="AF463" s="58">
        <v>0.0</v>
      </c>
      <c r="AG463" s="58">
        <v>0.0</v>
      </c>
      <c r="AH463" s="58">
        <v>0.0</v>
      </c>
      <c r="AI463" s="58">
        <v>0.0</v>
      </c>
      <c r="AJ463" s="58">
        <v>0.0</v>
      </c>
      <c r="AK463" s="58">
        <v>0.0</v>
      </c>
      <c r="AL463" s="58">
        <v>0.0</v>
      </c>
      <c r="AM463" s="58">
        <v>0.0</v>
      </c>
      <c r="AN463" s="58">
        <v>0.0</v>
      </c>
      <c r="AO463" s="58">
        <v>0.0</v>
      </c>
      <c r="AP463" s="58">
        <v>7.75</v>
      </c>
      <c r="AQ463" s="58">
        <v>0.0</v>
      </c>
      <c r="AR463" s="58">
        <v>0.0</v>
      </c>
      <c r="AS463" s="58">
        <v>0.0</v>
      </c>
      <c r="AT463" s="58">
        <v>0.0</v>
      </c>
      <c r="AU463" s="58">
        <v>0.0</v>
      </c>
      <c r="AV463" s="58">
        <v>0.0</v>
      </c>
      <c r="AW463" s="58">
        <v>0.0</v>
      </c>
      <c r="AX463" s="58">
        <v>0.0</v>
      </c>
      <c r="AY463" s="58">
        <v>0.0</v>
      </c>
      <c r="AZ463" s="58">
        <v>0.0</v>
      </c>
      <c r="BA463" s="58">
        <v>0.0</v>
      </c>
      <c r="BB463" s="58">
        <v>7.75</v>
      </c>
      <c r="BC463" s="58" t="s">
        <v>106</v>
      </c>
      <c r="BG463" s="58">
        <v>-10.2</v>
      </c>
      <c r="BH463" s="58" t="s">
        <v>107</v>
      </c>
      <c r="BI463" s="58" t="s">
        <v>108</v>
      </c>
      <c r="BJ463" s="58" t="s">
        <v>109</v>
      </c>
      <c r="BK463" s="58" t="s">
        <v>551</v>
      </c>
      <c r="BN463" s="58" t="s">
        <v>111</v>
      </c>
      <c r="BO463" s="58" t="s">
        <v>112</v>
      </c>
      <c r="BP463" s="58" t="s">
        <v>113</v>
      </c>
      <c r="BQ463" s="58" t="s">
        <v>114</v>
      </c>
      <c r="BR463" s="58">
        <v>3.06</v>
      </c>
      <c r="BU463" s="72"/>
      <c r="BV463" s="72"/>
      <c r="BW463" s="64" t="str">
        <f>if(OR(F463="SALE",F463="REFUNDED"),IFERROR(Vlookup(I463,'Listing SKU - Fill SKU Mapping'!A:C,3,false),"Map"),"")</f>
        <v>Keystone</v>
      </c>
      <c r="BX463" s="64" t="str">
        <f>IF(OR(F463="SALE",F463="REFUNDED")=TRUE,iferror(Vlookup(I463,'Listing SKU - Fill SKU Mapping'!A:B,2,false),"Map"),"")</f>
        <v>IMP77BLK</v>
      </c>
      <c r="BY463" s="64">
        <f>IF(OR(F463="SALE",F463="REFUNDED")=TRUE,iferror(Vlookup(I463,'Listing SKU - Fill SKU Mapping'!A:D,4,false),"Map"),"")</f>
        <v>45.75</v>
      </c>
      <c r="BZ463" s="66">
        <f t="shared" si="1"/>
        <v>11.5</v>
      </c>
      <c r="CA463" s="66">
        <f t="shared" si="2"/>
        <v>57.25</v>
      </c>
      <c r="CB463" s="66">
        <f t="shared" si="3"/>
        <v>37.59</v>
      </c>
      <c r="CC463" s="64" t="str">
        <f>if(F463="REFUNDED",iferror(Vlookup(I463,'Listing SKU - Fill SKU Mapping'!A:B,2,false),"Map"),"")</f>
        <v/>
      </c>
      <c r="CD463" s="64" t="str">
        <f>if(F463="REFUNDED",iferror(Vlookup(I463,'Listing SKU - Fill SKU Mapping'!A:C,3,false),"Map"),"")</f>
        <v/>
      </c>
      <c r="CE463" s="64" t="str">
        <f t="shared" si="4"/>
        <v>2025</v>
      </c>
      <c r="CF463" s="64" t="str">
        <f t="shared" si="5"/>
        <v>November</v>
      </c>
      <c r="CG463" s="64" t="str">
        <f t="shared" si="6"/>
        <v/>
      </c>
    </row>
    <row r="464">
      <c r="A464" s="55">
        <v>2.0001E14</v>
      </c>
      <c r="B464" s="56">
        <v>1.0</v>
      </c>
      <c r="C464" s="57">
        <v>1.2903E14</v>
      </c>
      <c r="D464" s="58">
        <v>1.0</v>
      </c>
      <c r="F464" s="59" t="s">
        <v>128</v>
      </c>
      <c r="G464" s="60">
        <v>45969.0</v>
      </c>
      <c r="H464" s="58">
        <v>1.0</v>
      </c>
      <c r="I464" s="58" t="s">
        <v>674</v>
      </c>
      <c r="J464" s="61">
        <v>4.60776240961E11</v>
      </c>
      <c r="K464" s="62" t="s">
        <v>675</v>
      </c>
      <c r="L464" s="62">
        <v>2038710.0</v>
      </c>
      <c r="M464" s="63"/>
      <c r="N464" s="63"/>
      <c r="O464" s="63"/>
      <c r="P464" s="63"/>
      <c r="Q464" s="63"/>
      <c r="R464" s="62" t="s">
        <v>676</v>
      </c>
      <c r="S464" s="62">
        <v>85295.0</v>
      </c>
      <c r="U464" s="59">
        <v>-109.73</v>
      </c>
      <c r="V464" s="59">
        <v>-94.84</v>
      </c>
      <c r="W464" s="58">
        <v>-7.14</v>
      </c>
      <c r="X464" s="58">
        <v>0.0</v>
      </c>
      <c r="Y464" s="58">
        <v>0.0</v>
      </c>
      <c r="Z464" s="59">
        <v>0.0</v>
      </c>
      <c r="AA464" s="58">
        <v>-101.98</v>
      </c>
      <c r="AB464" s="58">
        <v>0.0</v>
      </c>
      <c r="AC464" s="58">
        <v>0.0</v>
      </c>
      <c r="AD464" s="58">
        <v>0.0</v>
      </c>
      <c r="AE464" s="58">
        <v>0.0</v>
      </c>
      <c r="AF464" s="58">
        <v>0.0</v>
      </c>
      <c r="AG464" s="58">
        <v>0.0</v>
      </c>
      <c r="AH464" s="58">
        <v>0.0</v>
      </c>
      <c r="AI464" s="58">
        <v>0.0</v>
      </c>
      <c r="AJ464" s="58">
        <v>0.0</v>
      </c>
      <c r="AK464" s="58">
        <v>0.0</v>
      </c>
      <c r="AL464" s="58">
        <v>0.0</v>
      </c>
      <c r="AM464" s="58">
        <v>0.0</v>
      </c>
      <c r="AN464" s="58">
        <v>0.0</v>
      </c>
      <c r="AO464" s="58">
        <v>0.0</v>
      </c>
      <c r="AP464" s="58">
        <v>0.0</v>
      </c>
      <c r="AQ464" s="58">
        <v>0.0</v>
      </c>
      <c r="AR464" s="58">
        <v>0.0</v>
      </c>
      <c r="AS464" s="58">
        <v>0.0</v>
      </c>
      <c r="AT464" s="58">
        <v>0.0</v>
      </c>
      <c r="AU464" s="58">
        <v>-7.75</v>
      </c>
      <c r="AV464" s="58">
        <v>0.0</v>
      </c>
      <c r="AW464" s="58">
        <v>0.0</v>
      </c>
      <c r="AX464" s="58">
        <v>0.0</v>
      </c>
      <c r="AY464" s="58">
        <v>0.0</v>
      </c>
      <c r="AZ464" s="58">
        <v>0.0</v>
      </c>
      <c r="BA464" s="58">
        <v>0.0</v>
      </c>
      <c r="BB464" s="58">
        <v>-7.75</v>
      </c>
      <c r="BC464" s="58" t="s">
        <v>106</v>
      </c>
      <c r="BD464" s="58" t="s">
        <v>156</v>
      </c>
      <c r="BE464" s="58">
        <v>5010.0</v>
      </c>
      <c r="BH464" s="58" t="s">
        <v>107</v>
      </c>
      <c r="BI464" s="58" t="s">
        <v>108</v>
      </c>
      <c r="BL464" s="58">
        <v>1000.0</v>
      </c>
      <c r="BM464" s="58" t="s">
        <v>130</v>
      </c>
      <c r="BN464" s="58" t="s">
        <v>111</v>
      </c>
      <c r="BO464" s="58" t="s">
        <v>112</v>
      </c>
      <c r="BU464" s="72"/>
      <c r="BV464" s="72"/>
      <c r="BW464" s="64" t="str">
        <f>if(OR(F464="SALE",F464="REFUNDED"),IFERROR(Vlookup(I464,'Listing SKU - Fill SKU Mapping'!A:C,3,false),"Map"),"")</f>
        <v>Keystone</v>
      </c>
      <c r="BX464" s="64" t="str">
        <f>IF(OR(F464="SALE",F464="REFUNDED")=TRUE,iferror(Vlookup(I464,'Listing SKU - Fill SKU Mapping'!A:B,2,false),"Map"),"")</f>
        <v>IMP77BLK</v>
      </c>
      <c r="BY464" s="64">
        <f>IF(OR(F464="SALE",F464="REFUNDED")=TRUE,iferror(Vlookup(I464,'Listing SKU - Fill SKU Mapping'!A:D,4,false),"Map"),"")</f>
        <v>45.75</v>
      </c>
      <c r="BZ464" s="66">
        <f t="shared" si="1"/>
        <v>11.5</v>
      </c>
      <c r="CA464" s="66">
        <f t="shared" si="2"/>
        <v>57.25</v>
      </c>
      <c r="CB464" s="64" t="str">
        <f t="shared" si="3"/>
        <v/>
      </c>
      <c r="CC464" s="64" t="str">
        <f>if(F464="REFUNDED",iferror(Vlookup(I464,'Listing SKU - Fill SKU Mapping'!A:B,2,false),"Map"),"")</f>
        <v>IMP77BLK</v>
      </c>
      <c r="CD464" s="64" t="str">
        <f>if(F464="REFUNDED",iferror(Vlookup(I464,'Listing SKU - Fill SKU Mapping'!A:C,3,false),"Map"),"")</f>
        <v>Keystone</v>
      </c>
      <c r="CE464" s="64" t="str">
        <f t="shared" si="4"/>
        <v>2025</v>
      </c>
      <c r="CF464" s="64" t="str">
        <f t="shared" si="5"/>
        <v>November</v>
      </c>
      <c r="CG464" s="64" t="str">
        <f t="shared" si="6"/>
        <v/>
      </c>
    </row>
    <row r="465">
      <c r="A465" s="55">
        <v>2.0001E14</v>
      </c>
      <c r="B465" s="56">
        <v>1.0</v>
      </c>
      <c r="C465" s="57">
        <v>1.2903E14</v>
      </c>
      <c r="D465" s="58">
        <v>1.0</v>
      </c>
      <c r="F465" s="59" t="s">
        <v>100</v>
      </c>
      <c r="G465" s="60">
        <v>45975.0</v>
      </c>
      <c r="H465" s="58">
        <v>1.0</v>
      </c>
      <c r="I465" s="58" t="s">
        <v>279</v>
      </c>
      <c r="J465" s="61">
        <v>4.67129950768E11</v>
      </c>
      <c r="K465" s="62" t="s">
        <v>280</v>
      </c>
      <c r="L465" s="62">
        <v>2038710.0</v>
      </c>
      <c r="M465" s="63"/>
      <c r="N465" s="63"/>
      <c r="O465" s="62" t="s">
        <v>270</v>
      </c>
      <c r="P465" s="63"/>
      <c r="Q465" s="63"/>
      <c r="R465" s="62" t="s">
        <v>588</v>
      </c>
      <c r="S465" s="62">
        <v>52223.0</v>
      </c>
      <c r="T465" s="58" t="s">
        <v>105</v>
      </c>
      <c r="U465" s="59">
        <v>82.28</v>
      </c>
      <c r="V465" s="59">
        <v>79.96</v>
      </c>
      <c r="W465" s="58">
        <v>6.02</v>
      </c>
      <c r="X465" s="58">
        <v>7.0</v>
      </c>
      <c r="Y465" s="58">
        <v>10.0</v>
      </c>
      <c r="Z465" s="59">
        <v>76.9</v>
      </c>
      <c r="AA465" s="58">
        <v>0.0</v>
      </c>
      <c r="AB465" s="58">
        <v>0.0</v>
      </c>
      <c r="AC465" s="58">
        <v>0.0</v>
      </c>
      <c r="AD465" s="58">
        <v>0.0</v>
      </c>
      <c r="AE465" s="58">
        <v>0.0</v>
      </c>
      <c r="AF465" s="58">
        <v>0.0</v>
      </c>
      <c r="AG465" s="58">
        <v>0.0</v>
      </c>
      <c r="AH465" s="58">
        <v>0.0</v>
      </c>
      <c r="AI465" s="58">
        <v>0.0</v>
      </c>
      <c r="AJ465" s="58">
        <v>0.0</v>
      </c>
      <c r="AK465" s="58">
        <v>0.0</v>
      </c>
      <c r="AL465" s="58">
        <v>0.0</v>
      </c>
      <c r="AM465" s="58">
        <v>0.0</v>
      </c>
      <c r="AN465" s="58">
        <v>0.0</v>
      </c>
      <c r="AO465" s="58">
        <v>0.0</v>
      </c>
      <c r="AP465" s="58">
        <v>5.38</v>
      </c>
      <c r="AQ465" s="58">
        <v>0.0</v>
      </c>
      <c r="AR465" s="58">
        <v>0.0</v>
      </c>
      <c r="AS465" s="58">
        <v>0.0</v>
      </c>
      <c r="AT465" s="58">
        <v>0.0</v>
      </c>
      <c r="AU465" s="58">
        <v>0.0</v>
      </c>
      <c r="AV465" s="58">
        <v>0.0</v>
      </c>
      <c r="AW465" s="58">
        <v>0.0</v>
      </c>
      <c r="AX465" s="58">
        <v>0.0</v>
      </c>
      <c r="AY465" s="58">
        <v>0.0</v>
      </c>
      <c r="AZ465" s="58">
        <v>0.0</v>
      </c>
      <c r="BA465" s="58">
        <v>0.0</v>
      </c>
      <c r="BB465" s="58">
        <v>5.38</v>
      </c>
      <c r="BC465" s="58" t="s">
        <v>106</v>
      </c>
      <c r="BF465" s="58">
        <v>85.98</v>
      </c>
      <c r="BG465" s="58">
        <v>-8.6</v>
      </c>
      <c r="BH465" s="58" t="s">
        <v>107</v>
      </c>
      <c r="BI465" s="58" t="s">
        <v>108</v>
      </c>
      <c r="BJ465" s="58" t="s">
        <v>109</v>
      </c>
      <c r="BK465" s="58" t="s">
        <v>623</v>
      </c>
      <c r="BN465" s="58" t="s">
        <v>111</v>
      </c>
      <c r="BO465" s="58" t="s">
        <v>112</v>
      </c>
      <c r="BP465" s="58" t="s">
        <v>113</v>
      </c>
      <c r="BQ465" s="58" t="s">
        <v>317</v>
      </c>
      <c r="BR465" s="58">
        <v>2.58</v>
      </c>
      <c r="BT465" s="58">
        <v>-9.08</v>
      </c>
      <c r="BU465" s="73" t="s">
        <v>318</v>
      </c>
      <c r="BV465" s="73"/>
      <c r="BW465" s="64" t="str">
        <f>if(OR(F465="SALE",F465="REFUNDED"),IFERROR(Vlookup(I465,'Listing SKU - Fill SKU Mapping'!A:C,3,false),"Map"),"")</f>
        <v>Keystone</v>
      </c>
      <c r="BX465" s="64" t="str">
        <f>IF(OR(F465="SALE",F465="REFUNDED")=TRUE,iferror(Vlookup(I465,'Listing SKU - Fill SKU Mapping'!A:B,2,false),"Map"),"")</f>
        <v>43517S</v>
      </c>
      <c r="BY465" s="64">
        <f>IF(OR(F465="SALE",F465="REFUNDED")=TRUE,iferror(Vlookup(I465,'Listing SKU - Fill SKU Mapping'!A:D,4,false),"Map"),"")</f>
        <v>33.53</v>
      </c>
      <c r="BZ465" s="66">
        <f t="shared" si="1"/>
        <v>11.5</v>
      </c>
      <c r="CA465" s="66">
        <f t="shared" si="2"/>
        <v>45.03</v>
      </c>
      <c r="CB465" s="66">
        <f t="shared" si="3"/>
        <v>34.93</v>
      </c>
      <c r="CC465" s="64" t="str">
        <f>if(F465="REFUNDED",iferror(Vlookup(I465,'Listing SKU - Fill SKU Mapping'!A:B,2,false),"Map"),"")</f>
        <v/>
      </c>
      <c r="CD465" s="64" t="str">
        <f>if(F465="REFUNDED",iferror(Vlookup(I465,'Listing SKU - Fill SKU Mapping'!A:C,3,false),"Map"),"")</f>
        <v/>
      </c>
      <c r="CE465" s="64" t="str">
        <f t="shared" si="4"/>
        <v>2025</v>
      </c>
      <c r="CF465" s="64" t="str">
        <f t="shared" si="5"/>
        <v>November</v>
      </c>
      <c r="CG465" s="64" t="str">
        <f t="shared" si="6"/>
        <v/>
      </c>
    </row>
    <row r="466">
      <c r="A466" s="55">
        <v>2.0001E14</v>
      </c>
      <c r="B466" s="56">
        <v>1.0</v>
      </c>
      <c r="C466" s="57">
        <v>1.2903E14</v>
      </c>
      <c r="D466" s="58">
        <v>1.0</v>
      </c>
      <c r="F466" s="59" t="s">
        <v>100</v>
      </c>
      <c r="G466" s="60">
        <v>45972.0</v>
      </c>
      <c r="H466" s="58">
        <v>1.0</v>
      </c>
      <c r="I466" s="58" t="s">
        <v>335</v>
      </c>
      <c r="J466" s="61">
        <v>4.66885060957E11</v>
      </c>
      <c r="K466" s="62" t="s">
        <v>677</v>
      </c>
      <c r="L466" s="62">
        <v>2038710.0</v>
      </c>
      <c r="M466" s="63"/>
      <c r="N466" s="63"/>
      <c r="O466" s="62" t="s">
        <v>274</v>
      </c>
      <c r="P466" s="63"/>
      <c r="Q466" s="63"/>
      <c r="R466" s="62" t="s">
        <v>678</v>
      </c>
      <c r="S466" s="62">
        <v>65401.0</v>
      </c>
      <c r="T466" s="58" t="s">
        <v>105</v>
      </c>
      <c r="U466" s="59">
        <v>89.53</v>
      </c>
      <c r="V466" s="59">
        <v>79.03</v>
      </c>
      <c r="W466" s="58">
        <v>5.95</v>
      </c>
      <c r="X466" s="58">
        <v>7.0</v>
      </c>
      <c r="Y466" s="58">
        <v>10.0</v>
      </c>
      <c r="Z466" s="59">
        <v>84.98</v>
      </c>
      <c r="AA466" s="58">
        <v>0.0</v>
      </c>
      <c r="AB466" s="58">
        <v>0.0</v>
      </c>
      <c r="AC466" s="58">
        <v>0.0</v>
      </c>
      <c r="AD466" s="58">
        <v>0.0</v>
      </c>
      <c r="AE466" s="58">
        <v>0.0</v>
      </c>
      <c r="AF466" s="58">
        <v>0.0</v>
      </c>
      <c r="AG466" s="58">
        <v>0.0</v>
      </c>
      <c r="AH466" s="58">
        <v>0.0</v>
      </c>
      <c r="AI466" s="58">
        <v>0.0</v>
      </c>
      <c r="AJ466" s="58">
        <v>0.0</v>
      </c>
      <c r="AK466" s="58">
        <v>0.0</v>
      </c>
      <c r="AL466" s="58">
        <v>0.0</v>
      </c>
      <c r="AM466" s="58">
        <v>0.0</v>
      </c>
      <c r="AN466" s="58">
        <v>0.0</v>
      </c>
      <c r="AO466" s="58">
        <v>0.0</v>
      </c>
      <c r="AP466" s="58">
        <v>4.55</v>
      </c>
      <c r="AQ466" s="58">
        <v>0.0</v>
      </c>
      <c r="AR466" s="58">
        <v>0.0</v>
      </c>
      <c r="AS466" s="58">
        <v>0.0</v>
      </c>
      <c r="AT466" s="58">
        <v>0.0</v>
      </c>
      <c r="AU466" s="58">
        <v>0.0</v>
      </c>
      <c r="AV466" s="58">
        <v>0.0</v>
      </c>
      <c r="AW466" s="58">
        <v>0.0</v>
      </c>
      <c r="AX466" s="58">
        <v>0.0</v>
      </c>
      <c r="AY466" s="58">
        <v>0.0</v>
      </c>
      <c r="AZ466" s="58">
        <v>0.0</v>
      </c>
      <c r="BA466" s="58">
        <v>0.0</v>
      </c>
      <c r="BB466" s="58">
        <v>4.55</v>
      </c>
      <c r="BC466" s="58" t="s">
        <v>106</v>
      </c>
      <c r="BG466" s="58">
        <v>-8.5</v>
      </c>
      <c r="BH466" s="58" t="s">
        <v>107</v>
      </c>
      <c r="BI466" s="58" t="s">
        <v>108</v>
      </c>
      <c r="BJ466" s="58" t="s">
        <v>109</v>
      </c>
      <c r="BK466" s="58" t="s">
        <v>679</v>
      </c>
      <c r="BN466" s="58" t="s">
        <v>111</v>
      </c>
      <c r="BO466" s="58" t="s">
        <v>112</v>
      </c>
      <c r="BP466" s="58" t="s">
        <v>113</v>
      </c>
      <c r="BQ466" s="58" t="s">
        <v>680</v>
      </c>
      <c r="BR466" s="58">
        <v>2.55</v>
      </c>
      <c r="BU466" s="72"/>
      <c r="BV466" s="72"/>
      <c r="BW466" s="64" t="str">
        <f>if(OR(F466="SALE",F466="REFUNDED"),IFERROR(Vlookup(I466,'Listing SKU - Fill SKU Mapping'!A:C,3,false),"Map"),"")</f>
        <v>Keystone</v>
      </c>
      <c r="BX466" s="64" t="str">
        <f>IF(OR(F466="SALE",F466="REFUNDED")=TRUE,iferror(Vlookup(I466,'Listing SKU - Fill SKU Mapping'!A:B,2,false),"Map"),"")</f>
        <v>41616S</v>
      </c>
      <c r="BY466" s="64">
        <f>IF(OR(F466="SALE",F466="REFUNDED")=TRUE,iferror(Vlookup(I466,'Listing SKU - Fill SKU Mapping'!A:D,4,false),"Map"),"")</f>
        <v>32.74</v>
      </c>
      <c r="BZ466" s="66">
        <f t="shared" si="1"/>
        <v>11.5</v>
      </c>
      <c r="CA466" s="66">
        <f t="shared" si="2"/>
        <v>44.24</v>
      </c>
      <c r="CB466" s="66">
        <f t="shared" si="3"/>
        <v>34.79</v>
      </c>
      <c r="CC466" s="64" t="str">
        <f>if(F466="REFUNDED",iferror(Vlookup(I466,'Listing SKU - Fill SKU Mapping'!A:B,2,false),"Map"),"")</f>
        <v/>
      </c>
      <c r="CD466" s="64" t="str">
        <f>if(F466="REFUNDED",iferror(Vlookup(I466,'Listing SKU - Fill SKU Mapping'!A:C,3,false),"Map"),"")</f>
        <v/>
      </c>
      <c r="CE466" s="64" t="str">
        <f t="shared" si="4"/>
        <v>2025</v>
      </c>
      <c r="CF466" s="64" t="str">
        <f t="shared" si="5"/>
        <v>November</v>
      </c>
      <c r="CG466" s="64" t="str">
        <f t="shared" si="6"/>
        <v/>
      </c>
    </row>
    <row r="467">
      <c r="A467" s="55">
        <v>2.0001E14</v>
      </c>
      <c r="B467" s="56">
        <v>1.0</v>
      </c>
      <c r="C467" s="57">
        <v>1.2903E14</v>
      </c>
      <c r="D467" s="58">
        <v>1.0</v>
      </c>
      <c r="F467" s="59" t="s">
        <v>100</v>
      </c>
      <c r="G467" s="60">
        <v>45970.0</v>
      </c>
      <c r="H467" s="58">
        <v>1.0</v>
      </c>
      <c r="I467" s="58" t="s">
        <v>420</v>
      </c>
      <c r="J467" s="61">
        <v>4.50400888287E11</v>
      </c>
      <c r="K467" s="62" t="s">
        <v>483</v>
      </c>
      <c r="L467" s="62">
        <v>2038710.0</v>
      </c>
      <c r="M467" s="63"/>
      <c r="N467" s="63"/>
      <c r="O467" s="62" t="s">
        <v>602</v>
      </c>
      <c r="P467" s="63"/>
      <c r="Q467" s="63"/>
      <c r="R467" s="62" t="s">
        <v>681</v>
      </c>
      <c r="S467" s="62">
        <v>57701.0</v>
      </c>
      <c r="T467" s="58" t="s">
        <v>437</v>
      </c>
      <c r="U467" s="59">
        <v>21.22</v>
      </c>
      <c r="V467" s="59">
        <v>21.05</v>
      </c>
      <c r="W467" s="58">
        <v>1.93</v>
      </c>
      <c r="X467" s="58">
        <v>8.4</v>
      </c>
      <c r="Y467" s="58">
        <v>12.0</v>
      </c>
      <c r="Z467" s="59">
        <v>19.98</v>
      </c>
      <c r="AA467" s="58">
        <v>0.0</v>
      </c>
      <c r="AB467" s="58">
        <v>0.0</v>
      </c>
      <c r="AC467" s="58">
        <v>0.0</v>
      </c>
      <c r="AD467" s="58">
        <v>0.0</v>
      </c>
      <c r="AE467" s="58">
        <v>0.0</v>
      </c>
      <c r="AF467" s="58">
        <v>0.0</v>
      </c>
      <c r="AG467" s="58">
        <v>0.0</v>
      </c>
      <c r="AH467" s="58">
        <v>0.0</v>
      </c>
      <c r="AI467" s="58">
        <v>0.0</v>
      </c>
      <c r="AJ467" s="58">
        <v>0.0</v>
      </c>
      <c r="AK467" s="58">
        <v>0.0</v>
      </c>
      <c r="AL467" s="58">
        <v>0.0</v>
      </c>
      <c r="AM467" s="58">
        <v>0.0</v>
      </c>
      <c r="AN467" s="58">
        <v>0.0</v>
      </c>
      <c r="AO467" s="58">
        <v>0.0</v>
      </c>
      <c r="AP467" s="58">
        <v>1.24</v>
      </c>
      <c r="AQ467" s="58">
        <v>0.0</v>
      </c>
      <c r="AR467" s="58">
        <v>0.0</v>
      </c>
      <c r="AS467" s="58">
        <v>0.0</v>
      </c>
      <c r="AT467" s="58">
        <v>0.0</v>
      </c>
      <c r="AU467" s="58">
        <v>0.0</v>
      </c>
      <c r="AV467" s="58">
        <v>0.0</v>
      </c>
      <c r="AW467" s="58">
        <v>0.0</v>
      </c>
      <c r="AX467" s="58">
        <v>0.0</v>
      </c>
      <c r="AY467" s="58">
        <v>0.0</v>
      </c>
      <c r="AZ467" s="58">
        <v>0.0</v>
      </c>
      <c r="BA467" s="58">
        <v>0.0</v>
      </c>
      <c r="BB467" s="58">
        <v>1.24</v>
      </c>
      <c r="BC467" s="58" t="s">
        <v>106</v>
      </c>
      <c r="BF467" s="58">
        <v>22.98</v>
      </c>
      <c r="BG467" s="58">
        <v>-2.76</v>
      </c>
      <c r="BH467" s="58" t="s">
        <v>421</v>
      </c>
      <c r="BI467" s="58" t="s">
        <v>422</v>
      </c>
      <c r="BJ467" s="58" t="s">
        <v>423</v>
      </c>
      <c r="BK467" s="58" t="s">
        <v>614</v>
      </c>
      <c r="BN467" s="58" t="s">
        <v>111</v>
      </c>
      <c r="BO467" s="58" t="s">
        <v>424</v>
      </c>
      <c r="BP467" s="58" t="s">
        <v>113</v>
      </c>
      <c r="BQ467" s="58" t="s">
        <v>317</v>
      </c>
      <c r="BR467" s="58">
        <v>0.83</v>
      </c>
      <c r="BT467" s="58">
        <v>-3.0</v>
      </c>
      <c r="BU467" s="73" t="s">
        <v>318</v>
      </c>
      <c r="BV467" s="73"/>
      <c r="BW467" s="64" t="str">
        <f>if(OR(F467="SALE",F467="REFUNDED"),IFERROR(Vlookup(I467,'Listing SKU - Fill SKU Mapping'!A:C,3,false),"Map"),"")</f>
        <v>Map</v>
      </c>
      <c r="BX467" s="64" t="str">
        <f>IF(OR(F467="SALE",F467="REFUNDED")=TRUE,iferror(Vlookup(I467,'Listing SKU - Fill SKU Mapping'!A:B,2,false),"Map"),"")</f>
        <v>Map</v>
      </c>
      <c r="BY467" s="64" t="str">
        <f>IF(OR(F467="SALE",F467="REFUNDED")=TRUE,iferror(Vlookup(I467,'Listing SKU - Fill SKU Mapping'!A:D,4,false),"Map"),"")</f>
        <v>Map</v>
      </c>
      <c r="BZ467" s="66" t="str">
        <f t="shared" si="1"/>
        <v/>
      </c>
      <c r="CA467" s="64" t="str">
        <f t="shared" si="2"/>
        <v/>
      </c>
      <c r="CB467" s="64">
        <f t="shared" si="3"/>
        <v>21.05</v>
      </c>
      <c r="CC467" s="64" t="str">
        <f>if(F467="REFUNDED",iferror(Vlookup(I467,'Listing SKU - Fill SKU Mapping'!A:B,2,false),"Map"),"")</f>
        <v/>
      </c>
      <c r="CD467" s="64" t="str">
        <f>if(F467="REFUNDED",iferror(Vlookup(I467,'Listing SKU - Fill SKU Mapping'!A:C,3,false),"Map"),"")</f>
        <v/>
      </c>
      <c r="CE467" s="64" t="str">
        <f t="shared" si="4"/>
        <v>2025</v>
      </c>
      <c r="CF467" s="64" t="str">
        <f t="shared" si="5"/>
        <v>November</v>
      </c>
      <c r="CG467" s="64" t="str">
        <f t="shared" si="6"/>
        <v/>
      </c>
    </row>
    <row r="468">
      <c r="A468" s="55">
        <v>2.0001E14</v>
      </c>
      <c r="B468" s="56">
        <v>1.0</v>
      </c>
      <c r="C468" s="57">
        <v>1.2903E14</v>
      </c>
      <c r="D468" s="58">
        <v>1.0</v>
      </c>
      <c r="F468" s="59" t="s">
        <v>158</v>
      </c>
      <c r="G468" s="60">
        <v>45970.0</v>
      </c>
      <c r="H468" s="58">
        <v>1.0</v>
      </c>
      <c r="I468" s="58" t="s">
        <v>420</v>
      </c>
      <c r="J468" s="61">
        <v>4.50400888287E11</v>
      </c>
      <c r="K468" s="62" t="s">
        <v>483</v>
      </c>
      <c r="L468" s="62">
        <v>2038710.0</v>
      </c>
      <c r="M468" s="63"/>
      <c r="N468" s="63"/>
      <c r="O468" s="62" t="s">
        <v>602</v>
      </c>
      <c r="P468" s="63"/>
      <c r="Q468" s="63"/>
      <c r="R468" s="62" t="s">
        <v>681</v>
      </c>
      <c r="S468" s="62">
        <v>57701.0</v>
      </c>
      <c r="T468" s="58" t="s">
        <v>437</v>
      </c>
      <c r="U468" s="59">
        <v>0.0</v>
      </c>
      <c r="V468" s="59">
        <v>-6.15</v>
      </c>
      <c r="W468" s="58">
        <v>6.15</v>
      </c>
      <c r="X468" s="58">
        <v>0.0</v>
      </c>
      <c r="Z468" s="59">
        <v>0.0</v>
      </c>
      <c r="AA468" s="58">
        <v>0.0</v>
      </c>
      <c r="AB468" s="58">
        <v>0.0</v>
      </c>
      <c r="AC468" s="58">
        <v>0.0</v>
      </c>
      <c r="AD468" s="58">
        <v>0.0</v>
      </c>
      <c r="AE468" s="58">
        <v>0.0</v>
      </c>
      <c r="AF468" s="58">
        <v>0.0</v>
      </c>
      <c r="AG468" s="58">
        <v>0.0</v>
      </c>
      <c r="AH468" s="58">
        <v>0.0</v>
      </c>
      <c r="AI468" s="58">
        <v>0.0</v>
      </c>
      <c r="AJ468" s="58">
        <v>0.0</v>
      </c>
      <c r="AK468" s="58">
        <v>0.0</v>
      </c>
      <c r="AL468" s="58">
        <v>0.0</v>
      </c>
      <c r="AM468" s="58">
        <v>0.0</v>
      </c>
      <c r="AN468" s="58">
        <v>0.0</v>
      </c>
      <c r="AO468" s="58">
        <v>0.0</v>
      </c>
      <c r="AP468" s="58">
        <v>0.0</v>
      </c>
      <c r="AQ468" s="58">
        <v>0.0</v>
      </c>
      <c r="AR468" s="58">
        <v>0.0</v>
      </c>
      <c r="AS468" s="58">
        <v>0.0</v>
      </c>
      <c r="AT468" s="58">
        <v>0.0</v>
      </c>
      <c r="AU468" s="58">
        <v>0.0</v>
      </c>
      <c r="AV468" s="58">
        <v>0.0</v>
      </c>
      <c r="AW468" s="58">
        <v>0.0</v>
      </c>
      <c r="AX468" s="58">
        <v>0.0</v>
      </c>
      <c r="AY468" s="58">
        <v>0.0</v>
      </c>
      <c r="AZ468" s="58">
        <v>0.0</v>
      </c>
      <c r="BA468" s="58">
        <v>0.0</v>
      </c>
      <c r="BB468" s="58">
        <v>0.0</v>
      </c>
      <c r="BC468" s="58" t="s">
        <v>106</v>
      </c>
      <c r="BD468" s="58" t="s">
        <v>425</v>
      </c>
      <c r="BE468" s="58">
        <v>5041.0</v>
      </c>
      <c r="BF468" s="58">
        <v>22.98</v>
      </c>
      <c r="BH468" s="58" t="s">
        <v>421</v>
      </c>
      <c r="BI468" s="58" t="s">
        <v>422</v>
      </c>
      <c r="BN468" s="58" t="s">
        <v>111</v>
      </c>
      <c r="BO468" s="58" t="s">
        <v>424</v>
      </c>
      <c r="BU468" s="72"/>
      <c r="BV468" s="72"/>
      <c r="BW468" s="64" t="str">
        <f>if(OR(F468="SALE",F468="REFUNDED"),IFERROR(Vlookup(I468,'Listing SKU - Fill SKU Mapping'!A:C,3,false),"Map"),"")</f>
        <v/>
      </c>
      <c r="BX468" s="64" t="str">
        <f>IF(OR(F468="SALE",F468="REFUNDED")=TRUE,iferror(Vlookup(I468,'Listing SKU - Fill SKU Mapping'!A:B,2,false),"Map"),"")</f>
        <v/>
      </c>
      <c r="BY468" s="64" t="str">
        <f>IF(OR(F468="SALE",F468="REFUNDED")=TRUE,iferror(Vlookup(I468,'Listing SKU - Fill SKU Mapping'!A:D,4,false),"Map"),"")</f>
        <v/>
      </c>
      <c r="BZ468" s="66" t="str">
        <f t="shared" si="1"/>
        <v/>
      </c>
      <c r="CA468" s="64" t="str">
        <f t="shared" si="2"/>
        <v/>
      </c>
      <c r="CB468" s="64" t="str">
        <f t="shared" si="3"/>
        <v/>
      </c>
      <c r="CC468" s="64" t="str">
        <f>if(F468="REFUNDED",iferror(Vlookup(I468,'Listing SKU - Fill SKU Mapping'!A:B,2,false),"Map"),"")</f>
        <v/>
      </c>
      <c r="CD468" s="64" t="str">
        <f>if(F468="REFUNDED",iferror(Vlookup(I468,'Listing SKU - Fill SKU Mapping'!A:C,3,false),"Map"),"")</f>
        <v/>
      </c>
      <c r="CE468" s="64" t="str">
        <f t="shared" si="4"/>
        <v>2025</v>
      </c>
      <c r="CF468" s="64" t="str">
        <f t="shared" si="5"/>
        <v>November</v>
      </c>
      <c r="CG468" s="64" t="str">
        <f t="shared" si="6"/>
        <v/>
      </c>
    </row>
    <row r="469">
      <c r="A469" s="55">
        <v>2.0001E14</v>
      </c>
      <c r="B469" s="56">
        <v>1.0</v>
      </c>
      <c r="C469" s="57">
        <v>1.2903E14</v>
      </c>
      <c r="D469" s="58">
        <v>1.0</v>
      </c>
      <c r="F469" s="59" t="s">
        <v>100</v>
      </c>
      <c r="G469" s="60">
        <v>45975.0</v>
      </c>
      <c r="H469" s="58">
        <v>1.0</v>
      </c>
      <c r="I469" s="58" t="s">
        <v>682</v>
      </c>
      <c r="J469" s="61">
        <v>4.65595347402E11</v>
      </c>
      <c r="K469" s="62" t="s">
        <v>683</v>
      </c>
      <c r="L469" s="62">
        <v>2038710.0</v>
      </c>
      <c r="M469" s="63"/>
      <c r="N469" s="63"/>
      <c r="O469" s="62" t="s">
        <v>122</v>
      </c>
      <c r="P469" s="63"/>
      <c r="Q469" s="63"/>
      <c r="R469" s="62" t="s">
        <v>684</v>
      </c>
      <c r="S469" s="62">
        <v>37307.0</v>
      </c>
      <c r="T469" s="58" t="s">
        <v>105</v>
      </c>
      <c r="U469" s="59">
        <v>104.24</v>
      </c>
      <c r="V469" s="59">
        <v>88.33</v>
      </c>
      <c r="W469" s="58">
        <v>6.65</v>
      </c>
      <c r="X469" s="58">
        <v>7.0</v>
      </c>
      <c r="Y469" s="58">
        <v>10.0</v>
      </c>
      <c r="Z469" s="59">
        <v>94.98</v>
      </c>
      <c r="AA469" s="58">
        <v>0.0</v>
      </c>
      <c r="AB469" s="58">
        <v>0.0</v>
      </c>
      <c r="AC469" s="58">
        <v>0.0</v>
      </c>
      <c r="AD469" s="58">
        <v>0.0</v>
      </c>
      <c r="AE469" s="58">
        <v>0.0</v>
      </c>
      <c r="AF469" s="58">
        <v>0.0</v>
      </c>
      <c r="AG469" s="58">
        <v>0.0</v>
      </c>
      <c r="AH469" s="58">
        <v>0.0</v>
      </c>
      <c r="AI469" s="58">
        <v>0.0</v>
      </c>
      <c r="AJ469" s="58">
        <v>0.0</v>
      </c>
      <c r="AK469" s="58">
        <v>0.0</v>
      </c>
      <c r="AL469" s="58">
        <v>0.0</v>
      </c>
      <c r="AM469" s="58">
        <v>0.0</v>
      </c>
      <c r="AN469" s="58">
        <v>0.0</v>
      </c>
      <c r="AO469" s="58">
        <v>0.0</v>
      </c>
      <c r="AP469" s="58">
        <v>9.26</v>
      </c>
      <c r="AQ469" s="58">
        <v>0.0</v>
      </c>
      <c r="AR469" s="58">
        <v>0.0</v>
      </c>
      <c r="AS469" s="58">
        <v>0.0</v>
      </c>
      <c r="AT469" s="58">
        <v>0.0</v>
      </c>
      <c r="AU469" s="58">
        <v>0.0</v>
      </c>
      <c r="AV469" s="58">
        <v>0.0</v>
      </c>
      <c r="AW469" s="58">
        <v>0.0</v>
      </c>
      <c r="AX469" s="58">
        <v>0.0</v>
      </c>
      <c r="AY469" s="58">
        <v>0.0</v>
      </c>
      <c r="AZ469" s="58">
        <v>0.0</v>
      </c>
      <c r="BA469" s="58">
        <v>0.0</v>
      </c>
      <c r="BB469" s="58">
        <v>9.26</v>
      </c>
      <c r="BC469" s="58" t="s">
        <v>106</v>
      </c>
      <c r="BG469" s="58">
        <v>-9.5</v>
      </c>
      <c r="BH469" s="58" t="s">
        <v>107</v>
      </c>
      <c r="BI469" s="58" t="s">
        <v>108</v>
      </c>
      <c r="BJ469" s="58" t="s">
        <v>109</v>
      </c>
      <c r="BK469" s="58" t="s">
        <v>623</v>
      </c>
      <c r="BN469" s="58" t="s">
        <v>111</v>
      </c>
      <c r="BO469" s="58" t="s">
        <v>112</v>
      </c>
      <c r="BP469" s="58" t="s">
        <v>113</v>
      </c>
      <c r="BQ469" s="58" t="s">
        <v>114</v>
      </c>
      <c r="BR469" s="58">
        <v>2.85</v>
      </c>
      <c r="BU469" s="72"/>
      <c r="BV469" s="72"/>
      <c r="BW469" s="64" t="str">
        <f>if(OR(F469="SALE",F469="REFUNDED"),IFERROR(Vlookup(I469,'Listing SKU - Fill SKU Mapping'!A:C,3,false),"Map"),"")</f>
        <v>Keystone</v>
      </c>
      <c r="BX469" s="64" t="str">
        <f>IF(OR(F469="SALE",F469="REFUNDED")=TRUE,iferror(Vlookup(I469,'Listing SKU - Fill SKU Mapping'!A:B,2,false),"Map"),"")</f>
        <v>IMP478BLK</v>
      </c>
      <c r="BY469" s="64">
        <f>IF(OR(F469="SALE",F469="REFUNDED")=TRUE,iferror(Vlookup(I469,'Listing SKU - Fill SKU Mapping'!A:D,4,false),"Map"),"")</f>
        <v>45.76</v>
      </c>
      <c r="BZ469" s="66">
        <f t="shared" si="1"/>
        <v>11.5</v>
      </c>
      <c r="CA469" s="66">
        <f t="shared" si="2"/>
        <v>57.26</v>
      </c>
      <c r="CB469" s="66">
        <f t="shared" si="3"/>
        <v>31.07</v>
      </c>
      <c r="CC469" s="64" t="str">
        <f>if(F469="REFUNDED",iferror(Vlookup(I469,'Listing SKU - Fill SKU Mapping'!A:B,2,false),"Map"),"")</f>
        <v/>
      </c>
      <c r="CD469" s="64" t="str">
        <f>if(F469="REFUNDED",iferror(Vlookup(I469,'Listing SKU - Fill SKU Mapping'!A:C,3,false),"Map"),"")</f>
        <v/>
      </c>
      <c r="CE469" s="64" t="str">
        <f t="shared" si="4"/>
        <v>2025</v>
      </c>
      <c r="CF469" s="64" t="str">
        <f t="shared" si="5"/>
        <v>November</v>
      </c>
      <c r="CG469" s="64" t="str">
        <f t="shared" si="6"/>
        <v/>
      </c>
    </row>
    <row r="470">
      <c r="A470" s="55">
        <v>2.0001E14</v>
      </c>
      <c r="B470" s="56">
        <v>1.0</v>
      </c>
      <c r="C470" s="57">
        <v>1.2903E14</v>
      </c>
      <c r="D470" s="58">
        <v>1.0</v>
      </c>
      <c r="F470" s="59" t="s">
        <v>128</v>
      </c>
      <c r="G470" s="60">
        <v>45961.0</v>
      </c>
      <c r="H470" s="58">
        <v>1.0</v>
      </c>
      <c r="I470" s="58" t="s">
        <v>524</v>
      </c>
      <c r="J470" s="61">
        <v>4.66885049433E11</v>
      </c>
      <c r="K470" s="62" t="s">
        <v>525</v>
      </c>
      <c r="L470" s="62">
        <v>2038710.0</v>
      </c>
      <c r="M470" s="63"/>
      <c r="N470" s="63"/>
      <c r="O470" s="63"/>
      <c r="P470" s="63"/>
      <c r="Q470" s="63"/>
      <c r="R470" s="62" t="s">
        <v>564</v>
      </c>
      <c r="S470" s="62">
        <v>85020.0</v>
      </c>
      <c r="U470" s="59">
        <v>-73.6</v>
      </c>
      <c r="V470" s="59">
        <v>-70.66</v>
      </c>
      <c r="W470" s="58">
        <v>-5.32</v>
      </c>
      <c r="X470" s="58">
        <v>0.0</v>
      </c>
      <c r="Y470" s="58">
        <v>0.0</v>
      </c>
      <c r="Z470" s="59">
        <v>0.0</v>
      </c>
      <c r="AA470" s="58">
        <v>-67.9</v>
      </c>
      <c r="AB470" s="58">
        <v>0.0</v>
      </c>
      <c r="AC470" s="58">
        <v>0.0</v>
      </c>
      <c r="AD470" s="58">
        <v>0.0</v>
      </c>
      <c r="AE470" s="58">
        <v>0.0</v>
      </c>
      <c r="AF470" s="58">
        <v>0.0</v>
      </c>
      <c r="AG470" s="58">
        <v>0.0</v>
      </c>
      <c r="AH470" s="58">
        <v>0.0</v>
      </c>
      <c r="AI470" s="58">
        <v>0.0</v>
      </c>
      <c r="AJ470" s="58">
        <v>0.0</v>
      </c>
      <c r="AK470" s="58">
        <v>0.0</v>
      </c>
      <c r="AL470" s="58">
        <v>0.0</v>
      </c>
      <c r="AM470" s="58">
        <v>0.0</v>
      </c>
      <c r="AN470" s="58">
        <v>0.0</v>
      </c>
      <c r="AO470" s="58">
        <v>0.0</v>
      </c>
      <c r="AP470" s="58">
        <v>0.0</v>
      </c>
      <c r="AQ470" s="58">
        <v>0.0</v>
      </c>
      <c r="AR470" s="58">
        <v>0.0</v>
      </c>
      <c r="AS470" s="58">
        <v>0.0</v>
      </c>
      <c r="AT470" s="58">
        <v>0.0</v>
      </c>
      <c r="AU470" s="58">
        <v>-5.7</v>
      </c>
      <c r="AV470" s="58">
        <v>0.0</v>
      </c>
      <c r="AW470" s="58">
        <v>0.0</v>
      </c>
      <c r="AX470" s="58">
        <v>0.0</v>
      </c>
      <c r="AY470" s="58">
        <v>0.0</v>
      </c>
      <c r="AZ470" s="58">
        <v>0.0</v>
      </c>
      <c r="BA470" s="58">
        <v>0.0</v>
      </c>
      <c r="BB470" s="58">
        <v>-5.7</v>
      </c>
      <c r="BC470" s="58" t="s">
        <v>106</v>
      </c>
      <c r="BD470" s="58" t="s">
        <v>156</v>
      </c>
      <c r="BE470" s="58">
        <v>5010.0</v>
      </c>
      <c r="BF470" s="58">
        <v>75.98</v>
      </c>
      <c r="BH470" s="58" t="s">
        <v>107</v>
      </c>
      <c r="BI470" s="58" t="s">
        <v>108</v>
      </c>
      <c r="BL470" s="58">
        <v>1016.0</v>
      </c>
      <c r="BM470" s="58" t="s">
        <v>258</v>
      </c>
      <c r="BN470" s="58" t="s">
        <v>111</v>
      </c>
      <c r="BO470" s="58" t="s">
        <v>112</v>
      </c>
      <c r="BT470" s="58">
        <v>8.08</v>
      </c>
      <c r="BU470" s="72"/>
      <c r="BV470" s="72"/>
      <c r="BW470" s="64" t="str">
        <f>if(OR(F470="SALE",F470="REFUNDED"),IFERROR(Vlookup(I470,'Listing SKU - Fill SKU Mapping'!A:C,3,false),"Map"),"")</f>
        <v>Keystone</v>
      </c>
      <c r="BX470" s="64" t="str">
        <f>IF(OR(F470="SALE",F470="REFUNDED")=TRUE,iferror(Vlookup(I470,'Listing SKU - Fill SKU Mapping'!A:B,2,false),"Map"),"")</f>
        <v>103716BLK</v>
      </c>
      <c r="BY470" s="64">
        <f>IF(OR(F470="SALE",F470="REFUNDED")=TRUE,iferror(Vlookup(I470,'Listing SKU - Fill SKU Mapping'!A:D,4,false),"Map"),"")</f>
        <v>27.22</v>
      </c>
      <c r="BZ470" s="66">
        <f t="shared" si="1"/>
        <v>11.5</v>
      </c>
      <c r="CA470" s="66">
        <f t="shared" si="2"/>
        <v>38.72</v>
      </c>
      <c r="CB470" s="64" t="str">
        <f t="shared" si="3"/>
        <v/>
      </c>
      <c r="CC470" s="64" t="str">
        <f>if(F470="REFUNDED",iferror(Vlookup(I470,'Listing SKU - Fill SKU Mapping'!A:B,2,false),"Map"),"")</f>
        <v>103716BLK</v>
      </c>
      <c r="CD470" s="64" t="str">
        <f>if(F470="REFUNDED",iferror(Vlookup(I470,'Listing SKU - Fill SKU Mapping'!A:C,3,false),"Map"),"")</f>
        <v>Keystone</v>
      </c>
      <c r="CE470" s="64" t="str">
        <f t="shared" si="4"/>
        <v>2025</v>
      </c>
      <c r="CF470" s="64" t="str">
        <f t="shared" si="5"/>
        <v>October</v>
      </c>
      <c r="CG470" s="64" t="str">
        <f t="shared" si="6"/>
        <v/>
      </c>
    </row>
    <row r="471">
      <c r="A471" s="55">
        <v>2.0001E14</v>
      </c>
      <c r="B471" s="56">
        <v>1.0</v>
      </c>
      <c r="C471" s="57">
        <v>1.2903E14</v>
      </c>
      <c r="D471" s="58">
        <v>1.0</v>
      </c>
      <c r="F471" s="59" t="s">
        <v>100</v>
      </c>
      <c r="G471" s="60">
        <v>45965.0</v>
      </c>
      <c r="H471" s="58">
        <v>1.0</v>
      </c>
      <c r="I471" s="58" t="s">
        <v>334</v>
      </c>
      <c r="J471" s="61">
        <v>4.67129950386E11</v>
      </c>
      <c r="K471" s="62" t="s">
        <v>478</v>
      </c>
      <c r="L471" s="62">
        <v>2038710.0</v>
      </c>
      <c r="M471" s="63"/>
      <c r="N471" s="63"/>
      <c r="O471" s="62" t="s">
        <v>142</v>
      </c>
      <c r="P471" s="63"/>
      <c r="Q471" s="63"/>
      <c r="R471" s="62" t="s">
        <v>685</v>
      </c>
      <c r="S471" s="62">
        <v>70339.0</v>
      </c>
      <c r="T471" s="58" t="s">
        <v>105</v>
      </c>
      <c r="U471" s="59">
        <v>71.83</v>
      </c>
      <c r="V471" s="59">
        <v>66.01</v>
      </c>
      <c r="W471" s="58">
        <v>4.97</v>
      </c>
      <c r="X471" s="58">
        <v>7.0</v>
      </c>
      <c r="Y471" s="58">
        <v>10.0</v>
      </c>
      <c r="Z471" s="59">
        <v>65.9</v>
      </c>
      <c r="AA471" s="58">
        <v>0.0</v>
      </c>
      <c r="AB471" s="58">
        <v>0.0</v>
      </c>
      <c r="AC471" s="58">
        <v>0.0</v>
      </c>
      <c r="AD471" s="58">
        <v>0.0</v>
      </c>
      <c r="AE471" s="58">
        <v>0.0</v>
      </c>
      <c r="AF471" s="58">
        <v>0.0</v>
      </c>
      <c r="AG471" s="58">
        <v>0.0</v>
      </c>
      <c r="AH471" s="58">
        <v>0.0</v>
      </c>
      <c r="AI471" s="58">
        <v>0.0</v>
      </c>
      <c r="AJ471" s="58">
        <v>0.0</v>
      </c>
      <c r="AK471" s="58">
        <v>0.0</v>
      </c>
      <c r="AL471" s="58">
        <v>0.0</v>
      </c>
      <c r="AM471" s="58">
        <v>0.0</v>
      </c>
      <c r="AN471" s="58">
        <v>0.0</v>
      </c>
      <c r="AO471" s="58">
        <v>0.0</v>
      </c>
      <c r="AP471" s="58">
        <v>5.93</v>
      </c>
      <c r="AQ471" s="58">
        <v>0.0</v>
      </c>
      <c r="AR471" s="58">
        <v>0.0</v>
      </c>
      <c r="AS471" s="58">
        <v>0.0</v>
      </c>
      <c r="AT471" s="58">
        <v>0.0</v>
      </c>
      <c r="AU471" s="58">
        <v>0.0</v>
      </c>
      <c r="AV471" s="58">
        <v>0.0</v>
      </c>
      <c r="AW471" s="58">
        <v>0.0</v>
      </c>
      <c r="AX471" s="58">
        <v>0.0</v>
      </c>
      <c r="AY471" s="58">
        <v>0.0</v>
      </c>
      <c r="AZ471" s="58">
        <v>0.0</v>
      </c>
      <c r="BA471" s="58">
        <v>0.0</v>
      </c>
      <c r="BB471" s="58">
        <v>5.93</v>
      </c>
      <c r="BC471" s="58" t="s">
        <v>106</v>
      </c>
      <c r="BF471" s="58">
        <v>70.98</v>
      </c>
      <c r="BG471" s="58">
        <v>-7.1</v>
      </c>
      <c r="BH471" s="58" t="s">
        <v>107</v>
      </c>
      <c r="BI471" s="58" t="s">
        <v>108</v>
      </c>
      <c r="BJ471" s="58" t="s">
        <v>109</v>
      </c>
      <c r="BK471" s="58" t="s">
        <v>551</v>
      </c>
      <c r="BN471" s="58" t="s">
        <v>111</v>
      </c>
      <c r="BO471" s="58" t="s">
        <v>112</v>
      </c>
      <c r="BP471" s="58" t="s">
        <v>113</v>
      </c>
      <c r="BQ471" s="58" t="s">
        <v>317</v>
      </c>
      <c r="BR471" s="58">
        <v>2.13</v>
      </c>
      <c r="BT471" s="58">
        <v>-5.08</v>
      </c>
      <c r="BU471" s="73" t="s">
        <v>318</v>
      </c>
      <c r="BV471" s="73"/>
      <c r="BW471" s="64" t="str">
        <f>if(OR(F471="SALE",F471="REFUNDED"),IFERROR(Vlookup(I471,'Listing SKU - Fill SKU Mapping'!A:C,3,false),"Map"),"")</f>
        <v>Keystone</v>
      </c>
      <c r="BX471" s="64" t="str">
        <f>IF(OR(F471="SALE",F471="REFUNDED")=TRUE,iferror(Vlookup(I471,'Listing SKU - Fill SKU Mapping'!A:B,2,false),"Map"),"")</f>
        <v>45315S</v>
      </c>
      <c r="BY471" s="64">
        <f>IF(OR(F471="SALE",F471="REFUNDED")=TRUE,iferror(Vlookup(I471,'Listing SKU - Fill SKU Mapping'!A:D,4,false),"Map"),"")</f>
        <v>23.67</v>
      </c>
      <c r="BZ471" s="66">
        <f t="shared" si="1"/>
        <v>11.5</v>
      </c>
      <c r="CA471" s="66">
        <f t="shared" si="2"/>
        <v>35.17</v>
      </c>
      <c r="CB471" s="66">
        <f t="shared" si="3"/>
        <v>30.84</v>
      </c>
      <c r="CC471" s="64" t="str">
        <f>if(F471="REFUNDED",iferror(Vlookup(I471,'Listing SKU - Fill SKU Mapping'!A:B,2,false),"Map"),"")</f>
        <v/>
      </c>
      <c r="CD471" s="64" t="str">
        <f>if(F471="REFUNDED",iferror(Vlookup(I471,'Listing SKU - Fill SKU Mapping'!A:C,3,false),"Map"),"")</f>
        <v/>
      </c>
      <c r="CE471" s="64" t="str">
        <f t="shared" si="4"/>
        <v>2025</v>
      </c>
      <c r="CF471" s="64" t="str">
        <f t="shared" si="5"/>
        <v>November</v>
      </c>
      <c r="CG471" s="64" t="str">
        <f t="shared" si="6"/>
        <v/>
      </c>
    </row>
    <row r="472">
      <c r="A472" s="55">
        <v>2.0001E14</v>
      </c>
      <c r="B472" s="56">
        <v>1.0</v>
      </c>
      <c r="C472" s="57">
        <v>1.2903E14</v>
      </c>
      <c r="D472" s="58">
        <v>1.0</v>
      </c>
      <c r="F472" s="59" t="s">
        <v>158</v>
      </c>
      <c r="G472" s="60">
        <v>45970.0</v>
      </c>
      <c r="H472" s="58">
        <v>1.0</v>
      </c>
      <c r="I472" s="58" t="s">
        <v>433</v>
      </c>
      <c r="J472" s="61">
        <v>4.67129944101E11</v>
      </c>
      <c r="K472" s="62" t="s">
        <v>509</v>
      </c>
      <c r="L472" s="62">
        <v>2038710.0</v>
      </c>
      <c r="M472" s="63"/>
      <c r="N472" s="63"/>
      <c r="O472" s="62" t="s">
        <v>126</v>
      </c>
      <c r="P472" s="63"/>
      <c r="Q472" s="63"/>
      <c r="R472" s="62" t="s">
        <v>686</v>
      </c>
      <c r="S472" s="62">
        <v>27410.0</v>
      </c>
      <c r="T472" s="58" t="s">
        <v>105</v>
      </c>
      <c r="U472" s="59">
        <v>0.0</v>
      </c>
      <c r="V472" s="59">
        <v>-8.89</v>
      </c>
      <c r="W472" s="58">
        <v>0.0</v>
      </c>
      <c r="X472" s="58">
        <v>0.0</v>
      </c>
      <c r="Z472" s="59">
        <v>0.0</v>
      </c>
      <c r="AA472" s="58">
        <v>0.0</v>
      </c>
      <c r="AB472" s="58">
        <v>0.0</v>
      </c>
      <c r="AC472" s="58">
        <v>0.0</v>
      </c>
      <c r="AD472" s="58">
        <v>0.0</v>
      </c>
      <c r="AE472" s="58">
        <v>0.0</v>
      </c>
      <c r="AF472" s="58">
        <v>0.0</v>
      </c>
      <c r="AG472" s="58">
        <v>0.0</v>
      </c>
      <c r="AH472" s="58">
        <v>0.0</v>
      </c>
      <c r="AI472" s="58">
        <v>0.0</v>
      </c>
      <c r="AJ472" s="58">
        <v>0.0</v>
      </c>
      <c r="AK472" s="58">
        <v>0.0</v>
      </c>
      <c r="AL472" s="58">
        <v>0.0</v>
      </c>
      <c r="AM472" s="58">
        <v>0.0</v>
      </c>
      <c r="AN472" s="58">
        <v>0.0</v>
      </c>
      <c r="AO472" s="58">
        <v>0.0</v>
      </c>
      <c r="AP472" s="58">
        <v>0.0</v>
      </c>
      <c r="AQ472" s="58">
        <v>0.0</v>
      </c>
      <c r="AR472" s="58">
        <v>0.0</v>
      </c>
      <c r="AS472" s="58">
        <v>0.0</v>
      </c>
      <c r="AT472" s="58">
        <v>0.0</v>
      </c>
      <c r="AU472" s="58">
        <v>0.0</v>
      </c>
      <c r="AV472" s="58">
        <v>0.0</v>
      </c>
      <c r="AW472" s="58">
        <v>0.0</v>
      </c>
      <c r="AX472" s="58">
        <v>0.0</v>
      </c>
      <c r="AY472" s="58">
        <v>0.0</v>
      </c>
      <c r="AZ472" s="58">
        <v>0.0</v>
      </c>
      <c r="BA472" s="58">
        <v>0.0</v>
      </c>
      <c r="BB472" s="58">
        <v>0.0</v>
      </c>
      <c r="BC472" s="58" t="s">
        <v>106</v>
      </c>
      <c r="BD472" s="58" t="s">
        <v>163</v>
      </c>
      <c r="BE472" s="58">
        <v>5013.0</v>
      </c>
      <c r="BF472" s="58">
        <v>145.96</v>
      </c>
      <c r="BH472" s="58" t="s">
        <v>107</v>
      </c>
      <c r="BI472" s="58" t="s">
        <v>108</v>
      </c>
      <c r="BN472" s="58" t="s">
        <v>111</v>
      </c>
      <c r="BO472" s="58" t="s">
        <v>112</v>
      </c>
      <c r="BU472" s="72"/>
      <c r="BV472" s="72"/>
      <c r="BW472" s="64" t="str">
        <f>if(OR(F472="SALE",F472="REFUNDED"),IFERROR(Vlookup(I472,'Listing SKU - Fill SKU Mapping'!A:C,3,false),"Map"),"")</f>
        <v/>
      </c>
      <c r="BX472" s="64" t="str">
        <f>IF(OR(F472="SALE",F472="REFUNDED")=TRUE,iferror(Vlookup(I472,'Listing SKU - Fill SKU Mapping'!A:B,2,false),"Map"),"")</f>
        <v/>
      </c>
      <c r="BY472" s="64" t="str">
        <f>IF(OR(F472="SALE",F472="REFUNDED")=TRUE,iferror(Vlookup(I472,'Listing SKU - Fill SKU Mapping'!A:D,4,false),"Map"),"")</f>
        <v/>
      </c>
      <c r="BZ472" s="66" t="str">
        <f t="shared" si="1"/>
        <v/>
      </c>
      <c r="CA472" s="64" t="str">
        <f t="shared" si="2"/>
        <v/>
      </c>
      <c r="CB472" s="64" t="str">
        <f t="shared" si="3"/>
        <v/>
      </c>
      <c r="CC472" s="64" t="str">
        <f>if(F472="REFUNDED",iferror(Vlookup(I472,'Listing SKU - Fill SKU Mapping'!A:B,2,false),"Map"),"")</f>
        <v/>
      </c>
      <c r="CD472" s="64" t="str">
        <f>if(F472="REFUNDED",iferror(Vlookup(I472,'Listing SKU - Fill SKU Mapping'!A:C,3,false),"Map"),"")</f>
        <v/>
      </c>
      <c r="CE472" s="64" t="str">
        <f t="shared" si="4"/>
        <v>2025</v>
      </c>
      <c r="CF472" s="64" t="str">
        <f t="shared" si="5"/>
        <v>November</v>
      </c>
      <c r="CG472" s="64" t="str">
        <f t="shared" si="6"/>
        <v/>
      </c>
    </row>
    <row r="473">
      <c r="A473" s="55">
        <v>2.0001E14</v>
      </c>
      <c r="B473" s="56">
        <v>1.0</v>
      </c>
      <c r="C473" s="57">
        <v>1.2903E14</v>
      </c>
      <c r="D473" s="58">
        <v>1.0</v>
      </c>
      <c r="F473" s="59" t="s">
        <v>100</v>
      </c>
      <c r="G473" s="60">
        <v>45975.0</v>
      </c>
      <c r="H473" s="58">
        <v>1.0</v>
      </c>
      <c r="I473" s="58" t="s">
        <v>120</v>
      </c>
      <c r="J473" s="61">
        <v>4.67129945498E11</v>
      </c>
      <c r="K473" s="62" t="s">
        <v>121</v>
      </c>
      <c r="L473" s="62">
        <v>2038710.0</v>
      </c>
      <c r="M473" s="63"/>
      <c r="N473" s="63"/>
      <c r="O473" s="62" t="s">
        <v>503</v>
      </c>
      <c r="P473" s="63"/>
      <c r="Q473" s="63"/>
      <c r="R473" s="62" t="s">
        <v>687</v>
      </c>
      <c r="S473" s="62">
        <v>12304.0</v>
      </c>
      <c r="T473" s="58" t="s">
        <v>105</v>
      </c>
      <c r="U473" s="59">
        <v>73.33</v>
      </c>
      <c r="V473" s="59">
        <v>70.66</v>
      </c>
      <c r="W473" s="58">
        <v>5.32</v>
      </c>
      <c r="X473" s="58">
        <v>7.0</v>
      </c>
      <c r="Y473" s="58">
        <v>10.0</v>
      </c>
      <c r="Z473" s="59">
        <v>67.9</v>
      </c>
      <c r="AA473" s="58">
        <v>0.0</v>
      </c>
      <c r="AB473" s="58">
        <v>0.0</v>
      </c>
      <c r="AC473" s="58">
        <v>0.0</v>
      </c>
      <c r="AD473" s="58">
        <v>0.0</v>
      </c>
      <c r="AE473" s="58">
        <v>0.0</v>
      </c>
      <c r="AF473" s="58">
        <v>0.0</v>
      </c>
      <c r="AG473" s="58">
        <v>0.0</v>
      </c>
      <c r="AH473" s="58">
        <v>0.0</v>
      </c>
      <c r="AI473" s="58">
        <v>0.0</v>
      </c>
      <c r="AJ473" s="58">
        <v>0.0</v>
      </c>
      <c r="AK473" s="58">
        <v>0.0</v>
      </c>
      <c r="AL473" s="58">
        <v>0.0</v>
      </c>
      <c r="AM473" s="58">
        <v>0.0</v>
      </c>
      <c r="AN473" s="58">
        <v>0.0</v>
      </c>
      <c r="AO473" s="58">
        <v>0.0</v>
      </c>
      <c r="AP473" s="58">
        <v>5.43</v>
      </c>
      <c r="AQ473" s="58">
        <v>0.0</v>
      </c>
      <c r="AR473" s="58">
        <v>0.0</v>
      </c>
      <c r="AS473" s="58">
        <v>0.0</v>
      </c>
      <c r="AT473" s="58">
        <v>0.0</v>
      </c>
      <c r="AU473" s="58">
        <v>0.0</v>
      </c>
      <c r="AV473" s="58">
        <v>0.0</v>
      </c>
      <c r="AW473" s="58">
        <v>0.0</v>
      </c>
      <c r="AX473" s="58">
        <v>0.0</v>
      </c>
      <c r="AY473" s="58">
        <v>0.0</v>
      </c>
      <c r="AZ473" s="58">
        <v>0.0</v>
      </c>
      <c r="BA473" s="58">
        <v>0.0</v>
      </c>
      <c r="BB473" s="58">
        <v>5.43</v>
      </c>
      <c r="BC473" s="58" t="s">
        <v>106</v>
      </c>
      <c r="BF473" s="58">
        <v>75.98</v>
      </c>
      <c r="BG473" s="58">
        <v>-7.6</v>
      </c>
      <c r="BH473" s="58" t="s">
        <v>107</v>
      </c>
      <c r="BI473" s="58" t="s">
        <v>108</v>
      </c>
      <c r="BJ473" s="58" t="s">
        <v>109</v>
      </c>
      <c r="BK473" s="58" t="s">
        <v>623</v>
      </c>
      <c r="BN473" s="58" t="s">
        <v>111</v>
      </c>
      <c r="BO473" s="58" t="s">
        <v>112</v>
      </c>
      <c r="BP473" s="58" t="s">
        <v>113</v>
      </c>
      <c r="BQ473" s="58" t="s">
        <v>317</v>
      </c>
      <c r="BR473" s="58">
        <v>2.28</v>
      </c>
      <c r="BT473" s="58">
        <v>-8.08</v>
      </c>
      <c r="BU473" s="73" t="s">
        <v>318</v>
      </c>
      <c r="BV473" s="73"/>
      <c r="BW473" s="64" t="str">
        <f>if(OR(F473="SALE",F473="REFUNDED"),IFERROR(Vlookup(I473,'Listing SKU - Fill SKU Mapping'!A:C,3,false),"Map"),"")</f>
        <v>Keystone</v>
      </c>
      <c r="BX473" s="64" t="str">
        <f>IF(OR(F473="SALE",F473="REFUNDED")=TRUE,iferror(Vlookup(I473,'Listing SKU - Fill SKU Mapping'!A:B,2,false),"Map"),"")</f>
        <v>51917S</v>
      </c>
      <c r="BY473" s="64">
        <f>IF(OR(F473="SALE",F473="REFUNDED")=TRUE,iferror(Vlookup(I473,'Listing SKU - Fill SKU Mapping'!A:D,4,false),"Map"),"")</f>
        <v>27.22</v>
      </c>
      <c r="BZ473" s="66">
        <f t="shared" si="1"/>
        <v>11.5</v>
      </c>
      <c r="CA473" s="66">
        <f t="shared" si="2"/>
        <v>38.72</v>
      </c>
      <c r="CB473" s="66">
        <f t="shared" si="3"/>
        <v>31.94</v>
      </c>
      <c r="CC473" s="64" t="str">
        <f>if(F473="REFUNDED",iferror(Vlookup(I473,'Listing SKU - Fill SKU Mapping'!A:B,2,false),"Map"),"")</f>
        <v/>
      </c>
      <c r="CD473" s="64" t="str">
        <f>if(F473="REFUNDED",iferror(Vlookup(I473,'Listing SKU - Fill SKU Mapping'!A:C,3,false),"Map"),"")</f>
        <v/>
      </c>
      <c r="CE473" s="64" t="str">
        <f t="shared" si="4"/>
        <v>2025</v>
      </c>
      <c r="CF473" s="64" t="str">
        <f t="shared" si="5"/>
        <v>November</v>
      </c>
      <c r="CG473" s="64" t="str">
        <f t="shared" si="6"/>
        <v/>
      </c>
    </row>
    <row r="474">
      <c r="A474" s="55">
        <v>2.0001E14</v>
      </c>
      <c r="B474" s="56">
        <v>1.0</v>
      </c>
      <c r="C474" s="57">
        <v>1.2903E14</v>
      </c>
      <c r="D474" s="58">
        <v>1.0</v>
      </c>
      <c r="F474" s="59" t="s">
        <v>128</v>
      </c>
      <c r="G474" s="60">
        <v>45970.0</v>
      </c>
      <c r="H474" s="58">
        <v>1.0</v>
      </c>
      <c r="I474" s="58" t="s">
        <v>151</v>
      </c>
      <c r="J474" s="61">
        <v>4.6077623339E11</v>
      </c>
      <c r="K474" s="62" t="s">
        <v>152</v>
      </c>
      <c r="L474" s="62">
        <v>2038710.0</v>
      </c>
      <c r="M474" s="63"/>
      <c r="N474" s="63"/>
      <c r="O474" s="63"/>
      <c r="P474" s="63"/>
      <c r="Q474" s="63"/>
      <c r="R474" s="62" t="s">
        <v>583</v>
      </c>
      <c r="S474" s="62">
        <v>48060.0</v>
      </c>
      <c r="U474" s="59">
        <v>-115.47</v>
      </c>
      <c r="V474" s="59">
        <v>-106.93</v>
      </c>
      <c r="W474" s="58">
        <v>-8.05</v>
      </c>
      <c r="X474" s="58">
        <v>0.0</v>
      </c>
      <c r="Y474" s="58">
        <v>0.0</v>
      </c>
      <c r="Z474" s="59">
        <v>0.0</v>
      </c>
      <c r="AA474" s="58">
        <v>-108.93</v>
      </c>
      <c r="AB474" s="58">
        <v>0.0</v>
      </c>
      <c r="AC474" s="58">
        <v>0.0</v>
      </c>
      <c r="AD474" s="58">
        <v>0.0</v>
      </c>
      <c r="AE474" s="58">
        <v>0.0</v>
      </c>
      <c r="AF474" s="58">
        <v>0.0</v>
      </c>
      <c r="AG474" s="58">
        <v>0.0</v>
      </c>
      <c r="AH474" s="58">
        <v>0.0</v>
      </c>
      <c r="AI474" s="58">
        <v>0.0</v>
      </c>
      <c r="AJ474" s="58">
        <v>0.0</v>
      </c>
      <c r="AK474" s="58">
        <v>0.0</v>
      </c>
      <c r="AL474" s="58">
        <v>0.0</v>
      </c>
      <c r="AM474" s="58">
        <v>0.0</v>
      </c>
      <c r="AN474" s="58">
        <v>0.0</v>
      </c>
      <c r="AO474" s="58">
        <v>0.0</v>
      </c>
      <c r="AP474" s="58">
        <v>0.0</v>
      </c>
      <c r="AQ474" s="58">
        <v>0.0</v>
      </c>
      <c r="AR474" s="58">
        <v>0.0</v>
      </c>
      <c r="AS474" s="58">
        <v>0.0</v>
      </c>
      <c r="AT474" s="58">
        <v>0.0</v>
      </c>
      <c r="AU474" s="58">
        <v>-6.54</v>
      </c>
      <c r="AV474" s="58">
        <v>0.0</v>
      </c>
      <c r="AW474" s="58">
        <v>0.0</v>
      </c>
      <c r="AX474" s="58">
        <v>0.0</v>
      </c>
      <c r="AY474" s="58">
        <v>0.0</v>
      </c>
      <c r="AZ474" s="58">
        <v>0.0</v>
      </c>
      <c r="BA474" s="58">
        <v>0.0</v>
      </c>
      <c r="BB474" s="58">
        <v>-6.54</v>
      </c>
      <c r="BC474" s="58" t="s">
        <v>106</v>
      </c>
      <c r="BD474" s="58" t="s">
        <v>156</v>
      </c>
      <c r="BE474" s="58">
        <v>5010.0</v>
      </c>
      <c r="BF474" s="58">
        <v>114.98</v>
      </c>
      <c r="BH474" s="58" t="s">
        <v>107</v>
      </c>
      <c r="BI474" s="58" t="s">
        <v>108</v>
      </c>
      <c r="BL474" s="58">
        <v>1010.0</v>
      </c>
      <c r="BM474" s="58" t="s">
        <v>204</v>
      </c>
      <c r="BN474" s="58" t="s">
        <v>111</v>
      </c>
      <c r="BO474" s="58" t="s">
        <v>112</v>
      </c>
      <c r="BT474" s="58">
        <v>6.05</v>
      </c>
      <c r="BU474" s="72"/>
      <c r="BV474" s="72"/>
      <c r="BW474" s="64" t="str">
        <f>if(OR(F474="SALE",F474="REFUNDED"),IFERROR(Vlookup(I474,'Listing SKU - Fill SKU Mapping'!A:C,3,false),"Map"),"")</f>
        <v>Keystone</v>
      </c>
      <c r="BX474" s="64" t="str">
        <f>IF(OR(F474="SALE",F474="REFUNDED")=TRUE,iferror(Vlookup(I474,'Listing SKU - Fill SKU Mapping'!A:B,2,false),"Map"),"")</f>
        <v>IMP444BLK</v>
      </c>
      <c r="BY474" s="64">
        <f>IF(OR(F474="SALE",F474="REFUNDED")=TRUE,iferror(Vlookup(I474,'Listing SKU - Fill SKU Mapping'!A:D,4,false),"Map"),"")</f>
        <v>54.05</v>
      </c>
      <c r="BZ474" s="66">
        <f t="shared" si="1"/>
        <v>11.5</v>
      </c>
      <c r="CA474" s="66">
        <f t="shared" si="2"/>
        <v>65.55</v>
      </c>
      <c r="CB474" s="64" t="str">
        <f t="shared" si="3"/>
        <v/>
      </c>
      <c r="CC474" s="64" t="str">
        <f>if(F474="REFUNDED",iferror(Vlookup(I474,'Listing SKU - Fill SKU Mapping'!A:B,2,false),"Map"),"")</f>
        <v>IMP444BLK</v>
      </c>
      <c r="CD474" s="64" t="str">
        <f>if(F474="REFUNDED",iferror(Vlookup(I474,'Listing SKU - Fill SKU Mapping'!A:C,3,false),"Map"),"")</f>
        <v>Keystone</v>
      </c>
      <c r="CE474" s="64" t="str">
        <f t="shared" si="4"/>
        <v>2025</v>
      </c>
      <c r="CF474" s="64" t="str">
        <f t="shared" si="5"/>
        <v>November</v>
      </c>
      <c r="CG474" s="64" t="str">
        <f t="shared" si="6"/>
        <v/>
      </c>
    </row>
    <row r="475">
      <c r="A475" s="55">
        <v>2.0001E14</v>
      </c>
      <c r="B475" s="56">
        <v>17.0</v>
      </c>
      <c r="C475" s="57">
        <v>1.2903E14</v>
      </c>
      <c r="D475" s="58">
        <v>17.0</v>
      </c>
      <c r="F475" s="59" t="s">
        <v>100</v>
      </c>
      <c r="G475" s="60">
        <v>45969.0</v>
      </c>
      <c r="H475" s="58">
        <v>1.0</v>
      </c>
      <c r="I475" s="58" t="s">
        <v>420</v>
      </c>
      <c r="J475" s="61">
        <v>4.50400888287E11</v>
      </c>
      <c r="K475" s="62" t="s">
        <v>483</v>
      </c>
      <c r="L475" s="62">
        <v>2038710.0</v>
      </c>
      <c r="M475" s="63"/>
      <c r="N475" s="63"/>
      <c r="O475" s="62" t="s">
        <v>274</v>
      </c>
      <c r="P475" s="63"/>
      <c r="Q475" s="63"/>
      <c r="R475" s="62" t="s">
        <v>688</v>
      </c>
      <c r="S475" s="62">
        <v>63051.0</v>
      </c>
      <c r="T475" s="58" t="s">
        <v>437</v>
      </c>
      <c r="U475" s="59">
        <v>20.82</v>
      </c>
      <c r="V475" s="59">
        <v>21.05</v>
      </c>
      <c r="W475" s="58">
        <v>1.93</v>
      </c>
      <c r="X475" s="58">
        <v>8.4</v>
      </c>
      <c r="Y475" s="58">
        <v>12.0</v>
      </c>
      <c r="Z475" s="59">
        <v>19.98</v>
      </c>
      <c r="AA475" s="58">
        <v>0.0</v>
      </c>
      <c r="AB475" s="58">
        <v>0.0</v>
      </c>
      <c r="AC475" s="58">
        <v>0.0</v>
      </c>
      <c r="AD475" s="58">
        <v>0.0</v>
      </c>
      <c r="AE475" s="58">
        <v>0.0</v>
      </c>
      <c r="AF475" s="58">
        <v>0.0</v>
      </c>
      <c r="AG475" s="58">
        <v>0.0</v>
      </c>
      <c r="AH475" s="58">
        <v>0.0</v>
      </c>
      <c r="AI475" s="58">
        <v>0.0</v>
      </c>
      <c r="AJ475" s="58">
        <v>0.0</v>
      </c>
      <c r="AK475" s="58">
        <v>0.0</v>
      </c>
      <c r="AL475" s="58">
        <v>0.0</v>
      </c>
      <c r="AM475" s="58">
        <v>0.0</v>
      </c>
      <c r="AN475" s="58">
        <v>0.0</v>
      </c>
      <c r="AO475" s="58">
        <v>0.0</v>
      </c>
      <c r="AP475" s="58">
        <v>0.84</v>
      </c>
      <c r="AQ475" s="58">
        <v>0.0</v>
      </c>
      <c r="AR475" s="58">
        <v>0.0</v>
      </c>
      <c r="AS475" s="58">
        <v>0.0</v>
      </c>
      <c r="AT475" s="58">
        <v>0.0</v>
      </c>
      <c r="AU475" s="58">
        <v>0.0</v>
      </c>
      <c r="AV475" s="58">
        <v>0.0</v>
      </c>
      <c r="AW475" s="58">
        <v>0.0</v>
      </c>
      <c r="AX475" s="58">
        <v>0.0</v>
      </c>
      <c r="AY475" s="58">
        <v>0.0</v>
      </c>
      <c r="AZ475" s="58">
        <v>0.0</v>
      </c>
      <c r="BA475" s="58">
        <v>0.0</v>
      </c>
      <c r="BB475" s="58">
        <v>0.84</v>
      </c>
      <c r="BC475" s="58" t="s">
        <v>106</v>
      </c>
      <c r="BF475" s="58">
        <v>22.98</v>
      </c>
      <c r="BG475" s="58">
        <v>-2.76</v>
      </c>
      <c r="BH475" s="58" t="s">
        <v>421</v>
      </c>
      <c r="BI475" s="58" t="s">
        <v>422</v>
      </c>
      <c r="BJ475" s="58" t="s">
        <v>423</v>
      </c>
      <c r="BK475" s="58" t="s">
        <v>614</v>
      </c>
      <c r="BN475" s="58" t="s">
        <v>111</v>
      </c>
      <c r="BO475" s="58" t="s">
        <v>424</v>
      </c>
      <c r="BP475" s="58" t="s">
        <v>113</v>
      </c>
      <c r="BQ475" s="58" t="s">
        <v>317</v>
      </c>
      <c r="BR475" s="58">
        <v>0.83</v>
      </c>
      <c r="BT475" s="58">
        <v>-3.0</v>
      </c>
      <c r="BU475" s="73" t="s">
        <v>318</v>
      </c>
      <c r="BV475" s="73"/>
      <c r="BW475" s="64" t="str">
        <f>if(OR(F475="SALE",F475="REFUNDED"),IFERROR(Vlookup(I475,'Listing SKU - Fill SKU Mapping'!A:C,3,false),"Map"),"")</f>
        <v>Map</v>
      </c>
      <c r="BX475" s="64" t="str">
        <f>IF(OR(F475="SALE",F475="REFUNDED")=TRUE,iferror(Vlookup(I475,'Listing SKU - Fill SKU Mapping'!A:B,2,false),"Map"),"")</f>
        <v>Map</v>
      </c>
      <c r="BY475" s="64" t="str">
        <f>IF(OR(F475="SALE",F475="REFUNDED")=TRUE,iferror(Vlookup(I475,'Listing SKU - Fill SKU Mapping'!A:D,4,false),"Map"),"")</f>
        <v>Map</v>
      </c>
      <c r="BZ475" s="66" t="str">
        <f t="shared" si="1"/>
        <v/>
      </c>
      <c r="CA475" s="64" t="str">
        <f t="shared" si="2"/>
        <v/>
      </c>
      <c r="CB475" s="64">
        <f t="shared" si="3"/>
        <v>21.05</v>
      </c>
      <c r="CC475" s="64" t="str">
        <f>if(F475="REFUNDED",iferror(Vlookup(I475,'Listing SKU - Fill SKU Mapping'!A:B,2,false),"Map"),"")</f>
        <v/>
      </c>
      <c r="CD475" s="64" t="str">
        <f>if(F475="REFUNDED",iferror(Vlookup(I475,'Listing SKU - Fill SKU Mapping'!A:C,3,false),"Map"),"")</f>
        <v/>
      </c>
      <c r="CE475" s="64" t="str">
        <f t="shared" si="4"/>
        <v>2025</v>
      </c>
      <c r="CF475" s="64" t="str">
        <f t="shared" si="5"/>
        <v>November</v>
      </c>
      <c r="CG475" s="64" t="str">
        <f t="shared" si="6"/>
        <v/>
      </c>
    </row>
    <row r="476">
      <c r="A476" s="55">
        <v>2.0001E14</v>
      </c>
      <c r="B476" s="56">
        <v>17.0</v>
      </c>
      <c r="C476" s="57">
        <v>1.2903E14</v>
      </c>
      <c r="D476" s="58">
        <v>17.0</v>
      </c>
      <c r="F476" s="59" t="s">
        <v>158</v>
      </c>
      <c r="G476" s="60">
        <v>45969.0</v>
      </c>
      <c r="H476" s="58">
        <v>1.0</v>
      </c>
      <c r="I476" s="58" t="s">
        <v>420</v>
      </c>
      <c r="J476" s="61">
        <v>4.50400888287E11</v>
      </c>
      <c r="K476" s="62" t="s">
        <v>483</v>
      </c>
      <c r="L476" s="62">
        <v>2038710.0</v>
      </c>
      <c r="M476" s="63"/>
      <c r="N476" s="63"/>
      <c r="O476" s="62" t="s">
        <v>274</v>
      </c>
      <c r="P476" s="63"/>
      <c r="Q476" s="63"/>
      <c r="R476" s="62" t="s">
        <v>688</v>
      </c>
      <c r="S476" s="62">
        <v>63051.0</v>
      </c>
      <c r="T476" s="58" t="s">
        <v>437</v>
      </c>
      <c r="U476" s="59">
        <v>0.0</v>
      </c>
      <c r="V476" s="59">
        <v>-6.15</v>
      </c>
      <c r="W476" s="58">
        <v>6.15</v>
      </c>
      <c r="X476" s="58">
        <v>0.0</v>
      </c>
      <c r="Z476" s="59">
        <v>0.0</v>
      </c>
      <c r="AA476" s="58">
        <v>0.0</v>
      </c>
      <c r="AB476" s="58">
        <v>0.0</v>
      </c>
      <c r="AC476" s="58">
        <v>0.0</v>
      </c>
      <c r="AD476" s="58">
        <v>0.0</v>
      </c>
      <c r="AE476" s="58">
        <v>0.0</v>
      </c>
      <c r="AF476" s="58">
        <v>0.0</v>
      </c>
      <c r="AG476" s="58">
        <v>0.0</v>
      </c>
      <c r="AH476" s="58">
        <v>0.0</v>
      </c>
      <c r="AI476" s="58">
        <v>0.0</v>
      </c>
      <c r="AJ476" s="58">
        <v>0.0</v>
      </c>
      <c r="AK476" s="58">
        <v>0.0</v>
      </c>
      <c r="AL476" s="58">
        <v>0.0</v>
      </c>
      <c r="AM476" s="58">
        <v>0.0</v>
      </c>
      <c r="AN476" s="58">
        <v>0.0</v>
      </c>
      <c r="AO476" s="58">
        <v>0.0</v>
      </c>
      <c r="AP476" s="58">
        <v>0.0</v>
      </c>
      <c r="AQ476" s="58">
        <v>0.0</v>
      </c>
      <c r="AR476" s="58">
        <v>0.0</v>
      </c>
      <c r="AS476" s="58">
        <v>0.0</v>
      </c>
      <c r="AT476" s="58">
        <v>0.0</v>
      </c>
      <c r="AU476" s="58">
        <v>0.0</v>
      </c>
      <c r="AV476" s="58">
        <v>0.0</v>
      </c>
      <c r="AW476" s="58">
        <v>0.0</v>
      </c>
      <c r="AX476" s="58">
        <v>0.0</v>
      </c>
      <c r="AY476" s="58">
        <v>0.0</v>
      </c>
      <c r="AZ476" s="58">
        <v>0.0</v>
      </c>
      <c r="BA476" s="58">
        <v>0.0</v>
      </c>
      <c r="BB476" s="58">
        <v>0.0</v>
      </c>
      <c r="BC476" s="58" t="s">
        <v>106</v>
      </c>
      <c r="BD476" s="58" t="s">
        <v>425</v>
      </c>
      <c r="BE476" s="58">
        <v>5041.0</v>
      </c>
      <c r="BF476" s="58">
        <v>22.98</v>
      </c>
      <c r="BH476" s="58" t="s">
        <v>421</v>
      </c>
      <c r="BI476" s="58" t="s">
        <v>422</v>
      </c>
      <c r="BN476" s="58" t="s">
        <v>111</v>
      </c>
      <c r="BO476" s="58" t="s">
        <v>424</v>
      </c>
      <c r="BU476" s="72"/>
      <c r="BV476" s="72"/>
      <c r="BW476" s="64" t="str">
        <f>if(OR(F476="SALE",F476="REFUNDED"),IFERROR(Vlookup(I476,'Listing SKU - Fill SKU Mapping'!A:C,3,false),"Map"),"")</f>
        <v/>
      </c>
      <c r="BX476" s="64" t="str">
        <f>IF(OR(F476="SALE",F476="REFUNDED")=TRUE,iferror(Vlookup(I476,'Listing SKU - Fill SKU Mapping'!A:B,2,false),"Map"),"")</f>
        <v/>
      </c>
      <c r="BY476" s="64" t="str">
        <f>IF(OR(F476="SALE",F476="REFUNDED")=TRUE,iferror(Vlookup(I476,'Listing SKU - Fill SKU Mapping'!A:D,4,false),"Map"),"")</f>
        <v/>
      </c>
      <c r="BZ476" s="66" t="str">
        <f t="shared" si="1"/>
        <v/>
      </c>
      <c r="CA476" s="64" t="str">
        <f t="shared" si="2"/>
        <v/>
      </c>
      <c r="CB476" s="64" t="str">
        <f t="shared" si="3"/>
        <v/>
      </c>
      <c r="CC476" s="64" t="str">
        <f>if(F476="REFUNDED",iferror(Vlookup(I476,'Listing SKU - Fill SKU Mapping'!A:B,2,false),"Map"),"")</f>
        <v/>
      </c>
      <c r="CD476" s="64" t="str">
        <f>if(F476="REFUNDED",iferror(Vlookup(I476,'Listing SKU - Fill SKU Mapping'!A:C,3,false),"Map"),"")</f>
        <v/>
      </c>
      <c r="CE476" s="64" t="str">
        <f t="shared" si="4"/>
        <v>2025</v>
      </c>
      <c r="CF476" s="64" t="str">
        <f t="shared" si="5"/>
        <v>November</v>
      </c>
      <c r="CG476" s="64" t="str">
        <f t="shared" si="6"/>
        <v/>
      </c>
    </row>
    <row r="477">
      <c r="A477" s="55">
        <v>2.0001E14</v>
      </c>
      <c r="B477" s="56">
        <v>17.0</v>
      </c>
      <c r="C477" s="57">
        <v>1.2903E14</v>
      </c>
      <c r="D477" s="58">
        <v>17.0</v>
      </c>
      <c r="F477" s="59" t="s">
        <v>158</v>
      </c>
      <c r="G477" s="60">
        <v>45972.0</v>
      </c>
      <c r="H477" s="58">
        <v>1.0</v>
      </c>
      <c r="I477" s="58" t="s">
        <v>420</v>
      </c>
      <c r="J477" s="61">
        <v>4.50400888287E11</v>
      </c>
      <c r="K477" s="62" t="s">
        <v>483</v>
      </c>
      <c r="L477" s="62">
        <v>2038710.0</v>
      </c>
      <c r="M477" s="63"/>
      <c r="N477" s="63"/>
      <c r="O477" s="62" t="s">
        <v>274</v>
      </c>
      <c r="P477" s="63"/>
      <c r="Q477" s="63"/>
      <c r="R477" s="62" t="s">
        <v>688</v>
      </c>
      <c r="S477" s="62">
        <v>63051.0</v>
      </c>
      <c r="T477" s="58" t="s">
        <v>437</v>
      </c>
      <c r="U477" s="59">
        <v>0.0</v>
      </c>
      <c r="V477" s="59">
        <v>-7.4</v>
      </c>
      <c r="W477" s="58">
        <v>7.4</v>
      </c>
      <c r="X477" s="58">
        <v>0.0</v>
      </c>
      <c r="Z477" s="59">
        <v>0.0</v>
      </c>
      <c r="AA477" s="58">
        <v>0.0</v>
      </c>
      <c r="AB477" s="58">
        <v>0.0</v>
      </c>
      <c r="AC477" s="58">
        <v>0.0</v>
      </c>
      <c r="AD477" s="58">
        <v>0.0</v>
      </c>
      <c r="AE477" s="58">
        <v>0.0</v>
      </c>
      <c r="AF477" s="58">
        <v>0.0</v>
      </c>
      <c r="AG477" s="58">
        <v>0.0</v>
      </c>
      <c r="AH477" s="58">
        <v>0.0</v>
      </c>
      <c r="AI477" s="58">
        <v>0.0</v>
      </c>
      <c r="AJ477" s="58">
        <v>0.0</v>
      </c>
      <c r="AK477" s="58">
        <v>0.0</v>
      </c>
      <c r="AL477" s="58">
        <v>0.0</v>
      </c>
      <c r="AM477" s="58">
        <v>0.0</v>
      </c>
      <c r="AN477" s="58">
        <v>0.0</v>
      </c>
      <c r="AO477" s="58">
        <v>0.0</v>
      </c>
      <c r="AP477" s="58">
        <v>0.0</v>
      </c>
      <c r="AQ477" s="58">
        <v>0.0</v>
      </c>
      <c r="AR477" s="58">
        <v>0.0</v>
      </c>
      <c r="AS477" s="58">
        <v>0.0</v>
      </c>
      <c r="AT477" s="58">
        <v>0.0</v>
      </c>
      <c r="AU477" s="58">
        <v>0.0</v>
      </c>
      <c r="AV477" s="58">
        <v>0.0</v>
      </c>
      <c r="AW477" s="58">
        <v>0.0</v>
      </c>
      <c r="AX477" s="58">
        <v>0.0</v>
      </c>
      <c r="AY477" s="58">
        <v>0.0</v>
      </c>
      <c r="AZ477" s="58">
        <v>0.0</v>
      </c>
      <c r="BA477" s="58">
        <v>0.0</v>
      </c>
      <c r="BB477" s="58">
        <v>0.0</v>
      </c>
      <c r="BC477" s="58" t="s">
        <v>106</v>
      </c>
      <c r="BD477" s="58" t="s">
        <v>689</v>
      </c>
      <c r="BE477" s="58">
        <v>5075.0</v>
      </c>
      <c r="BF477" s="58">
        <v>22.98</v>
      </c>
      <c r="BH477" s="58" t="s">
        <v>421</v>
      </c>
      <c r="BI477" s="58" t="s">
        <v>422</v>
      </c>
      <c r="BN477" s="58" t="s">
        <v>111</v>
      </c>
      <c r="BO477" s="58" t="s">
        <v>424</v>
      </c>
      <c r="BU477" s="72"/>
      <c r="BV477" s="72"/>
      <c r="BW477" s="64" t="str">
        <f>if(OR(F477="SALE",F477="REFUNDED"),IFERROR(Vlookup(I477,'Listing SKU - Fill SKU Mapping'!A:C,3,false),"Map"),"")</f>
        <v/>
      </c>
      <c r="BX477" s="64" t="str">
        <f>IF(OR(F477="SALE",F477="REFUNDED")=TRUE,iferror(Vlookup(I477,'Listing SKU - Fill SKU Mapping'!A:B,2,false),"Map"),"")</f>
        <v/>
      </c>
      <c r="BY477" s="64" t="str">
        <f>IF(OR(F477="SALE",F477="REFUNDED")=TRUE,iferror(Vlookup(I477,'Listing SKU - Fill SKU Mapping'!A:D,4,false),"Map"),"")</f>
        <v/>
      </c>
      <c r="BZ477" s="66" t="str">
        <f t="shared" si="1"/>
        <v/>
      </c>
      <c r="CA477" s="64" t="str">
        <f t="shared" si="2"/>
        <v/>
      </c>
      <c r="CB477" s="64" t="str">
        <f t="shared" si="3"/>
        <v/>
      </c>
      <c r="CC477" s="64" t="str">
        <f>if(F477="REFUNDED",iferror(Vlookup(I477,'Listing SKU - Fill SKU Mapping'!A:B,2,false),"Map"),"")</f>
        <v/>
      </c>
      <c r="CD477" s="64" t="str">
        <f>if(F477="REFUNDED",iferror(Vlookup(I477,'Listing SKU - Fill SKU Mapping'!A:C,3,false),"Map"),"")</f>
        <v/>
      </c>
      <c r="CE477" s="64" t="str">
        <f t="shared" si="4"/>
        <v>2025</v>
      </c>
      <c r="CF477" s="64" t="str">
        <f t="shared" si="5"/>
        <v>November</v>
      </c>
      <c r="CG477" s="64" t="str">
        <f t="shared" si="6"/>
        <v/>
      </c>
    </row>
    <row r="478">
      <c r="A478" s="55">
        <v>2.0001E14</v>
      </c>
      <c r="B478" s="56">
        <v>17.0</v>
      </c>
      <c r="C478" s="57">
        <v>1.2903E14</v>
      </c>
      <c r="D478" s="58">
        <v>17.0</v>
      </c>
      <c r="F478" s="59" t="s">
        <v>128</v>
      </c>
      <c r="G478" s="60">
        <v>45972.0</v>
      </c>
      <c r="H478" s="58">
        <v>1.0</v>
      </c>
      <c r="I478" s="58" t="s">
        <v>420</v>
      </c>
      <c r="J478" s="61">
        <v>4.50400888287E11</v>
      </c>
      <c r="K478" s="62" t="s">
        <v>483</v>
      </c>
      <c r="L478" s="62">
        <v>2038710.0</v>
      </c>
      <c r="M478" s="63"/>
      <c r="N478" s="63"/>
      <c r="O478" s="63"/>
      <c r="P478" s="63"/>
      <c r="Q478" s="63"/>
      <c r="R478" s="62" t="s">
        <v>688</v>
      </c>
      <c r="S478" s="62">
        <v>63051.0</v>
      </c>
      <c r="U478" s="59">
        <v>-20.82</v>
      </c>
      <c r="V478" s="59">
        <v>-21.05</v>
      </c>
      <c r="W478" s="58">
        <v>-1.93</v>
      </c>
      <c r="X478" s="58">
        <v>0.0</v>
      </c>
      <c r="Y478" s="58">
        <v>0.0</v>
      </c>
      <c r="Z478" s="59">
        <v>0.0</v>
      </c>
      <c r="AA478" s="58">
        <v>-19.98</v>
      </c>
      <c r="AB478" s="58">
        <v>0.0</v>
      </c>
      <c r="AC478" s="58">
        <v>0.0</v>
      </c>
      <c r="AD478" s="58">
        <v>0.0</v>
      </c>
      <c r="AE478" s="58">
        <v>0.0</v>
      </c>
      <c r="AF478" s="58">
        <v>0.0</v>
      </c>
      <c r="AG478" s="58">
        <v>0.0</v>
      </c>
      <c r="AH478" s="58">
        <v>0.0</v>
      </c>
      <c r="AI478" s="58">
        <v>0.0</v>
      </c>
      <c r="AJ478" s="58">
        <v>0.0</v>
      </c>
      <c r="AK478" s="58">
        <v>0.0</v>
      </c>
      <c r="AL478" s="58">
        <v>0.0</v>
      </c>
      <c r="AM478" s="58">
        <v>0.0</v>
      </c>
      <c r="AN478" s="58">
        <v>0.0</v>
      </c>
      <c r="AO478" s="58">
        <v>0.0</v>
      </c>
      <c r="AP478" s="58">
        <v>0.0</v>
      </c>
      <c r="AQ478" s="58">
        <v>0.0</v>
      </c>
      <c r="AR478" s="58">
        <v>0.0</v>
      </c>
      <c r="AS478" s="58">
        <v>0.0</v>
      </c>
      <c r="AT478" s="58">
        <v>0.0</v>
      </c>
      <c r="AU478" s="58">
        <v>-0.84</v>
      </c>
      <c r="AV478" s="58">
        <v>0.0</v>
      </c>
      <c r="AW478" s="58">
        <v>0.0</v>
      </c>
      <c r="AX478" s="58">
        <v>0.0</v>
      </c>
      <c r="AY478" s="58">
        <v>0.0</v>
      </c>
      <c r="AZ478" s="58">
        <v>0.0</v>
      </c>
      <c r="BA478" s="58">
        <v>0.0</v>
      </c>
      <c r="BB478" s="58">
        <v>-0.84</v>
      </c>
      <c r="BC478" s="58" t="s">
        <v>106</v>
      </c>
      <c r="BD478" s="58" t="s">
        <v>156</v>
      </c>
      <c r="BE478" s="58">
        <v>5010.0</v>
      </c>
      <c r="BF478" s="58">
        <v>22.98</v>
      </c>
      <c r="BH478" s="58" t="s">
        <v>421</v>
      </c>
      <c r="BI478" s="58" t="s">
        <v>422</v>
      </c>
      <c r="BL478" s="58">
        <v>1000.0</v>
      </c>
      <c r="BM478" s="58" t="s">
        <v>130</v>
      </c>
      <c r="BN478" s="58" t="s">
        <v>111</v>
      </c>
      <c r="BO478" s="58" t="s">
        <v>424</v>
      </c>
      <c r="BT478" s="58">
        <v>3.0</v>
      </c>
      <c r="BU478" s="72"/>
      <c r="BV478" s="72"/>
      <c r="BW478" s="64" t="str">
        <f>if(OR(F478="SALE",F478="REFUNDED"),IFERROR(Vlookup(I478,'Listing SKU - Fill SKU Mapping'!A:C,3,false),"Map"),"")</f>
        <v>Map</v>
      </c>
      <c r="BX478" s="64" t="str">
        <f>IF(OR(F478="SALE",F478="REFUNDED")=TRUE,iferror(Vlookup(I478,'Listing SKU - Fill SKU Mapping'!A:B,2,false),"Map"),"")</f>
        <v>Map</v>
      </c>
      <c r="BY478" s="64" t="str">
        <f>IF(OR(F478="SALE",F478="REFUNDED")=TRUE,iferror(Vlookup(I478,'Listing SKU - Fill SKU Mapping'!A:D,4,false),"Map"),"")</f>
        <v>Map</v>
      </c>
      <c r="BZ478" s="66" t="str">
        <f t="shared" si="1"/>
        <v/>
      </c>
      <c r="CA478" s="64" t="str">
        <f t="shared" si="2"/>
        <v/>
      </c>
      <c r="CB478" s="64" t="str">
        <f t="shared" si="3"/>
        <v/>
      </c>
      <c r="CC478" s="64" t="str">
        <f>if(F478="REFUNDED",iferror(Vlookup(I478,'Listing SKU - Fill SKU Mapping'!A:B,2,false),"Map"),"")</f>
        <v>Map</v>
      </c>
      <c r="CD478" s="64" t="str">
        <f>if(F478="REFUNDED",iferror(Vlookup(I478,'Listing SKU - Fill SKU Mapping'!A:C,3,false),"Map"),"")</f>
        <v>Map</v>
      </c>
      <c r="CE478" s="64" t="str">
        <f t="shared" si="4"/>
        <v>2025</v>
      </c>
      <c r="CF478" s="64" t="str">
        <f t="shared" si="5"/>
        <v>November</v>
      </c>
      <c r="CG478" s="64" t="str">
        <f t="shared" si="6"/>
        <v/>
      </c>
    </row>
    <row r="479">
      <c r="A479" s="55">
        <v>2.0001E14</v>
      </c>
      <c r="B479" s="56">
        <v>1.0</v>
      </c>
      <c r="C479" s="57">
        <v>1.2903E14</v>
      </c>
      <c r="D479" s="58">
        <v>1.0</v>
      </c>
      <c r="F479" s="59" t="s">
        <v>100</v>
      </c>
      <c r="G479" s="60">
        <v>45968.0</v>
      </c>
      <c r="H479" s="58">
        <v>1.0</v>
      </c>
      <c r="I479" s="58" t="s">
        <v>248</v>
      </c>
      <c r="J479" s="61">
        <v>4.60776231082E11</v>
      </c>
      <c r="K479" s="62" t="s">
        <v>249</v>
      </c>
      <c r="L479" s="62">
        <v>2038710.0</v>
      </c>
      <c r="M479" s="63"/>
      <c r="N479" s="63"/>
      <c r="O479" s="62" t="s">
        <v>166</v>
      </c>
      <c r="P479" s="63"/>
      <c r="Q479" s="63"/>
      <c r="R479" s="62" t="s">
        <v>690</v>
      </c>
      <c r="S479" s="62">
        <v>23604.0</v>
      </c>
      <c r="T479" s="58" t="s">
        <v>105</v>
      </c>
      <c r="U479" s="59">
        <v>135.66</v>
      </c>
      <c r="V479" s="59">
        <v>119.02</v>
      </c>
      <c r="W479" s="58">
        <v>8.96</v>
      </c>
      <c r="X479" s="58">
        <v>7.0</v>
      </c>
      <c r="Y479" s="58">
        <v>10.0</v>
      </c>
      <c r="Z479" s="59">
        <v>127.98</v>
      </c>
      <c r="AA479" s="58">
        <v>0.0</v>
      </c>
      <c r="AB479" s="58">
        <v>0.0</v>
      </c>
      <c r="AC479" s="58">
        <v>0.0</v>
      </c>
      <c r="AD479" s="58">
        <v>0.0</v>
      </c>
      <c r="AE479" s="58">
        <v>0.0</v>
      </c>
      <c r="AF479" s="58">
        <v>0.0</v>
      </c>
      <c r="AG479" s="58">
        <v>0.0</v>
      </c>
      <c r="AH479" s="58">
        <v>0.0</v>
      </c>
      <c r="AI479" s="58">
        <v>0.0</v>
      </c>
      <c r="AJ479" s="58">
        <v>0.0</v>
      </c>
      <c r="AK479" s="58">
        <v>0.0</v>
      </c>
      <c r="AL479" s="58">
        <v>0.0</v>
      </c>
      <c r="AM479" s="58">
        <v>0.0</v>
      </c>
      <c r="AN479" s="58">
        <v>0.0</v>
      </c>
      <c r="AO479" s="58">
        <v>0.0</v>
      </c>
      <c r="AP479" s="58">
        <v>7.68</v>
      </c>
      <c r="AQ479" s="58">
        <v>0.0</v>
      </c>
      <c r="AR479" s="58">
        <v>0.0</v>
      </c>
      <c r="AS479" s="58">
        <v>0.0</v>
      </c>
      <c r="AT479" s="58">
        <v>0.0</v>
      </c>
      <c r="AU479" s="58">
        <v>0.0</v>
      </c>
      <c r="AV479" s="58">
        <v>0.0</v>
      </c>
      <c r="AW479" s="58">
        <v>0.0</v>
      </c>
      <c r="AX479" s="58">
        <v>0.0</v>
      </c>
      <c r="AY479" s="58">
        <v>0.0</v>
      </c>
      <c r="AZ479" s="58">
        <v>0.0</v>
      </c>
      <c r="BA479" s="58">
        <v>0.0</v>
      </c>
      <c r="BB479" s="58">
        <v>7.68</v>
      </c>
      <c r="BC479" s="58" t="s">
        <v>106</v>
      </c>
      <c r="BG479" s="58">
        <v>-12.8</v>
      </c>
      <c r="BH479" s="58" t="s">
        <v>107</v>
      </c>
      <c r="BI479" s="58" t="s">
        <v>108</v>
      </c>
      <c r="BJ479" s="58" t="s">
        <v>109</v>
      </c>
      <c r="BK479" s="58" t="s">
        <v>614</v>
      </c>
      <c r="BN479" s="58" t="s">
        <v>111</v>
      </c>
      <c r="BO479" s="58" t="s">
        <v>112</v>
      </c>
      <c r="BP479" s="58" t="s">
        <v>113</v>
      </c>
      <c r="BQ479" s="58" t="s">
        <v>114</v>
      </c>
      <c r="BR479" s="58">
        <v>3.84</v>
      </c>
      <c r="BU479" s="72"/>
      <c r="BV479" s="72"/>
      <c r="BW479" s="64" t="str">
        <f>if(OR(F479="SALE",F479="REFUNDED"),IFERROR(Vlookup(I479,'Listing SKU - Fill SKU Mapping'!A:C,3,false),"Map"),"")</f>
        <v>Keystone</v>
      </c>
      <c r="BX479" s="64" t="str">
        <f>IF(OR(F479="SALE",F479="REFUNDED")=TRUE,iferror(Vlookup(I479,'Listing SKU - Fill SKU Mapping'!A:B,2,false),"Map"),"")</f>
        <v>IMP401BLK</v>
      </c>
      <c r="BY479" s="64">
        <f>IF(OR(F479="SALE",F479="REFUNDED")=TRUE,iferror(Vlookup(I479,'Listing SKU - Fill SKU Mapping'!A:D,4,false),"Map"),"")</f>
        <v>62.33</v>
      </c>
      <c r="BZ479" s="66">
        <f t="shared" si="1"/>
        <v>11.5</v>
      </c>
      <c r="CA479" s="66">
        <f t="shared" si="2"/>
        <v>73.83</v>
      </c>
      <c r="CB479" s="66">
        <f t="shared" si="3"/>
        <v>45.19</v>
      </c>
      <c r="CC479" s="64" t="str">
        <f>if(F479="REFUNDED",iferror(Vlookup(I479,'Listing SKU - Fill SKU Mapping'!A:B,2,false),"Map"),"")</f>
        <v/>
      </c>
      <c r="CD479" s="64" t="str">
        <f>if(F479="REFUNDED",iferror(Vlookup(I479,'Listing SKU - Fill SKU Mapping'!A:C,3,false),"Map"),"")</f>
        <v/>
      </c>
      <c r="CE479" s="64" t="str">
        <f t="shared" si="4"/>
        <v>2025</v>
      </c>
      <c r="CF479" s="64" t="str">
        <f t="shared" si="5"/>
        <v>November</v>
      </c>
      <c r="CG479" s="64" t="str">
        <f t="shared" si="6"/>
        <v/>
      </c>
    </row>
    <row r="480">
      <c r="A480" s="55">
        <v>2.0001E14</v>
      </c>
      <c r="B480" s="56">
        <v>1.0</v>
      </c>
      <c r="C480" s="57">
        <v>1.2903E14</v>
      </c>
      <c r="D480" s="58">
        <v>1.0</v>
      </c>
      <c r="F480" s="59" t="s">
        <v>100</v>
      </c>
      <c r="G480" s="60">
        <v>45963.0</v>
      </c>
      <c r="H480" s="58">
        <v>1.0</v>
      </c>
      <c r="I480" s="58" t="s">
        <v>420</v>
      </c>
      <c r="J480" s="61">
        <v>4.50400888287E11</v>
      </c>
      <c r="K480" s="62" t="s">
        <v>483</v>
      </c>
      <c r="L480" s="62">
        <v>2038710.0</v>
      </c>
      <c r="M480" s="63"/>
      <c r="N480" s="63"/>
      <c r="O480" s="62" t="s">
        <v>174</v>
      </c>
      <c r="P480" s="63"/>
      <c r="Q480" s="63"/>
      <c r="R480" s="62" t="s">
        <v>691</v>
      </c>
      <c r="S480" s="62">
        <v>75163.0</v>
      </c>
      <c r="T480" s="58" t="s">
        <v>105</v>
      </c>
      <c r="U480" s="59">
        <v>21.23</v>
      </c>
      <c r="V480" s="59">
        <v>21.05</v>
      </c>
      <c r="W480" s="58">
        <v>1.93</v>
      </c>
      <c r="X480" s="58">
        <v>8.4</v>
      </c>
      <c r="Y480" s="58">
        <v>12.0</v>
      </c>
      <c r="Z480" s="59">
        <v>19.98</v>
      </c>
      <c r="AA480" s="58">
        <v>0.0</v>
      </c>
      <c r="AB480" s="58">
        <v>0.0</v>
      </c>
      <c r="AC480" s="58">
        <v>0.0</v>
      </c>
      <c r="AD480" s="58">
        <v>0.0</v>
      </c>
      <c r="AE480" s="58">
        <v>0.0</v>
      </c>
      <c r="AF480" s="58">
        <v>0.0</v>
      </c>
      <c r="AG480" s="58">
        <v>0.0</v>
      </c>
      <c r="AH480" s="58">
        <v>0.0</v>
      </c>
      <c r="AI480" s="58">
        <v>0.0</v>
      </c>
      <c r="AJ480" s="58">
        <v>0.0</v>
      </c>
      <c r="AK480" s="58">
        <v>0.0</v>
      </c>
      <c r="AL480" s="58">
        <v>0.0</v>
      </c>
      <c r="AM480" s="58">
        <v>0.0</v>
      </c>
      <c r="AN480" s="58">
        <v>0.0</v>
      </c>
      <c r="AO480" s="58">
        <v>0.0</v>
      </c>
      <c r="AP480" s="58">
        <v>1.25</v>
      </c>
      <c r="AQ480" s="58">
        <v>0.0</v>
      </c>
      <c r="AR480" s="58">
        <v>0.0</v>
      </c>
      <c r="AS480" s="58">
        <v>0.0</v>
      </c>
      <c r="AT480" s="58">
        <v>0.0</v>
      </c>
      <c r="AU480" s="58">
        <v>0.0</v>
      </c>
      <c r="AV480" s="58">
        <v>0.0</v>
      </c>
      <c r="AW480" s="58">
        <v>0.0</v>
      </c>
      <c r="AX480" s="58">
        <v>0.0</v>
      </c>
      <c r="AY480" s="58">
        <v>0.0</v>
      </c>
      <c r="AZ480" s="58">
        <v>0.0</v>
      </c>
      <c r="BA480" s="58">
        <v>0.0</v>
      </c>
      <c r="BB480" s="58">
        <v>1.25</v>
      </c>
      <c r="BC480" s="58" t="s">
        <v>106</v>
      </c>
      <c r="BF480" s="58">
        <v>22.98</v>
      </c>
      <c r="BG480" s="58">
        <v>-2.76</v>
      </c>
      <c r="BH480" s="58" t="s">
        <v>421</v>
      </c>
      <c r="BI480" s="58" t="s">
        <v>422</v>
      </c>
      <c r="BJ480" s="58" t="s">
        <v>423</v>
      </c>
      <c r="BK480" s="58" t="s">
        <v>551</v>
      </c>
      <c r="BN480" s="58" t="s">
        <v>111</v>
      </c>
      <c r="BO480" s="58" t="s">
        <v>424</v>
      </c>
      <c r="BP480" s="58" t="s">
        <v>113</v>
      </c>
      <c r="BQ480" s="58" t="s">
        <v>317</v>
      </c>
      <c r="BR480" s="58">
        <v>0.83</v>
      </c>
      <c r="BT480" s="58">
        <v>-3.0</v>
      </c>
      <c r="BU480" s="73" t="s">
        <v>318</v>
      </c>
      <c r="BV480" s="73"/>
      <c r="BW480" s="64" t="str">
        <f>if(OR(F480="SALE",F480="REFUNDED"),IFERROR(Vlookup(I480,'Listing SKU - Fill SKU Mapping'!A:C,3,false),"Map"),"")</f>
        <v>Map</v>
      </c>
      <c r="BX480" s="64" t="str">
        <f>IF(OR(F480="SALE",F480="REFUNDED")=TRUE,iferror(Vlookup(I480,'Listing SKU - Fill SKU Mapping'!A:B,2,false),"Map"),"")</f>
        <v>Map</v>
      </c>
      <c r="BY480" s="64" t="str">
        <f>IF(OR(F480="SALE",F480="REFUNDED")=TRUE,iferror(Vlookup(I480,'Listing SKU - Fill SKU Mapping'!A:D,4,false),"Map"),"")</f>
        <v>Map</v>
      </c>
      <c r="BZ480" s="66" t="str">
        <f t="shared" si="1"/>
        <v/>
      </c>
      <c r="CA480" s="64" t="str">
        <f t="shared" si="2"/>
        <v/>
      </c>
      <c r="CB480" s="64">
        <f t="shared" si="3"/>
        <v>21.05</v>
      </c>
      <c r="CC480" s="64" t="str">
        <f>if(F480="REFUNDED",iferror(Vlookup(I480,'Listing SKU - Fill SKU Mapping'!A:B,2,false),"Map"),"")</f>
        <v/>
      </c>
      <c r="CD480" s="64" t="str">
        <f>if(F480="REFUNDED",iferror(Vlookup(I480,'Listing SKU - Fill SKU Mapping'!A:C,3,false),"Map"),"")</f>
        <v/>
      </c>
      <c r="CE480" s="64" t="str">
        <f t="shared" si="4"/>
        <v>2025</v>
      </c>
      <c r="CF480" s="64" t="str">
        <f t="shared" si="5"/>
        <v>November</v>
      </c>
      <c r="CG480" s="64" t="str">
        <f t="shared" si="6"/>
        <v/>
      </c>
    </row>
    <row r="481">
      <c r="A481" s="55">
        <v>2.0001E14</v>
      </c>
      <c r="B481" s="56">
        <v>1.0</v>
      </c>
      <c r="C481" s="57">
        <v>1.2903E14</v>
      </c>
      <c r="D481" s="58">
        <v>1.0</v>
      </c>
      <c r="F481" s="59" t="s">
        <v>158</v>
      </c>
      <c r="G481" s="60">
        <v>45963.0</v>
      </c>
      <c r="H481" s="58">
        <v>1.0</v>
      </c>
      <c r="I481" s="58" t="s">
        <v>420</v>
      </c>
      <c r="J481" s="61">
        <v>4.50400888287E11</v>
      </c>
      <c r="K481" s="62" t="s">
        <v>483</v>
      </c>
      <c r="L481" s="62">
        <v>2038710.0</v>
      </c>
      <c r="M481" s="63"/>
      <c r="N481" s="63"/>
      <c r="O481" s="62" t="s">
        <v>174</v>
      </c>
      <c r="P481" s="63"/>
      <c r="Q481" s="63"/>
      <c r="R481" s="62" t="s">
        <v>691</v>
      </c>
      <c r="S481" s="62">
        <v>75163.0</v>
      </c>
      <c r="T481" s="58" t="s">
        <v>105</v>
      </c>
      <c r="U481" s="59">
        <v>0.0</v>
      </c>
      <c r="V481" s="59">
        <v>-6.15</v>
      </c>
      <c r="W481" s="58">
        <v>6.15</v>
      </c>
      <c r="X481" s="58">
        <v>0.0</v>
      </c>
      <c r="Z481" s="59">
        <v>0.0</v>
      </c>
      <c r="AA481" s="58">
        <v>0.0</v>
      </c>
      <c r="AB481" s="58">
        <v>0.0</v>
      </c>
      <c r="AC481" s="58">
        <v>0.0</v>
      </c>
      <c r="AD481" s="58">
        <v>0.0</v>
      </c>
      <c r="AE481" s="58">
        <v>0.0</v>
      </c>
      <c r="AF481" s="58">
        <v>0.0</v>
      </c>
      <c r="AG481" s="58">
        <v>0.0</v>
      </c>
      <c r="AH481" s="58">
        <v>0.0</v>
      </c>
      <c r="AI481" s="58">
        <v>0.0</v>
      </c>
      <c r="AJ481" s="58">
        <v>0.0</v>
      </c>
      <c r="AK481" s="58">
        <v>0.0</v>
      </c>
      <c r="AL481" s="58">
        <v>0.0</v>
      </c>
      <c r="AM481" s="58">
        <v>0.0</v>
      </c>
      <c r="AN481" s="58">
        <v>0.0</v>
      </c>
      <c r="AO481" s="58">
        <v>0.0</v>
      </c>
      <c r="AP481" s="58">
        <v>0.0</v>
      </c>
      <c r="AQ481" s="58">
        <v>0.0</v>
      </c>
      <c r="AR481" s="58">
        <v>0.0</v>
      </c>
      <c r="AS481" s="58">
        <v>0.0</v>
      </c>
      <c r="AT481" s="58">
        <v>0.0</v>
      </c>
      <c r="AU481" s="58">
        <v>0.0</v>
      </c>
      <c r="AV481" s="58">
        <v>0.0</v>
      </c>
      <c r="AW481" s="58">
        <v>0.0</v>
      </c>
      <c r="AX481" s="58">
        <v>0.0</v>
      </c>
      <c r="AY481" s="58">
        <v>0.0</v>
      </c>
      <c r="AZ481" s="58">
        <v>0.0</v>
      </c>
      <c r="BA481" s="58">
        <v>0.0</v>
      </c>
      <c r="BB481" s="58">
        <v>0.0</v>
      </c>
      <c r="BC481" s="58" t="s">
        <v>106</v>
      </c>
      <c r="BD481" s="58" t="s">
        <v>425</v>
      </c>
      <c r="BE481" s="58">
        <v>5041.0</v>
      </c>
      <c r="BF481" s="58">
        <v>22.98</v>
      </c>
      <c r="BH481" s="58" t="s">
        <v>421</v>
      </c>
      <c r="BI481" s="58" t="s">
        <v>422</v>
      </c>
      <c r="BN481" s="58" t="s">
        <v>111</v>
      </c>
      <c r="BO481" s="58" t="s">
        <v>424</v>
      </c>
      <c r="BU481" s="72"/>
      <c r="BV481" s="72"/>
      <c r="BW481" s="64" t="str">
        <f>if(OR(F481="SALE",F481="REFUNDED"),IFERROR(Vlookup(I481,'Listing SKU - Fill SKU Mapping'!A:C,3,false),"Map"),"")</f>
        <v/>
      </c>
      <c r="BX481" s="64" t="str">
        <f>IF(OR(F481="SALE",F481="REFUNDED")=TRUE,iferror(Vlookup(I481,'Listing SKU - Fill SKU Mapping'!A:B,2,false),"Map"),"")</f>
        <v/>
      </c>
      <c r="BY481" s="64" t="str">
        <f>IF(OR(F481="SALE",F481="REFUNDED")=TRUE,iferror(Vlookup(I481,'Listing SKU - Fill SKU Mapping'!A:D,4,false),"Map"),"")</f>
        <v/>
      </c>
      <c r="BZ481" s="66" t="str">
        <f t="shared" si="1"/>
        <v/>
      </c>
      <c r="CA481" s="64" t="str">
        <f t="shared" si="2"/>
        <v/>
      </c>
      <c r="CB481" s="64" t="str">
        <f t="shared" si="3"/>
        <v/>
      </c>
      <c r="CC481" s="64" t="str">
        <f>if(F481="REFUNDED",iferror(Vlookup(I481,'Listing SKU - Fill SKU Mapping'!A:B,2,false),"Map"),"")</f>
        <v/>
      </c>
      <c r="CD481" s="64" t="str">
        <f>if(F481="REFUNDED",iferror(Vlookup(I481,'Listing SKU - Fill SKU Mapping'!A:C,3,false),"Map"),"")</f>
        <v/>
      </c>
      <c r="CE481" s="64" t="str">
        <f t="shared" si="4"/>
        <v>2025</v>
      </c>
      <c r="CF481" s="64" t="str">
        <f t="shared" si="5"/>
        <v>November</v>
      </c>
      <c r="CG481" s="64" t="str">
        <f t="shared" si="6"/>
        <v/>
      </c>
    </row>
    <row r="482">
      <c r="A482" s="55">
        <v>2.0001E14</v>
      </c>
      <c r="B482" s="56">
        <v>1.0</v>
      </c>
      <c r="C482" s="57">
        <v>1.2903E14</v>
      </c>
      <c r="D482" s="58">
        <v>1.0</v>
      </c>
      <c r="F482" s="59" t="s">
        <v>100</v>
      </c>
      <c r="G482" s="60">
        <v>45972.0</v>
      </c>
      <c r="H482" s="58">
        <v>1.0</v>
      </c>
      <c r="I482" s="58" t="s">
        <v>120</v>
      </c>
      <c r="J482" s="61">
        <v>4.67129945498E11</v>
      </c>
      <c r="K482" s="62" t="s">
        <v>121</v>
      </c>
      <c r="L482" s="62">
        <v>2038710.0</v>
      </c>
      <c r="M482" s="63"/>
      <c r="N482" s="63"/>
      <c r="O482" s="62" t="s">
        <v>149</v>
      </c>
      <c r="P482" s="63"/>
      <c r="Q482" s="63"/>
      <c r="R482" s="62" t="s">
        <v>692</v>
      </c>
      <c r="S482" s="62">
        <v>39056.0</v>
      </c>
      <c r="T482" s="58" t="s">
        <v>105</v>
      </c>
      <c r="U482" s="59">
        <v>72.65</v>
      </c>
      <c r="V482" s="59">
        <v>70.66</v>
      </c>
      <c r="W482" s="58">
        <v>5.32</v>
      </c>
      <c r="X482" s="58">
        <v>7.0</v>
      </c>
      <c r="Y482" s="58">
        <v>10.0</v>
      </c>
      <c r="Z482" s="59">
        <v>67.9</v>
      </c>
      <c r="AA482" s="58">
        <v>0.0</v>
      </c>
      <c r="AB482" s="58">
        <v>0.0</v>
      </c>
      <c r="AC482" s="58">
        <v>0.0</v>
      </c>
      <c r="AD482" s="58">
        <v>0.0</v>
      </c>
      <c r="AE482" s="58">
        <v>0.0</v>
      </c>
      <c r="AF482" s="58">
        <v>0.0</v>
      </c>
      <c r="AG482" s="58">
        <v>0.0</v>
      </c>
      <c r="AH482" s="58">
        <v>0.0</v>
      </c>
      <c r="AI482" s="58">
        <v>0.0</v>
      </c>
      <c r="AJ482" s="58">
        <v>0.0</v>
      </c>
      <c r="AK482" s="58">
        <v>0.0</v>
      </c>
      <c r="AL482" s="58">
        <v>0.0</v>
      </c>
      <c r="AM482" s="58">
        <v>0.0</v>
      </c>
      <c r="AN482" s="58">
        <v>0.0</v>
      </c>
      <c r="AO482" s="58">
        <v>0.0</v>
      </c>
      <c r="AP482" s="58">
        <v>4.75</v>
      </c>
      <c r="AQ482" s="58">
        <v>0.0</v>
      </c>
      <c r="AR482" s="58">
        <v>0.0</v>
      </c>
      <c r="AS482" s="58">
        <v>0.0</v>
      </c>
      <c r="AT482" s="58">
        <v>0.0</v>
      </c>
      <c r="AU482" s="58">
        <v>0.0</v>
      </c>
      <c r="AV482" s="58">
        <v>0.0</v>
      </c>
      <c r="AW482" s="58">
        <v>0.0</v>
      </c>
      <c r="AX482" s="58">
        <v>0.0</v>
      </c>
      <c r="AY482" s="58">
        <v>0.0</v>
      </c>
      <c r="AZ482" s="58">
        <v>0.0</v>
      </c>
      <c r="BA482" s="58">
        <v>0.0</v>
      </c>
      <c r="BB482" s="58">
        <v>4.75</v>
      </c>
      <c r="BC482" s="58" t="s">
        <v>106</v>
      </c>
      <c r="BF482" s="58">
        <v>75.98</v>
      </c>
      <c r="BG482" s="58">
        <v>-7.6</v>
      </c>
      <c r="BH482" s="58" t="s">
        <v>107</v>
      </c>
      <c r="BI482" s="58" t="s">
        <v>108</v>
      </c>
      <c r="BJ482" s="58" t="s">
        <v>109</v>
      </c>
      <c r="BK482" s="58" t="s">
        <v>679</v>
      </c>
      <c r="BN482" s="58" t="s">
        <v>111</v>
      </c>
      <c r="BO482" s="58" t="s">
        <v>112</v>
      </c>
      <c r="BP482" s="58" t="s">
        <v>113</v>
      </c>
      <c r="BQ482" s="58" t="s">
        <v>317</v>
      </c>
      <c r="BR482" s="58">
        <v>2.28</v>
      </c>
      <c r="BT482" s="58">
        <v>-8.08</v>
      </c>
      <c r="BU482" s="73" t="s">
        <v>318</v>
      </c>
      <c r="BV482" s="73"/>
      <c r="BW482" s="64" t="str">
        <f>if(OR(F482="SALE",F482="REFUNDED"),IFERROR(Vlookup(I482,'Listing SKU - Fill SKU Mapping'!A:C,3,false),"Map"),"")</f>
        <v>Keystone</v>
      </c>
      <c r="BX482" s="64" t="str">
        <f>IF(OR(F482="SALE",F482="REFUNDED")=TRUE,iferror(Vlookup(I482,'Listing SKU - Fill SKU Mapping'!A:B,2,false),"Map"),"")</f>
        <v>51917S</v>
      </c>
      <c r="BY482" s="64">
        <f>IF(OR(F482="SALE",F482="REFUNDED")=TRUE,iferror(Vlookup(I482,'Listing SKU - Fill SKU Mapping'!A:D,4,false),"Map"),"")</f>
        <v>27.22</v>
      </c>
      <c r="BZ482" s="66">
        <f t="shared" si="1"/>
        <v>11.5</v>
      </c>
      <c r="CA482" s="66">
        <f t="shared" si="2"/>
        <v>38.72</v>
      </c>
      <c r="CB482" s="66">
        <f t="shared" si="3"/>
        <v>31.94</v>
      </c>
      <c r="CC482" s="64" t="str">
        <f>if(F482="REFUNDED",iferror(Vlookup(I482,'Listing SKU - Fill SKU Mapping'!A:B,2,false),"Map"),"")</f>
        <v/>
      </c>
      <c r="CD482" s="64" t="str">
        <f>if(F482="REFUNDED",iferror(Vlookup(I482,'Listing SKU - Fill SKU Mapping'!A:C,3,false),"Map"),"")</f>
        <v/>
      </c>
      <c r="CE482" s="64" t="str">
        <f t="shared" si="4"/>
        <v>2025</v>
      </c>
      <c r="CF482" s="64" t="str">
        <f t="shared" si="5"/>
        <v>November</v>
      </c>
      <c r="CG482" s="64" t="str">
        <f t="shared" si="6"/>
        <v/>
      </c>
    </row>
    <row r="483">
      <c r="A483" s="55">
        <v>2.0001E14</v>
      </c>
      <c r="B483" s="56">
        <v>1.0</v>
      </c>
      <c r="C483" s="57">
        <v>1.2903E14</v>
      </c>
      <c r="D483" s="58">
        <v>1.0</v>
      </c>
      <c r="F483" s="59" t="s">
        <v>100</v>
      </c>
      <c r="G483" s="60">
        <v>45964.0</v>
      </c>
      <c r="H483" s="58">
        <v>1.0</v>
      </c>
      <c r="I483" s="58" t="s">
        <v>400</v>
      </c>
      <c r="J483" s="61">
        <v>4.60776238401E11</v>
      </c>
      <c r="K483" s="62" t="s">
        <v>693</v>
      </c>
      <c r="L483" s="62">
        <v>2038710.0</v>
      </c>
      <c r="M483" s="63"/>
      <c r="N483" s="63"/>
      <c r="O483" s="62" t="s">
        <v>192</v>
      </c>
      <c r="P483" s="63"/>
      <c r="Q483" s="63"/>
      <c r="R483" s="62" t="s">
        <v>694</v>
      </c>
      <c r="S483" s="62">
        <v>54403.0</v>
      </c>
      <c r="T483" s="58" t="s">
        <v>105</v>
      </c>
      <c r="U483" s="59">
        <v>118.14</v>
      </c>
      <c r="V483" s="59">
        <v>104.14</v>
      </c>
      <c r="W483" s="58">
        <v>7.84</v>
      </c>
      <c r="X483" s="58">
        <v>7.0</v>
      </c>
      <c r="Y483" s="58">
        <v>10.0</v>
      </c>
      <c r="Z483" s="59">
        <v>111.98</v>
      </c>
      <c r="AA483" s="58">
        <v>0.0</v>
      </c>
      <c r="AB483" s="58">
        <v>0.0</v>
      </c>
      <c r="AC483" s="58">
        <v>0.0</v>
      </c>
      <c r="AD483" s="58">
        <v>0.0</v>
      </c>
      <c r="AE483" s="58">
        <v>0.0</v>
      </c>
      <c r="AF483" s="58">
        <v>0.0</v>
      </c>
      <c r="AG483" s="58">
        <v>0.0</v>
      </c>
      <c r="AH483" s="58">
        <v>0.0</v>
      </c>
      <c r="AI483" s="58">
        <v>0.0</v>
      </c>
      <c r="AJ483" s="58">
        <v>0.0</v>
      </c>
      <c r="AK483" s="58">
        <v>0.0</v>
      </c>
      <c r="AL483" s="58">
        <v>0.0</v>
      </c>
      <c r="AM483" s="58">
        <v>0.0</v>
      </c>
      <c r="AN483" s="58">
        <v>0.0</v>
      </c>
      <c r="AO483" s="58">
        <v>0.0</v>
      </c>
      <c r="AP483" s="58">
        <v>6.16</v>
      </c>
      <c r="AQ483" s="58">
        <v>0.0</v>
      </c>
      <c r="AR483" s="58">
        <v>0.0</v>
      </c>
      <c r="AS483" s="58">
        <v>0.0</v>
      </c>
      <c r="AT483" s="58">
        <v>0.0</v>
      </c>
      <c r="AU483" s="58">
        <v>0.0</v>
      </c>
      <c r="AV483" s="58">
        <v>0.0</v>
      </c>
      <c r="AW483" s="58">
        <v>0.0</v>
      </c>
      <c r="AX483" s="58">
        <v>0.0</v>
      </c>
      <c r="AY483" s="58">
        <v>0.0</v>
      </c>
      <c r="AZ483" s="58">
        <v>0.0</v>
      </c>
      <c r="BA483" s="58">
        <v>0.0</v>
      </c>
      <c r="BB483" s="58">
        <v>6.16</v>
      </c>
      <c r="BC483" s="58" t="s">
        <v>106</v>
      </c>
      <c r="BG483" s="58">
        <v>-11.2</v>
      </c>
      <c r="BH483" s="58" t="s">
        <v>107</v>
      </c>
      <c r="BI483" s="58" t="s">
        <v>108</v>
      </c>
      <c r="BJ483" s="58" t="s">
        <v>109</v>
      </c>
      <c r="BK483" s="58" t="s">
        <v>551</v>
      </c>
      <c r="BN483" s="58" t="s">
        <v>111</v>
      </c>
      <c r="BO483" s="58" t="s">
        <v>112</v>
      </c>
      <c r="BP483" s="58" t="s">
        <v>113</v>
      </c>
      <c r="BQ483" s="58" t="s">
        <v>114</v>
      </c>
      <c r="BR483" s="58">
        <v>3.36</v>
      </c>
      <c r="BU483" s="72"/>
      <c r="BV483" s="72"/>
      <c r="BW483" s="64" t="str">
        <f>if(OR(F483="SALE",F483="REFUNDED"),IFERROR(Vlookup(I483,'Listing SKU - Fill SKU Mapping'!A:C,3,false),"Map"),"")</f>
        <v>Keystone</v>
      </c>
      <c r="BX483" s="64" t="str">
        <f>IF(OR(F483="SALE",F483="REFUNDED")=TRUE,iferror(Vlookup(I483,'Listing SKU - Fill SKU Mapping'!A:B,2,false),"Map"),"")</f>
        <v>IMP385BLK</v>
      </c>
      <c r="BY483" s="64">
        <f>IF(OR(F483="SALE",F483="REFUNDED")=TRUE,iferror(Vlookup(I483,'Listing SKU - Fill SKU Mapping'!A:D,4,false),"Map"),"")</f>
        <v>51.68</v>
      </c>
      <c r="BZ483" s="66">
        <f t="shared" si="1"/>
        <v>11.5</v>
      </c>
      <c r="CA483" s="66">
        <f t="shared" si="2"/>
        <v>63.18</v>
      </c>
      <c r="CB483" s="66">
        <f t="shared" si="3"/>
        <v>40.96</v>
      </c>
      <c r="CC483" s="64" t="str">
        <f>if(F483="REFUNDED",iferror(Vlookup(I483,'Listing SKU - Fill SKU Mapping'!A:B,2,false),"Map"),"")</f>
        <v/>
      </c>
      <c r="CD483" s="64" t="str">
        <f>if(F483="REFUNDED",iferror(Vlookup(I483,'Listing SKU - Fill SKU Mapping'!A:C,3,false),"Map"),"")</f>
        <v/>
      </c>
      <c r="CE483" s="64" t="str">
        <f t="shared" si="4"/>
        <v>2025</v>
      </c>
      <c r="CF483" s="64" t="str">
        <f t="shared" si="5"/>
        <v>November</v>
      </c>
      <c r="CG483" s="64" t="str">
        <f t="shared" si="6"/>
        <v/>
      </c>
    </row>
    <row r="484">
      <c r="A484" s="55">
        <v>2.0001E14</v>
      </c>
      <c r="B484" s="56">
        <v>1.0</v>
      </c>
      <c r="C484" s="57">
        <v>1.2903E14</v>
      </c>
      <c r="D484" s="58">
        <v>1.0</v>
      </c>
      <c r="F484" s="59" t="s">
        <v>128</v>
      </c>
      <c r="G484" s="60">
        <v>45966.0</v>
      </c>
      <c r="H484" s="58">
        <v>1.0</v>
      </c>
      <c r="I484" s="58" t="s">
        <v>440</v>
      </c>
      <c r="J484" s="61">
        <v>4.67129945986E11</v>
      </c>
      <c r="K484" s="62" t="s">
        <v>695</v>
      </c>
      <c r="L484" s="62">
        <v>2038710.0</v>
      </c>
      <c r="M484" s="63"/>
      <c r="N484" s="63"/>
      <c r="O484" s="63"/>
      <c r="P484" s="63"/>
      <c r="Q484" s="63"/>
      <c r="R484" s="62" t="s">
        <v>696</v>
      </c>
      <c r="S484" s="62">
        <v>90302.0</v>
      </c>
      <c r="U484" s="59">
        <v>-69.35</v>
      </c>
      <c r="V484" s="59">
        <v>-65.08</v>
      </c>
      <c r="W484" s="58">
        <v>-4.9</v>
      </c>
      <c r="X484" s="58">
        <v>0.0</v>
      </c>
      <c r="Y484" s="58">
        <v>0.0</v>
      </c>
      <c r="Z484" s="59">
        <v>0.0</v>
      </c>
      <c r="AA484" s="58">
        <v>-62.9</v>
      </c>
      <c r="AB484" s="58">
        <v>0.0</v>
      </c>
      <c r="AC484" s="58">
        <v>0.0</v>
      </c>
      <c r="AD484" s="58">
        <v>0.0</v>
      </c>
      <c r="AE484" s="58">
        <v>0.0</v>
      </c>
      <c r="AF484" s="58">
        <v>0.0</v>
      </c>
      <c r="AG484" s="58">
        <v>0.0</v>
      </c>
      <c r="AH484" s="58">
        <v>0.0</v>
      </c>
      <c r="AI484" s="58">
        <v>0.0</v>
      </c>
      <c r="AJ484" s="58">
        <v>0.0</v>
      </c>
      <c r="AK484" s="58">
        <v>0.0</v>
      </c>
      <c r="AL484" s="58">
        <v>0.0</v>
      </c>
      <c r="AM484" s="58">
        <v>0.0</v>
      </c>
      <c r="AN484" s="58">
        <v>0.0</v>
      </c>
      <c r="AO484" s="58">
        <v>0.0</v>
      </c>
      <c r="AP484" s="58">
        <v>0.0</v>
      </c>
      <c r="AQ484" s="58">
        <v>0.0</v>
      </c>
      <c r="AR484" s="58">
        <v>0.0</v>
      </c>
      <c r="AS484" s="58">
        <v>0.0</v>
      </c>
      <c r="AT484" s="58">
        <v>0.0</v>
      </c>
      <c r="AU484" s="58">
        <v>-6.45</v>
      </c>
      <c r="AV484" s="58">
        <v>0.0</v>
      </c>
      <c r="AW484" s="58">
        <v>0.0</v>
      </c>
      <c r="AX484" s="58">
        <v>0.0</v>
      </c>
      <c r="AY484" s="58">
        <v>0.0</v>
      </c>
      <c r="AZ484" s="58">
        <v>0.0</v>
      </c>
      <c r="BA484" s="58">
        <v>0.0</v>
      </c>
      <c r="BB484" s="58">
        <v>-6.45</v>
      </c>
      <c r="BC484" s="58" t="s">
        <v>106</v>
      </c>
      <c r="BD484" s="58" t="s">
        <v>156</v>
      </c>
      <c r="BE484" s="58">
        <v>5010.0</v>
      </c>
      <c r="BF484" s="58">
        <v>69.98</v>
      </c>
      <c r="BH484" s="58" t="s">
        <v>107</v>
      </c>
      <c r="BI484" s="58" t="s">
        <v>108</v>
      </c>
      <c r="BL484" s="58">
        <v>1018.0</v>
      </c>
      <c r="BM484" s="58" t="s">
        <v>157</v>
      </c>
      <c r="BN484" s="58" t="s">
        <v>111</v>
      </c>
      <c r="BO484" s="58" t="s">
        <v>112</v>
      </c>
      <c r="BT484" s="58">
        <v>7.08</v>
      </c>
      <c r="BU484" s="72"/>
      <c r="BV484" s="72"/>
      <c r="BW484" s="64" t="str">
        <f>if(OR(F484="SALE",F484="REFUNDED"),IFERROR(Vlookup(I484,'Listing SKU - Fill SKU Mapping'!A:C,3,false),"Map"),"")</f>
        <v>Keystone</v>
      </c>
      <c r="BX484" s="64" t="str">
        <f>IF(OR(F484="SALE",F484="REFUNDED")=TRUE,iferror(Vlookup(I484,'Listing SKU - Fill SKU Mapping'!A:B,2,false),"Map"),"")</f>
        <v>B883916S</v>
      </c>
      <c r="BY484" s="64">
        <f>IF(OR(F484="SALE",F484="REFUNDED")=TRUE,iferror(Vlookup(I484,'Listing SKU - Fill SKU Mapping'!A:D,4,false),"Map"),"")</f>
        <v>23.27</v>
      </c>
      <c r="BZ484" s="66">
        <f t="shared" si="1"/>
        <v>11.5</v>
      </c>
      <c r="CA484" s="66">
        <f t="shared" si="2"/>
        <v>34.77</v>
      </c>
      <c r="CB484" s="64" t="str">
        <f t="shared" si="3"/>
        <v/>
      </c>
      <c r="CC484" s="64" t="str">
        <f>if(F484="REFUNDED",iferror(Vlookup(I484,'Listing SKU - Fill SKU Mapping'!A:B,2,false),"Map"),"")</f>
        <v>B883916S</v>
      </c>
      <c r="CD484" s="64" t="str">
        <f>if(F484="REFUNDED",iferror(Vlookup(I484,'Listing SKU - Fill SKU Mapping'!A:C,3,false),"Map"),"")</f>
        <v>Keystone</v>
      </c>
      <c r="CE484" s="64" t="str">
        <f t="shared" si="4"/>
        <v>2025</v>
      </c>
      <c r="CF484" s="64" t="str">
        <f t="shared" si="5"/>
        <v>November</v>
      </c>
      <c r="CG484" s="64" t="str">
        <f t="shared" si="6"/>
        <v/>
      </c>
    </row>
    <row r="485">
      <c r="A485" s="55">
        <v>2.0001E14</v>
      </c>
      <c r="B485" s="56">
        <v>1.0</v>
      </c>
      <c r="C485" s="57">
        <v>1.2903E14</v>
      </c>
      <c r="D485" s="58">
        <v>1.0</v>
      </c>
      <c r="F485" s="59" t="s">
        <v>100</v>
      </c>
      <c r="G485" s="60">
        <v>45975.0</v>
      </c>
      <c r="H485" s="58">
        <v>1.0</v>
      </c>
      <c r="I485" s="58" t="s">
        <v>697</v>
      </c>
      <c r="J485" s="61">
        <v>4.67129950614E11</v>
      </c>
      <c r="K485" s="62" t="s">
        <v>698</v>
      </c>
      <c r="L485" s="62">
        <v>2038710.0</v>
      </c>
      <c r="M485" s="63"/>
      <c r="N485" s="63"/>
      <c r="O485" s="62" t="s">
        <v>174</v>
      </c>
      <c r="P485" s="63"/>
      <c r="Q485" s="63"/>
      <c r="R485" s="62" t="s">
        <v>175</v>
      </c>
      <c r="S485" s="62">
        <v>77057.0</v>
      </c>
      <c r="T485" s="58" t="s">
        <v>105</v>
      </c>
      <c r="U485" s="59">
        <v>102.82</v>
      </c>
      <c r="V485" s="59">
        <v>88.33</v>
      </c>
      <c r="W485" s="58">
        <v>6.65</v>
      </c>
      <c r="X485" s="58">
        <v>7.0</v>
      </c>
      <c r="Y485" s="58">
        <v>10.0</v>
      </c>
      <c r="Z485" s="59">
        <v>94.98</v>
      </c>
      <c r="AA485" s="58">
        <v>0.0</v>
      </c>
      <c r="AB485" s="58">
        <v>0.0</v>
      </c>
      <c r="AC485" s="58">
        <v>0.0</v>
      </c>
      <c r="AD485" s="58">
        <v>0.0</v>
      </c>
      <c r="AE485" s="58">
        <v>0.0</v>
      </c>
      <c r="AF485" s="58">
        <v>0.0</v>
      </c>
      <c r="AG485" s="58">
        <v>0.0</v>
      </c>
      <c r="AH485" s="58">
        <v>0.0</v>
      </c>
      <c r="AI485" s="58">
        <v>0.0</v>
      </c>
      <c r="AJ485" s="58">
        <v>0.0</v>
      </c>
      <c r="AK485" s="58">
        <v>0.0</v>
      </c>
      <c r="AL485" s="58">
        <v>0.0</v>
      </c>
      <c r="AM485" s="58">
        <v>0.0</v>
      </c>
      <c r="AN485" s="58">
        <v>0.0</v>
      </c>
      <c r="AO485" s="58">
        <v>0.0</v>
      </c>
      <c r="AP485" s="58">
        <v>7.84</v>
      </c>
      <c r="AQ485" s="58">
        <v>0.0</v>
      </c>
      <c r="AR485" s="58">
        <v>0.0</v>
      </c>
      <c r="AS485" s="58">
        <v>0.0</v>
      </c>
      <c r="AT485" s="58">
        <v>0.0</v>
      </c>
      <c r="AU485" s="58">
        <v>0.0</v>
      </c>
      <c r="AV485" s="58">
        <v>0.0</v>
      </c>
      <c r="AW485" s="58">
        <v>0.0</v>
      </c>
      <c r="AX485" s="58">
        <v>0.0</v>
      </c>
      <c r="AY485" s="58">
        <v>0.0</v>
      </c>
      <c r="AZ485" s="58">
        <v>0.0</v>
      </c>
      <c r="BA485" s="58">
        <v>0.0</v>
      </c>
      <c r="BB485" s="58">
        <v>7.84</v>
      </c>
      <c r="BC485" s="58" t="s">
        <v>106</v>
      </c>
      <c r="BG485" s="58">
        <v>-9.5</v>
      </c>
      <c r="BH485" s="58" t="s">
        <v>107</v>
      </c>
      <c r="BI485" s="58" t="s">
        <v>108</v>
      </c>
      <c r="BJ485" s="58" t="s">
        <v>109</v>
      </c>
      <c r="BK485" s="58" t="s">
        <v>623</v>
      </c>
      <c r="BN485" s="58" t="s">
        <v>111</v>
      </c>
      <c r="BO485" s="58" t="s">
        <v>112</v>
      </c>
      <c r="BP485" s="58" t="s">
        <v>113</v>
      </c>
      <c r="BQ485" s="58" t="s">
        <v>114</v>
      </c>
      <c r="BR485" s="58">
        <v>2.85</v>
      </c>
      <c r="BU485" s="72"/>
      <c r="BV485" s="72"/>
      <c r="BW485" s="64" t="str">
        <f>if(OR(F485="SALE",F485="REFUNDED"),IFERROR(Vlookup(I485,'Listing SKU - Fill SKU Mapping'!A:C,3,false),"Map"),"")</f>
        <v>Keystone</v>
      </c>
      <c r="BX485" s="64" t="str">
        <f>IF(OR(F485="SALE",F485="REFUNDED")=TRUE,iferror(Vlookup(I485,'Listing SKU - Fill SKU Mapping'!A:B,2,false),"Map"),"")</f>
        <v>52517S</v>
      </c>
      <c r="BY485" s="64">
        <f>IF(OR(F485="SALE",F485="REFUNDED")=TRUE,iferror(Vlookup(I485,'Listing SKU - Fill SKU Mapping'!A:D,4,false),"Map"),"")</f>
        <v>39.05</v>
      </c>
      <c r="BZ485" s="66">
        <f t="shared" si="1"/>
        <v>11.5</v>
      </c>
      <c r="CA485" s="66">
        <f t="shared" si="2"/>
        <v>50.55</v>
      </c>
      <c r="CB485" s="66">
        <f t="shared" si="3"/>
        <v>37.78</v>
      </c>
      <c r="CC485" s="64" t="str">
        <f>if(F485="REFUNDED",iferror(Vlookup(I485,'Listing SKU - Fill SKU Mapping'!A:B,2,false),"Map"),"")</f>
        <v/>
      </c>
      <c r="CD485" s="64" t="str">
        <f>if(F485="REFUNDED",iferror(Vlookup(I485,'Listing SKU - Fill SKU Mapping'!A:C,3,false),"Map"),"")</f>
        <v/>
      </c>
      <c r="CE485" s="64" t="str">
        <f t="shared" si="4"/>
        <v>2025</v>
      </c>
      <c r="CF485" s="64" t="str">
        <f t="shared" si="5"/>
        <v>November</v>
      </c>
      <c r="CG485" s="64" t="str">
        <f t="shared" si="6"/>
        <v/>
      </c>
    </row>
    <row r="486">
      <c r="A486" s="55">
        <v>2.0001E14</v>
      </c>
      <c r="B486" s="56">
        <v>1.0</v>
      </c>
      <c r="C486" s="57">
        <v>1.2903E14</v>
      </c>
      <c r="D486" s="58">
        <v>1.0</v>
      </c>
      <c r="F486" s="59" t="s">
        <v>100</v>
      </c>
      <c r="G486" s="60">
        <v>45971.0</v>
      </c>
      <c r="H486" s="58">
        <v>1.0</v>
      </c>
      <c r="I486" s="58" t="s">
        <v>335</v>
      </c>
      <c r="J486" s="61">
        <v>4.66885060957E11</v>
      </c>
      <c r="K486" s="62" t="s">
        <v>677</v>
      </c>
      <c r="L486" s="62">
        <v>2038710.0</v>
      </c>
      <c r="M486" s="63"/>
      <c r="N486" s="63"/>
      <c r="O486" s="62" t="s">
        <v>161</v>
      </c>
      <c r="P486" s="63"/>
      <c r="Q486" s="63"/>
      <c r="R486" s="62" t="s">
        <v>699</v>
      </c>
      <c r="S486" s="62">
        <v>92555.0</v>
      </c>
      <c r="T486" s="58" t="s">
        <v>105</v>
      </c>
      <c r="U486" s="59">
        <v>92.41</v>
      </c>
      <c r="V486" s="59">
        <v>79.03</v>
      </c>
      <c r="W486" s="58">
        <v>5.95</v>
      </c>
      <c r="X486" s="58">
        <v>7.0</v>
      </c>
      <c r="Y486" s="58">
        <v>10.0</v>
      </c>
      <c r="Z486" s="59">
        <v>84.98</v>
      </c>
      <c r="AA486" s="58">
        <v>0.0</v>
      </c>
      <c r="AB486" s="58">
        <v>0.0</v>
      </c>
      <c r="AC486" s="58">
        <v>0.0</v>
      </c>
      <c r="AD486" s="58">
        <v>0.0</v>
      </c>
      <c r="AE486" s="58">
        <v>0.0</v>
      </c>
      <c r="AF486" s="58">
        <v>0.0</v>
      </c>
      <c r="AG486" s="58">
        <v>0.0</v>
      </c>
      <c r="AH486" s="58">
        <v>0.0</v>
      </c>
      <c r="AI486" s="58">
        <v>0.0</v>
      </c>
      <c r="AJ486" s="58">
        <v>0.0</v>
      </c>
      <c r="AK486" s="58">
        <v>0.0</v>
      </c>
      <c r="AL486" s="58">
        <v>0.0</v>
      </c>
      <c r="AM486" s="58">
        <v>0.0</v>
      </c>
      <c r="AN486" s="58">
        <v>0.0</v>
      </c>
      <c r="AO486" s="58">
        <v>0.0</v>
      </c>
      <c r="AP486" s="58">
        <v>7.43</v>
      </c>
      <c r="AQ486" s="58">
        <v>0.0</v>
      </c>
      <c r="AR486" s="58">
        <v>0.0</v>
      </c>
      <c r="AS486" s="58">
        <v>0.0</v>
      </c>
      <c r="AT486" s="58">
        <v>0.0</v>
      </c>
      <c r="AU486" s="58">
        <v>0.0</v>
      </c>
      <c r="AV486" s="58">
        <v>0.0</v>
      </c>
      <c r="AW486" s="58">
        <v>0.0</v>
      </c>
      <c r="AX486" s="58">
        <v>0.0</v>
      </c>
      <c r="AY486" s="58">
        <v>0.0</v>
      </c>
      <c r="AZ486" s="58">
        <v>0.0</v>
      </c>
      <c r="BA486" s="58">
        <v>0.0</v>
      </c>
      <c r="BB486" s="58">
        <v>7.43</v>
      </c>
      <c r="BC486" s="58" t="s">
        <v>106</v>
      </c>
      <c r="BG486" s="58">
        <v>-8.5</v>
      </c>
      <c r="BH486" s="58" t="s">
        <v>107</v>
      </c>
      <c r="BI486" s="58" t="s">
        <v>108</v>
      </c>
      <c r="BJ486" s="58" t="s">
        <v>109</v>
      </c>
      <c r="BK486" s="58" t="s">
        <v>679</v>
      </c>
      <c r="BN486" s="58" t="s">
        <v>111</v>
      </c>
      <c r="BO486" s="58" t="s">
        <v>112</v>
      </c>
      <c r="BP486" s="58" t="s">
        <v>113</v>
      </c>
      <c r="BQ486" s="58" t="s">
        <v>680</v>
      </c>
      <c r="BR486" s="58">
        <v>2.55</v>
      </c>
      <c r="BU486" s="72"/>
      <c r="BV486" s="72"/>
      <c r="BW486" s="64" t="str">
        <f>if(OR(F486="SALE",F486="REFUNDED"),IFERROR(Vlookup(I486,'Listing SKU - Fill SKU Mapping'!A:C,3,false),"Map"),"")</f>
        <v>Keystone</v>
      </c>
      <c r="BX486" s="64" t="str">
        <f>IF(OR(F486="SALE",F486="REFUNDED")=TRUE,iferror(Vlookup(I486,'Listing SKU - Fill SKU Mapping'!A:B,2,false),"Map"),"")</f>
        <v>41616S</v>
      </c>
      <c r="BY486" s="64">
        <f>IF(OR(F486="SALE",F486="REFUNDED")=TRUE,iferror(Vlookup(I486,'Listing SKU - Fill SKU Mapping'!A:D,4,false),"Map"),"")</f>
        <v>32.74</v>
      </c>
      <c r="BZ486" s="66">
        <f t="shared" si="1"/>
        <v>11.5</v>
      </c>
      <c r="CA486" s="66">
        <f t="shared" si="2"/>
        <v>44.24</v>
      </c>
      <c r="CB486" s="66">
        <f t="shared" si="3"/>
        <v>34.79</v>
      </c>
      <c r="CC486" s="64" t="str">
        <f>if(F486="REFUNDED",iferror(Vlookup(I486,'Listing SKU - Fill SKU Mapping'!A:B,2,false),"Map"),"")</f>
        <v/>
      </c>
      <c r="CD486" s="64" t="str">
        <f>if(F486="REFUNDED",iferror(Vlookup(I486,'Listing SKU - Fill SKU Mapping'!A:C,3,false),"Map"),"")</f>
        <v/>
      </c>
      <c r="CE486" s="64" t="str">
        <f t="shared" si="4"/>
        <v>2025</v>
      </c>
      <c r="CF486" s="64" t="str">
        <f t="shared" si="5"/>
        <v>November</v>
      </c>
      <c r="CG486" s="64" t="str">
        <f t="shared" si="6"/>
        <v/>
      </c>
    </row>
    <row r="487">
      <c r="A487" s="55">
        <v>2.0001E14</v>
      </c>
      <c r="B487" s="56">
        <v>1.0</v>
      </c>
      <c r="C487" s="57">
        <v>1.2903E14</v>
      </c>
      <c r="D487" s="58">
        <v>1.0</v>
      </c>
      <c r="F487" s="59" t="s">
        <v>100</v>
      </c>
      <c r="G487" s="60">
        <v>45971.0</v>
      </c>
      <c r="H487" s="58">
        <v>1.0</v>
      </c>
      <c r="I487" s="58" t="s">
        <v>416</v>
      </c>
      <c r="J487" s="61">
        <v>4.67129941926E11</v>
      </c>
      <c r="K487" s="62" t="s">
        <v>669</v>
      </c>
      <c r="L487" s="62">
        <v>2038710.0</v>
      </c>
      <c r="M487" s="63"/>
      <c r="N487" s="63"/>
      <c r="O487" s="62" t="s">
        <v>211</v>
      </c>
      <c r="P487" s="63"/>
      <c r="Q487" s="63"/>
      <c r="R487" s="62" t="s">
        <v>700</v>
      </c>
      <c r="S487" s="62">
        <v>35214.0</v>
      </c>
      <c r="T487" s="58" t="s">
        <v>105</v>
      </c>
      <c r="U487" s="59">
        <v>108.97</v>
      </c>
      <c r="V487" s="59">
        <v>106.0</v>
      </c>
      <c r="W487" s="58">
        <v>7.98</v>
      </c>
      <c r="X487" s="58">
        <v>7.0</v>
      </c>
      <c r="Y487" s="58">
        <v>10.0</v>
      </c>
      <c r="Z487" s="59">
        <v>100.9</v>
      </c>
      <c r="AA487" s="58">
        <v>0.0</v>
      </c>
      <c r="AB487" s="58">
        <v>0.0</v>
      </c>
      <c r="AC487" s="58">
        <v>0.0</v>
      </c>
      <c r="AD487" s="58">
        <v>0.0</v>
      </c>
      <c r="AE487" s="58">
        <v>0.0</v>
      </c>
      <c r="AF487" s="58">
        <v>0.0</v>
      </c>
      <c r="AG487" s="58">
        <v>0.0</v>
      </c>
      <c r="AH487" s="58">
        <v>0.0</v>
      </c>
      <c r="AI487" s="58">
        <v>0.0</v>
      </c>
      <c r="AJ487" s="58">
        <v>0.0</v>
      </c>
      <c r="AK487" s="58">
        <v>0.0</v>
      </c>
      <c r="AL487" s="58">
        <v>0.0</v>
      </c>
      <c r="AM487" s="58">
        <v>0.0</v>
      </c>
      <c r="AN487" s="58">
        <v>0.0</v>
      </c>
      <c r="AO487" s="58">
        <v>0.0</v>
      </c>
      <c r="AP487" s="58">
        <v>8.07</v>
      </c>
      <c r="AQ487" s="58">
        <v>0.0</v>
      </c>
      <c r="AR487" s="58">
        <v>0.0</v>
      </c>
      <c r="AS487" s="58">
        <v>0.0</v>
      </c>
      <c r="AT487" s="58">
        <v>0.0</v>
      </c>
      <c r="AU487" s="58">
        <v>0.0</v>
      </c>
      <c r="AV487" s="58">
        <v>0.0</v>
      </c>
      <c r="AW487" s="58">
        <v>0.0</v>
      </c>
      <c r="AX487" s="58">
        <v>0.0</v>
      </c>
      <c r="AY487" s="58">
        <v>0.0</v>
      </c>
      <c r="AZ487" s="58">
        <v>0.0</v>
      </c>
      <c r="BA487" s="58">
        <v>0.0</v>
      </c>
      <c r="BB487" s="58">
        <v>8.07</v>
      </c>
      <c r="BC487" s="58" t="s">
        <v>106</v>
      </c>
      <c r="BF487" s="58">
        <v>113.98</v>
      </c>
      <c r="BG487" s="58">
        <v>-11.4</v>
      </c>
      <c r="BH487" s="58" t="s">
        <v>107</v>
      </c>
      <c r="BI487" s="58" t="s">
        <v>108</v>
      </c>
      <c r="BJ487" s="58" t="s">
        <v>109</v>
      </c>
      <c r="BK487" s="58" t="s">
        <v>614</v>
      </c>
      <c r="BN487" s="58" t="s">
        <v>111</v>
      </c>
      <c r="BO487" s="58" t="s">
        <v>112</v>
      </c>
      <c r="BP487" s="58" t="s">
        <v>113</v>
      </c>
      <c r="BQ487" s="58" t="s">
        <v>317</v>
      </c>
      <c r="BR487" s="58">
        <v>3.42</v>
      </c>
      <c r="BT487" s="58">
        <v>-13.08</v>
      </c>
      <c r="BU487" s="73" t="s">
        <v>318</v>
      </c>
      <c r="BV487" s="73"/>
      <c r="BW487" s="64" t="str">
        <f>if(OR(F487="SALE",F487="REFUNDED"),IFERROR(Vlookup(I487,'Listing SKU - Fill SKU Mapping'!A:C,3,false),"Map"),"")</f>
        <v>Keystone</v>
      </c>
      <c r="BX487" s="64" t="str">
        <f>IF(OR(F487="SALE",F487="REFUNDED")=TRUE,iferror(Vlookup(I487,'Listing SKU - Fill SKU Mapping'!A:B,2,false),"Map"),"")</f>
        <v>47218C</v>
      </c>
      <c r="BY487" s="64">
        <f>IF(OR(F487="SALE",F487="REFUNDED")=TRUE,iferror(Vlookup(I487,'Listing SKU - Fill SKU Mapping'!A:D,4,false),"Map"),"")</f>
        <v>50.89</v>
      </c>
      <c r="BZ487" s="66">
        <f t="shared" si="1"/>
        <v>11.5</v>
      </c>
      <c r="CA487" s="66">
        <f t="shared" si="2"/>
        <v>62.39</v>
      </c>
      <c r="CB487" s="66">
        <f t="shared" si="3"/>
        <v>43.61</v>
      </c>
      <c r="CC487" s="64" t="str">
        <f>if(F487="REFUNDED",iferror(Vlookup(I487,'Listing SKU - Fill SKU Mapping'!A:B,2,false),"Map"),"")</f>
        <v/>
      </c>
      <c r="CD487" s="64" t="str">
        <f>if(F487="REFUNDED",iferror(Vlookup(I487,'Listing SKU - Fill SKU Mapping'!A:C,3,false),"Map"),"")</f>
        <v/>
      </c>
      <c r="CE487" s="64" t="str">
        <f t="shared" si="4"/>
        <v>2025</v>
      </c>
      <c r="CF487" s="64" t="str">
        <f t="shared" si="5"/>
        <v>November</v>
      </c>
      <c r="CG487" s="64" t="str">
        <f t="shared" si="6"/>
        <v/>
      </c>
    </row>
    <row r="488">
      <c r="A488" s="55">
        <v>2.0001E14</v>
      </c>
      <c r="B488" s="56">
        <v>1.0</v>
      </c>
      <c r="C488" s="57">
        <v>1.2903E14</v>
      </c>
      <c r="D488" s="58">
        <v>1.0</v>
      </c>
      <c r="F488" s="59" t="s">
        <v>100</v>
      </c>
      <c r="G488" s="60">
        <v>45964.0</v>
      </c>
      <c r="H488" s="58">
        <v>1.0</v>
      </c>
      <c r="I488" s="58" t="s">
        <v>324</v>
      </c>
      <c r="J488" s="61">
        <v>4.67620062434E11</v>
      </c>
      <c r="K488" s="62" t="s">
        <v>652</v>
      </c>
      <c r="L488" s="62">
        <v>2038710.0</v>
      </c>
      <c r="M488" s="63"/>
      <c r="N488" s="63"/>
      <c r="O488" s="62" t="s">
        <v>117</v>
      </c>
      <c r="P488" s="63"/>
      <c r="Q488" s="63"/>
      <c r="R488" s="62" t="s">
        <v>701</v>
      </c>
      <c r="S488" s="62">
        <v>21911.0</v>
      </c>
      <c r="T488" s="58" t="s">
        <v>105</v>
      </c>
      <c r="U488" s="59">
        <v>40.27</v>
      </c>
      <c r="V488" s="59">
        <v>35.33</v>
      </c>
      <c r="W488" s="58">
        <v>2.66</v>
      </c>
      <c r="X488" s="58">
        <v>7.0</v>
      </c>
      <c r="Y488" s="58">
        <v>10.0</v>
      </c>
      <c r="Z488" s="59">
        <v>37.99</v>
      </c>
      <c r="AA488" s="58">
        <v>0.0</v>
      </c>
      <c r="AB488" s="58">
        <v>0.0</v>
      </c>
      <c r="AC488" s="58">
        <v>0.0</v>
      </c>
      <c r="AD488" s="58">
        <v>0.0</v>
      </c>
      <c r="AE488" s="58">
        <v>0.0</v>
      </c>
      <c r="AF488" s="58">
        <v>0.0</v>
      </c>
      <c r="AG488" s="58">
        <v>0.0</v>
      </c>
      <c r="AH488" s="58">
        <v>0.0</v>
      </c>
      <c r="AI488" s="58">
        <v>0.0</v>
      </c>
      <c r="AJ488" s="58">
        <v>0.0</v>
      </c>
      <c r="AK488" s="58">
        <v>0.0</v>
      </c>
      <c r="AL488" s="58">
        <v>0.0</v>
      </c>
      <c r="AM488" s="58">
        <v>0.0</v>
      </c>
      <c r="AN488" s="58">
        <v>0.0</v>
      </c>
      <c r="AO488" s="58">
        <v>0.0</v>
      </c>
      <c r="AP488" s="58">
        <v>2.28</v>
      </c>
      <c r="AQ488" s="58">
        <v>0.0</v>
      </c>
      <c r="AR488" s="58">
        <v>0.0</v>
      </c>
      <c r="AS488" s="58">
        <v>0.0</v>
      </c>
      <c r="AT488" s="58">
        <v>0.0</v>
      </c>
      <c r="AU488" s="58">
        <v>0.0</v>
      </c>
      <c r="AV488" s="58">
        <v>0.0</v>
      </c>
      <c r="AW488" s="58">
        <v>0.0</v>
      </c>
      <c r="AX488" s="58">
        <v>0.0</v>
      </c>
      <c r="AY488" s="58">
        <v>0.0</v>
      </c>
      <c r="AZ488" s="58">
        <v>0.0</v>
      </c>
      <c r="BA488" s="58">
        <v>0.0</v>
      </c>
      <c r="BB488" s="58">
        <v>2.28</v>
      </c>
      <c r="BC488" s="58" t="s">
        <v>106</v>
      </c>
      <c r="BG488" s="58">
        <v>-3.8</v>
      </c>
      <c r="BH488" s="58" t="s">
        <v>107</v>
      </c>
      <c r="BI488" s="58" t="s">
        <v>108</v>
      </c>
      <c r="BJ488" s="58" t="s">
        <v>325</v>
      </c>
      <c r="BK488" s="58" t="s">
        <v>551</v>
      </c>
      <c r="BN488" s="58" t="s">
        <v>111</v>
      </c>
      <c r="BO488" s="58" t="s">
        <v>112</v>
      </c>
      <c r="BP488" s="58" t="s">
        <v>113</v>
      </c>
      <c r="BQ488" s="58" t="s">
        <v>114</v>
      </c>
      <c r="BR488" s="58">
        <v>1.14</v>
      </c>
      <c r="BU488" s="72"/>
      <c r="BV488" s="72"/>
      <c r="BW488" s="64" t="str">
        <f>if(OR(F488="SALE",F488="REFUNDED"),IFERROR(Vlookup(I488,'Listing SKU - Fill SKU Mapping'!A:C,3,false),"Map"),"")</f>
        <v>Keystone</v>
      </c>
      <c r="BX488" s="64" t="str">
        <f>IF(OR(F488="SALE",F488="REFUNDED")=TRUE,iferror(Vlookup(I488,'Listing SKU - Fill SKU Mapping'!A:B,2,false),"Map"),"")</f>
        <v>1515TP</v>
      </c>
      <c r="BY488" s="64">
        <f>IF(OR(F488="SALE",F488="REFUNDED")=TRUE,iferror(Vlookup(I488,'Listing SKU - Fill SKU Mapping'!A:D,4,false),"Map"),"")</f>
        <v>14.99</v>
      </c>
      <c r="BZ488" s="66">
        <f t="shared" si="1"/>
        <v>11.5</v>
      </c>
      <c r="CA488" s="66">
        <f t="shared" si="2"/>
        <v>26.49</v>
      </c>
      <c r="CB488" s="66">
        <f t="shared" si="3"/>
        <v>8.84</v>
      </c>
      <c r="CC488" s="64" t="str">
        <f>if(F488="REFUNDED",iferror(Vlookup(I488,'Listing SKU - Fill SKU Mapping'!A:B,2,false),"Map"),"")</f>
        <v/>
      </c>
      <c r="CD488" s="64" t="str">
        <f>if(F488="REFUNDED",iferror(Vlookup(I488,'Listing SKU - Fill SKU Mapping'!A:C,3,false),"Map"),"")</f>
        <v/>
      </c>
      <c r="CE488" s="64" t="str">
        <f t="shared" si="4"/>
        <v>2025</v>
      </c>
      <c r="CF488" s="64" t="str">
        <f t="shared" si="5"/>
        <v>November</v>
      </c>
      <c r="CG488" s="64" t="str">
        <f t="shared" si="6"/>
        <v/>
      </c>
    </row>
    <row r="489">
      <c r="A489" s="55">
        <v>2.0001E14</v>
      </c>
      <c r="B489" s="56">
        <v>1.0</v>
      </c>
      <c r="C489" s="57">
        <v>1.2903E14</v>
      </c>
      <c r="D489" s="58">
        <v>1.0</v>
      </c>
      <c r="F489" s="59" t="s">
        <v>100</v>
      </c>
      <c r="G489" s="60">
        <v>45964.0</v>
      </c>
      <c r="H489" s="58">
        <v>1.0</v>
      </c>
      <c r="I489" s="58" t="s">
        <v>342</v>
      </c>
      <c r="J489" s="61">
        <v>4.67129958634E11</v>
      </c>
      <c r="K489" s="62" t="s">
        <v>469</v>
      </c>
      <c r="L489" s="62">
        <v>2038710.0</v>
      </c>
      <c r="M489" s="63"/>
      <c r="N489" s="63"/>
      <c r="O489" s="62" t="s">
        <v>457</v>
      </c>
      <c r="P489" s="63"/>
      <c r="Q489" s="63"/>
      <c r="R489" s="62" t="s">
        <v>702</v>
      </c>
      <c r="S489" s="62">
        <v>40019.0</v>
      </c>
      <c r="T489" s="58" t="s">
        <v>105</v>
      </c>
      <c r="U489" s="59">
        <v>91.14</v>
      </c>
      <c r="V489" s="59">
        <v>79.96</v>
      </c>
      <c r="W489" s="58">
        <v>6.02</v>
      </c>
      <c r="X489" s="58">
        <v>7.0</v>
      </c>
      <c r="Y489" s="58">
        <v>10.0</v>
      </c>
      <c r="Z489" s="59">
        <v>85.98</v>
      </c>
      <c r="AA489" s="58">
        <v>0.0</v>
      </c>
      <c r="AB489" s="58">
        <v>0.0</v>
      </c>
      <c r="AC489" s="58">
        <v>0.0</v>
      </c>
      <c r="AD489" s="58">
        <v>0.0</v>
      </c>
      <c r="AE489" s="58">
        <v>0.0</v>
      </c>
      <c r="AF489" s="58">
        <v>0.0</v>
      </c>
      <c r="AG489" s="58">
        <v>0.0</v>
      </c>
      <c r="AH489" s="58">
        <v>0.0</v>
      </c>
      <c r="AI489" s="58">
        <v>0.0</v>
      </c>
      <c r="AJ489" s="58">
        <v>0.0</v>
      </c>
      <c r="AK489" s="58">
        <v>0.0</v>
      </c>
      <c r="AL489" s="58">
        <v>0.0</v>
      </c>
      <c r="AM489" s="58">
        <v>0.0</v>
      </c>
      <c r="AN489" s="58">
        <v>0.0</v>
      </c>
      <c r="AO489" s="58">
        <v>0.0</v>
      </c>
      <c r="AP489" s="58">
        <v>5.16</v>
      </c>
      <c r="AQ489" s="58">
        <v>0.0</v>
      </c>
      <c r="AR489" s="58">
        <v>0.0</v>
      </c>
      <c r="AS489" s="58">
        <v>0.0</v>
      </c>
      <c r="AT489" s="58">
        <v>0.0</v>
      </c>
      <c r="AU489" s="58">
        <v>0.0</v>
      </c>
      <c r="AV489" s="58">
        <v>0.0</v>
      </c>
      <c r="AW489" s="58">
        <v>0.0</v>
      </c>
      <c r="AX489" s="58">
        <v>0.0</v>
      </c>
      <c r="AY489" s="58">
        <v>0.0</v>
      </c>
      <c r="AZ489" s="58">
        <v>0.0</v>
      </c>
      <c r="BA489" s="58">
        <v>0.0</v>
      </c>
      <c r="BB489" s="58">
        <v>5.16</v>
      </c>
      <c r="BC489" s="58" t="s">
        <v>106</v>
      </c>
      <c r="BG489" s="58">
        <v>-8.6</v>
      </c>
      <c r="BH489" s="58" t="s">
        <v>107</v>
      </c>
      <c r="BI489" s="58" t="s">
        <v>108</v>
      </c>
      <c r="BJ489" s="58" t="s">
        <v>109</v>
      </c>
      <c r="BK489" s="58" t="s">
        <v>679</v>
      </c>
      <c r="BN489" s="58" t="s">
        <v>111</v>
      </c>
      <c r="BO489" s="58" t="s">
        <v>112</v>
      </c>
      <c r="BP489" s="58" t="s">
        <v>113</v>
      </c>
      <c r="BQ489" s="58" t="s">
        <v>680</v>
      </c>
      <c r="BR489" s="58">
        <v>2.58</v>
      </c>
      <c r="BU489" s="72"/>
      <c r="BV489" s="72"/>
      <c r="BW489" s="64" t="str">
        <f>if(OR(F489="SALE",F489="REFUNDED"),IFERROR(Vlookup(I489,'Listing SKU - Fill SKU Mapping'!A:C,3,false),"Map"),"")</f>
        <v>Keystone</v>
      </c>
      <c r="BX489" s="64" t="str">
        <f>IF(OR(F489="SALE",F489="REFUNDED")=TRUE,iferror(Vlookup(I489,'Listing SKU - Fill SKU Mapping'!A:B,2,false),"Map"),"")</f>
        <v>47016S</v>
      </c>
      <c r="BY489" s="64">
        <f>IF(OR(F489="SALE",F489="REFUNDED")=TRUE,iferror(Vlookup(I489,'Listing SKU - Fill SKU Mapping'!A:D,4,false),"Map"),"")</f>
        <v>33.53</v>
      </c>
      <c r="BZ489" s="66">
        <f t="shared" si="1"/>
        <v>11.5</v>
      </c>
      <c r="CA489" s="66">
        <f t="shared" si="2"/>
        <v>45.03</v>
      </c>
      <c r="CB489" s="66">
        <f t="shared" si="3"/>
        <v>34.93</v>
      </c>
      <c r="CC489" s="64" t="str">
        <f>if(F489="REFUNDED",iferror(Vlookup(I489,'Listing SKU - Fill SKU Mapping'!A:B,2,false),"Map"),"")</f>
        <v/>
      </c>
      <c r="CD489" s="64" t="str">
        <f>if(F489="REFUNDED",iferror(Vlookup(I489,'Listing SKU - Fill SKU Mapping'!A:C,3,false),"Map"),"")</f>
        <v/>
      </c>
      <c r="CE489" s="64" t="str">
        <f t="shared" si="4"/>
        <v>2025</v>
      </c>
      <c r="CF489" s="64" t="str">
        <f t="shared" si="5"/>
        <v>November</v>
      </c>
      <c r="CG489" s="64" t="str">
        <f t="shared" si="6"/>
        <v/>
      </c>
    </row>
    <row r="490">
      <c r="A490" s="55">
        <v>2.0001E14</v>
      </c>
      <c r="B490" s="56">
        <v>1.0</v>
      </c>
      <c r="C490" s="57">
        <v>1.2903E14</v>
      </c>
      <c r="D490" s="58">
        <v>1.0</v>
      </c>
      <c r="F490" s="59" t="s">
        <v>128</v>
      </c>
      <c r="G490" s="60">
        <v>45969.0</v>
      </c>
      <c r="H490" s="58">
        <v>1.0</v>
      </c>
      <c r="I490" s="58" t="s">
        <v>342</v>
      </c>
      <c r="J490" s="61">
        <v>4.67129958634E11</v>
      </c>
      <c r="K490" s="62" t="s">
        <v>469</v>
      </c>
      <c r="L490" s="62">
        <v>2038710.0</v>
      </c>
      <c r="M490" s="63"/>
      <c r="N490" s="63"/>
      <c r="O490" s="63"/>
      <c r="P490" s="63"/>
      <c r="Q490" s="63"/>
      <c r="R490" s="62" t="s">
        <v>702</v>
      </c>
      <c r="S490" s="62">
        <v>40019.0</v>
      </c>
      <c r="U490" s="59">
        <v>-91.14</v>
      </c>
      <c r="V490" s="59">
        <v>-79.96</v>
      </c>
      <c r="W490" s="58">
        <v>-6.02</v>
      </c>
      <c r="X490" s="58">
        <v>0.0</v>
      </c>
      <c r="Y490" s="58">
        <v>0.0</v>
      </c>
      <c r="Z490" s="59">
        <v>0.0</v>
      </c>
      <c r="AA490" s="58">
        <v>-85.98</v>
      </c>
      <c r="AB490" s="58">
        <v>0.0</v>
      </c>
      <c r="AC490" s="58">
        <v>0.0</v>
      </c>
      <c r="AD490" s="58">
        <v>0.0</v>
      </c>
      <c r="AE490" s="58">
        <v>0.0</v>
      </c>
      <c r="AF490" s="58">
        <v>0.0</v>
      </c>
      <c r="AG490" s="58">
        <v>0.0</v>
      </c>
      <c r="AH490" s="58">
        <v>0.0</v>
      </c>
      <c r="AI490" s="58">
        <v>0.0</v>
      </c>
      <c r="AJ490" s="58">
        <v>0.0</v>
      </c>
      <c r="AK490" s="58">
        <v>0.0</v>
      </c>
      <c r="AL490" s="58">
        <v>0.0</v>
      </c>
      <c r="AM490" s="58">
        <v>0.0</v>
      </c>
      <c r="AN490" s="58">
        <v>0.0</v>
      </c>
      <c r="AO490" s="58">
        <v>0.0</v>
      </c>
      <c r="AP490" s="58">
        <v>0.0</v>
      </c>
      <c r="AQ490" s="58">
        <v>0.0</v>
      </c>
      <c r="AR490" s="58">
        <v>0.0</v>
      </c>
      <c r="AS490" s="58">
        <v>0.0</v>
      </c>
      <c r="AT490" s="58">
        <v>0.0</v>
      </c>
      <c r="AU490" s="58">
        <v>-5.16</v>
      </c>
      <c r="AV490" s="58">
        <v>0.0</v>
      </c>
      <c r="AW490" s="58">
        <v>0.0</v>
      </c>
      <c r="AX490" s="58">
        <v>0.0</v>
      </c>
      <c r="AY490" s="58">
        <v>0.0</v>
      </c>
      <c r="AZ490" s="58">
        <v>0.0</v>
      </c>
      <c r="BA490" s="58">
        <v>0.0</v>
      </c>
      <c r="BB490" s="58">
        <v>-5.16</v>
      </c>
      <c r="BC490" s="58" t="s">
        <v>106</v>
      </c>
      <c r="BD490" s="58" t="s">
        <v>156</v>
      </c>
      <c r="BE490" s="58">
        <v>5010.0</v>
      </c>
      <c r="BH490" s="58" t="s">
        <v>107</v>
      </c>
      <c r="BI490" s="58" t="s">
        <v>108</v>
      </c>
      <c r="BL490" s="58">
        <v>1018.0</v>
      </c>
      <c r="BM490" s="58" t="s">
        <v>157</v>
      </c>
      <c r="BN490" s="58" t="s">
        <v>111</v>
      </c>
      <c r="BO490" s="58" t="s">
        <v>112</v>
      </c>
      <c r="BU490" s="72"/>
      <c r="BV490" s="72"/>
      <c r="BW490" s="64" t="str">
        <f>if(OR(F490="SALE",F490="REFUNDED"),IFERROR(Vlookup(I490,'Listing SKU - Fill SKU Mapping'!A:C,3,false),"Map"),"")</f>
        <v>Keystone</v>
      </c>
      <c r="BX490" s="64" t="str">
        <f>IF(OR(F490="SALE",F490="REFUNDED")=TRUE,iferror(Vlookup(I490,'Listing SKU - Fill SKU Mapping'!A:B,2,false),"Map"),"")</f>
        <v>47016S</v>
      </c>
      <c r="BY490" s="64">
        <f>IF(OR(F490="SALE",F490="REFUNDED")=TRUE,iferror(Vlookup(I490,'Listing SKU - Fill SKU Mapping'!A:D,4,false),"Map"),"")</f>
        <v>33.53</v>
      </c>
      <c r="BZ490" s="66">
        <f t="shared" si="1"/>
        <v>11.5</v>
      </c>
      <c r="CA490" s="66">
        <f t="shared" si="2"/>
        <v>45.03</v>
      </c>
      <c r="CB490" s="64" t="str">
        <f t="shared" si="3"/>
        <v/>
      </c>
      <c r="CC490" s="64" t="str">
        <f>if(F490="REFUNDED",iferror(Vlookup(I490,'Listing SKU - Fill SKU Mapping'!A:B,2,false),"Map"),"")</f>
        <v>47016S</v>
      </c>
      <c r="CD490" s="64" t="str">
        <f>if(F490="REFUNDED",iferror(Vlookup(I490,'Listing SKU - Fill SKU Mapping'!A:C,3,false),"Map"),"")</f>
        <v>Keystone</v>
      </c>
      <c r="CE490" s="64" t="str">
        <f t="shared" si="4"/>
        <v>2025</v>
      </c>
      <c r="CF490" s="64" t="str">
        <f t="shared" si="5"/>
        <v>November</v>
      </c>
      <c r="CG490" s="64" t="str">
        <f t="shared" si="6"/>
        <v/>
      </c>
    </row>
    <row r="491">
      <c r="A491" s="55">
        <v>2.0001E14</v>
      </c>
      <c r="B491" s="56">
        <v>1.0</v>
      </c>
      <c r="C491" s="57">
        <v>1.2903E14</v>
      </c>
      <c r="D491" s="58">
        <v>1.0</v>
      </c>
      <c r="F491" s="59" t="s">
        <v>100</v>
      </c>
      <c r="G491" s="60">
        <v>45964.0</v>
      </c>
      <c r="H491" s="58">
        <v>1.0</v>
      </c>
      <c r="I491" s="58" t="s">
        <v>703</v>
      </c>
      <c r="J491" s="61">
        <v>4.60776231112E11</v>
      </c>
      <c r="K491" s="62" t="s">
        <v>704</v>
      </c>
      <c r="L491" s="62">
        <v>2038710.0</v>
      </c>
      <c r="M491" s="63"/>
      <c r="N491" s="63"/>
      <c r="O491" s="62" t="s">
        <v>170</v>
      </c>
      <c r="P491" s="63"/>
      <c r="Q491" s="63"/>
      <c r="R491" s="62" t="s">
        <v>705</v>
      </c>
      <c r="S491" s="62">
        <v>47630.0</v>
      </c>
      <c r="T491" s="58" t="s">
        <v>105</v>
      </c>
      <c r="U491" s="59">
        <v>103.77</v>
      </c>
      <c r="V491" s="59">
        <v>90.19</v>
      </c>
      <c r="W491" s="58">
        <v>6.79</v>
      </c>
      <c r="X491" s="58">
        <v>7.0</v>
      </c>
      <c r="Y491" s="58">
        <v>10.0</v>
      </c>
      <c r="Z491" s="59">
        <v>96.98</v>
      </c>
      <c r="AA491" s="58">
        <v>0.0</v>
      </c>
      <c r="AB491" s="58">
        <v>0.0</v>
      </c>
      <c r="AC491" s="58">
        <v>0.0</v>
      </c>
      <c r="AD491" s="58">
        <v>0.0</v>
      </c>
      <c r="AE491" s="58">
        <v>0.0</v>
      </c>
      <c r="AF491" s="58">
        <v>0.0</v>
      </c>
      <c r="AG491" s="58">
        <v>0.0</v>
      </c>
      <c r="AH491" s="58">
        <v>0.0</v>
      </c>
      <c r="AI491" s="58">
        <v>0.0</v>
      </c>
      <c r="AJ491" s="58">
        <v>0.0</v>
      </c>
      <c r="AK491" s="58">
        <v>0.0</v>
      </c>
      <c r="AL491" s="58">
        <v>0.0</v>
      </c>
      <c r="AM491" s="58">
        <v>0.0</v>
      </c>
      <c r="AN491" s="58">
        <v>0.0</v>
      </c>
      <c r="AO491" s="58">
        <v>0.0</v>
      </c>
      <c r="AP491" s="58">
        <v>6.79</v>
      </c>
      <c r="AQ491" s="58">
        <v>0.0</v>
      </c>
      <c r="AR491" s="58">
        <v>0.0</v>
      </c>
      <c r="AS491" s="58">
        <v>0.0</v>
      </c>
      <c r="AT491" s="58">
        <v>0.0</v>
      </c>
      <c r="AU491" s="58">
        <v>0.0</v>
      </c>
      <c r="AV491" s="58">
        <v>0.0</v>
      </c>
      <c r="AW491" s="58">
        <v>0.0</v>
      </c>
      <c r="AX491" s="58">
        <v>0.0</v>
      </c>
      <c r="AY491" s="58">
        <v>0.0</v>
      </c>
      <c r="AZ491" s="58">
        <v>0.0</v>
      </c>
      <c r="BA491" s="58">
        <v>0.0</v>
      </c>
      <c r="BB491" s="58">
        <v>6.79</v>
      </c>
      <c r="BC491" s="58" t="s">
        <v>106</v>
      </c>
      <c r="BG491" s="58">
        <v>-9.7</v>
      </c>
      <c r="BH491" s="58" t="s">
        <v>107</v>
      </c>
      <c r="BI491" s="58" t="s">
        <v>108</v>
      </c>
      <c r="BJ491" s="58" t="s">
        <v>109</v>
      </c>
      <c r="BK491" s="58" t="s">
        <v>551</v>
      </c>
      <c r="BN491" s="58" t="s">
        <v>111</v>
      </c>
      <c r="BO491" s="58" t="s">
        <v>112</v>
      </c>
      <c r="BP491" s="58" t="s">
        <v>113</v>
      </c>
      <c r="BQ491" s="58" t="s">
        <v>114</v>
      </c>
      <c r="BR491" s="58">
        <v>2.91</v>
      </c>
      <c r="BU491" s="72"/>
      <c r="BV491" s="72"/>
      <c r="BW491" s="64" t="str">
        <f>if(OR(F491="SALE",F491="REFUNDED"),IFERROR(Vlookup(I491,'Listing SKU - Fill SKU Mapping'!A:C,3,false),"Map"),"")</f>
        <v>Keystone</v>
      </c>
      <c r="BX491" s="64" t="str">
        <f>IF(OR(F491="SALE",F491="REFUNDED")=TRUE,iferror(Vlookup(I491,'Listing SKU - Fill SKU Mapping'!A:B,2,false),"Map"),"")</f>
        <v>IMP345XN</v>
      </c>
      <c r="BY491" s="64">
        <f>IF(OR(F491="SALE",F491="REFUNDED")=TRUE,iferror(Vlookup(I491,'Listing SKU - Fill SKU Mapping'!A:D,4,false),"Map"),"")</f>
        <v>42.6</v>
      </c>
      <c r="BZ491" s="66">
        <f t="shared" si="1"/>
        <v>11.5</v>
      </c>
      <c r="CA491" s="66">
        <f t="shared" si="2"/>
        <v>54.1</v>
      </c>
      <c r="CB491" s="66">
        <f t="shared" si="3"/>
        <v>36.09</v>
      </c>
      <c r="CC491" s="64" t="str">
        <f>if(F491="REFUNDED",iferror(Vlookup(I491,'Listing SKU - Fill SKU Mapping'!A:B,2,false),"Map"),"")</f>
        <v/>
      </c>
      <c r="CD491" s="64" t="str">
        <f>if(F491="REFUNDED",iferror(Vlookup(I491,'Listing SKU - Fill SKU Mapping'!A:C,3,false),"Map"),"")</f>
        <v/>
      </c>
      <c r="CE491" s="64" t="str">
        <f t="shared" si="4"/>
        <v>2025</v>
      </c>
      <c r="CF491" s="64" t="str">
        <f t="shared" si="5"/>
        <v>November</v>
      </c>
      <c r="CG491" s="64" t="str">
        <f t="shared" si="6"/>
        <v/>
      </c>
    </row>
    <row r="492">
      <c r="A492" s="55">
        <v>2.0001E14</v>
      </c>
      <c r="B492" s="56">
        <v>1.0</v>
      </c>
      <c r="C492" s="57">
        <v>1.2903E14</v>
      </c>
      <c r="D492" s="58">
        <v>1.0</v>
      </c>
      <c r="F492" s="59" t="s">
        <v>158</v>
      </c>
      <c r="G492" s="60">
        <v>45970.0</v>
      </c>
      <c r="H492" s="58">
        <v>1.0</v>
      </c>
      <c r="I492" s="58" t="s">
        <v>445</v>
      </c>
      <c r="J492" s="61">
        <v>4.60776241074E11</v>
      </c>
      <c r="K492" s="62" t="s">
        <v>522</v>
      </c>
      <c r="L492" s="62">
        <v>2038710.0</v>
      </c>
      <c r="M492" s="63"/>
      <c r="N492" s="63"/>
      <c r="O492" s="62" t="s">
        <v>192</v>
      </c>
      <c r="P492" s="63"/>
      <c r="Q492" s="63"/>
      <c r="R492" s="62" t="s">
        <v>523</v>
      </c>
      <c r="S492" s="62">
        <v>53115.0</v>
      </c>
      <c r="T492" s="58" t="s">
        <v>105</v>
      </c>
      <c r="U492" s="59">
        <v>0.0</v>
      </c>
      <c r="V492" s="59">
        <v>-8.89</v>
      </c>
      <c r="W492" s="58">
        <v>0.0</v>
      </c>
      <c r="X492" s="58">
        <v>0.0</v>
      </c>
      <c r="Z492" s="59">
        <v>0.0</v>
      </c>
      <c r="AA492" s="58">
        <v>0.0</v>
      </c>
      <c r="AB492" s="58">
        <v>0.0</v>
      </c>
      <c r="AC492" s="58">
        <v>0.0</v>
      </c>
      <c r="AD492" s="58">
        <v>0.0</v>
      </c>
      <c r="AE492" s="58">
        <v>0.0</v>
      </c>
      <c r="AF492" s="58">
        <v>0.0</v>
      </c>
      <c r="AG492" s="58">
        <v>0.0</v>
      </c>
      <c r="AH492" s="58">
        <v>0.0</v>
      </c>
      <c r="AI492" s="58">
        <v>0.0</v>
      </c>
      <c r="AJ492" s="58">
        <v>0.0</v>
      </c>
      <c r="AK492" s="58">
        <v>0.0</v>
      </c>
      <c r="AL492" s="58">
        <v>0.0</v>
      </c>
      <c r="AM492" s="58">
        <v>0.0</v>
      </c>
      <c r="AN492" s="58">
        <v>0.0</v>
      </c>
      <c r="AO492" s="58">
        <v>0.0</v>
      </c>
      <c r="AP492" s="58">
        <v>0.0</v>
      </c>
      <c r="AQ492" s="58">
        <v>0.0</v>
      </c>
      <c r="AR492" s="58">
        <v>0.0</v>
      </c>
      <c r="AS492" s="58">
        <v>0.0</v>
      </c>
      <c r="AT492" s="58">
        <v>0.0</v>
      </c>
      <c r="AU492" s="58">
        <v>0.0</v>
      </c>
      <c r="AV492" s="58">
        <v>0.0</v>
      </c>
      <c r="AW492" s="58">
        <v>0.0</v>
      </c>
      <c r="AX492" s="58">
        <v>0.0</v>
      </c>
      <c r="AY492" s="58">
        <v>0.0</v>
      </c>
      <c r="AZ492" s="58">
        <v>0.0</v>
      </c>
      <c r="BA492" s="58">
        <v>0.0</v>
      </c>
      <c r="BB492" s="58">
        <v>0.0</v>
      </c>
      <c r="BC492" s="58" t="s">
        <v>106</v>
      </c>
      <c r="BD492" s="58" t="s">
        <v>163</v>
      </c>
      <c r="BE492" s="58">
        <v>5013.0</v>
      </c>
      <c r="BH492" s="58" t="s">
        <v>107</v>
      </c>
      <c r="BI492" s="58" t="s">
        <v>108</v>
      </c>
      <c r="BN492" s="58" t="s">
        <v>111</v>
      </c>
      <c r="BO492" s="58" t="s">
        <v>112</v>
      </c>
      <c r="BU492" s="72"/>
      <c r="BV492" s="72"/>
      <c r="BW492" s="64" t="str">
        <f>if(OR(F492="SALE",F492="REFUNDED"),IFERROR(Vlookup(I492,'Listing SKU - Fill SKU Mapping'!A:C,3,false),"Map"),"")</f>
        <v/>
      </c>
      <c r="BX492" s="64" t="str">
        <f>IF(OR(F492="SALE",F492="REFUNDED")=TRUE,iferror(Vlookup(I492,'Listing SKU - Fill SKU Mapping'!A:B,2,false),"Map"),"")</f>
        <v/>
      </c>
      <c r="BY492" s="64" t="str">
        <f>IF(OR(F492="SALE",F492="REFUNDED")=TRUE,iferror(Vlookup(I492,'Listing SKU - Fill SKU Mapping'!A:D,4,false),"Map"),"")</f>
        <v/>
      </c>
      <c r="BZ492" s="66" t="str">
        <f t="shared" si="1"/>
        <v/>
      </c>
      <c r="CA492" s="64" t="str">
        <f t="shared" si="2"/>
        <v/>
      </c>
      <c r="CB492" s="64" t="str">
        <f t="shared" si="3"/>
        <v/>
      </c>
      <c r="CC492" s="64" t="str">
        <f>if(F492="REFUNDED",iferror(Vlookup(I492,'Listing SKU - Fill SKU Mapping'!A:B,2,false),"Map"),"")</f>
        <v/>
      </c>
      <c r="CD492" s="64" t="str">
        <f>if(F492="REFUNDED",iferror(Vlookup(I492,'Listing SKU - Fill SKU Mapping'!A:C,3,false),"Map"),"")</f>
        <v/>
      </c>
      <c r="CE492" s="64" t="str">
        <f t="shared" si="4"/>
        <v>2025</v>
      </c>
      <c r="CF492" s="64" t="str">
        <f t="shared" si="5"/>
        <v>November</v>
      </c>
      <c r="CG492" s="64" t="str">
        <f t="shared" si="6"/>
        <v/>
      </c>
    </row>
    <row r="493">
      <c r="A493" s="74"/>
      <c r="B493" s="75"/>
      <c r="C493" s="76"/>
      <c r="F493" s="71"/>
      <c r="G493" s="77"/>
      <c r="J493" s="78"/>
      <c r="K493" s="63"/>
      <c r="L493" s="63"/>
      <c r="M493" s="63"/>
      <c r="N493" s="63"/>
      <c r="O493" s="63"/>
      <c r="P493" s="63"/>
      <c r="Q493" s="63"/>
      <c r="R493" s="63"/>
      <c r="S493" s="63"/>
      <c r="U493" s="71"/>
      <c r="V493" s="71"/>
      <c r="Z493" s="71"/>
      <c r="BW493" s="64"/>
      <c r="BX493" s="64"/>
      <c r="BY493" s="64"/>
      <c r="BZ493" s="66"/>
      <c r="CA493" s="64"/>
      <c r="CB493" s="64"/>
      <c r="CC493" s="64"/>
      <c r="CD493" s="64"/>
      <c r="CE493" s="64"/>
      <c r="CF493" s="64"/>
      <c r="CG493" s="64" t="str">
        <f t="shared" si="6"/>
        <v/>
      </c>
    </row>
    <row r="494">
      <c r="A494" s="74"/>
      <c r="B494" s="75"/>
      <c r="C494" s="76"/>
      <c r="F494" s="71"/>
      <c r="G494" s="77"/>
      <c r="J494" s="78"/>
      <c r="K494" s="63"/>
      <c r="L494" s="63"/>
      <c r="M494" s="63"/>
      <c r="N494" s="63"/>
      <c r="O494" s="63"/>
      <c r="P494" s="63"/>
      <c r="Q494" s="63"/>
      <c r="R494" s="63"/>
      <c r="S494" s="63"/>
      <c r="U494" s="71"/>
      <c r="V494" s="71"/>
      <c r="Z494" s="71"/>
      <c r="BW494" s="64"/>
      <c r="BX494" s="64"/>
      <c r="BY494" s="64"/>
      <c r="BZ494" s="66"/>
      <c r="CA494" s="64"/>
      <c r="CB494" s="64"/>
      <c r="CC494" s="64"/>
      <c r="CD494" s="64"/>
      <c r="CE494" s="64"/>
      <c r="CF494" s="64"/>
      <c r="CG494" s="64" t="str">
        <f t="shared" si="6"/>
        <v/>
      </c>
    </row>
    <row r="495">
      <c r="A495" s="74"/>
      <c r="B495" s="75"/>
      <c r="C495" s="76"/>
      <c r="F495" s="71"/>
      <c r="G495" s="77"/>
      <c r="J495" s="78"/>
      <c r="K495" s="63"/>
      <c r="L495" s="63"/>
      <c r="M495" s="63"/>
      <c r="N495" s="63"/>
      <c r="O495" s="63"/>
      <c r="P495" s="63"/>
      <c r="Q495" s="63"/>
      <c r="R495" s="63"/>
      <c r="S495" s="63"/>
      <c r="U495" s="71"/>
      <c r="V495" s="71"/>
      <c r="Z495" s="71"/>
      <c r="BW495" s="64"/>
      <c r="BX495" s="64"/>
      <c r="BY495" s="64"/>
      <c r="BZ495" s="66"/>
      <c r="CA495" s="64"/>
      <c r="CB495" s="64"/>
      <c r="CC495" s="64"/>
      <c r="CD495" s="64"/>
      <c r="CE495" s="64"/>
      <c r="CF495" s="64"/>
      <c r="CG495" s="64" t="str">
        <f t="shared" si="6"/>
        <v/>
      </c>
    </row>
    <row r="496">
      <c r="A496" s="74"/>
      <c r="B496" s="75"/>
      <c r="C496" s="76"/>
      <c r="F496" s="71"/>
      <c r="G496" s="77"/>
      <c r="J496" s="78"/>
      <c r="K496" s="63"/>
      <c r="L496" s="63"/>
      <c r="M496" s="63"/>
      <c r="N496" s="63"/>
      <c r="O496" s="63"/>
      <c r="P496" s="63"/>
      <c r="Q496" s="63"/>
      <c r="R496" s="63"/>
      <c r="S496" s="63"/>
      <c r="U496" s="71"/>
      <c r="V496" s="71"/>
      <c r="Z496" s="71"/>
      <c r="BW496" s="64"/>
      <c r="BX496" s="64"/>
      <c r="BY496" s="64"/>
      <c r="BZ496" s="66"/>
      <c r="CA496" s="64"/>
      <c r="CB496" s="64"/>
      <c r="CC496" s="64"/>
      <c r="CD496" s="64"/>
      <c r="CE496" s="64"/>
      <c r="CF496" s="64"/>
      <c r="CG496" s="64" t="str">
        <f t="shared" si="6"/>
        <v/>
      </c>
    </row>
    <row r="497">
      <c r="A497" s="74"/>
      <c r="B497" s="75"/>
      <c r="C497" s="76"/>
      <c r="F497" s="71"/>
      <c r="G497" s="77"/>
      <c r="J497" s="78"/>
      <c r="K497" s="63"/>
      <c r="L497" s="63"/>
      <c r="M497" s="63"/>
      <c r="N497" s="63"/>
      <c r="O497" s="63"/>
      <c r="P497" s="63"/>
      <c r="Q497" s="63"/>
      <c r="R497" s="63"/>
      <c r="S497" s="63"/>
      <c r="U497" s="71"/>
      <c r="V497" s="71"/>
      <c r="Z497" s="71"/>
      <c r="BW497" s="64"/>
      <c r="BX497" s="64"/>
      <c r="BY497" s="64"/>
      <c r="BZ497" s="66"/>
      <c r="CA497" s="64"/>
      <c r="CB497" s="64"/>
      <c r="CC497" s="64"/>
      <c r="CD497" s="64"/>
      <c r="CE497" s="64"/>
      <c r="CF497" s="64"/>
      <c r="CG497" s="64" t="str">
        <f t="shared" si="6"/>
        <v/>
      </c>
    </row>
    <row r="498">
      <c r="A498" s="74"/>
      <c r="B498" s="75"/>
      <c r="C498" s="76"/>
      <c r="F498" s="71"/>
      <c r="G498" s="77"/>
      <c r="J498" s="78"/>
      <c r="K498" s="63"/>
      <c r="L498" s="63"/>
      <c r="M498" s="63"/>
      <c r="N498" s="63"/>
      <c r="O498" s="63"/>
      <c r="P498" s="63"/>
      <c r="Q498" s="63"/>
      <c r="R498" s="63"/>
      <c r="S498" s="63"/>
      <c r="U498" s="71"/>
      <c r="V498" s="71"/>
      <c r="Z498" s="71"/>
      <c r="BW498" s="64"/>
      <c r="BX498" s="64"/>
      <c r="BY498" s="64"/>
      <c r="BZ498" s="66"/>
      <c r="CA498" s="64"/>
      <c r="CB498" s="64"/>
      <c r="CC498" s="64"/>
      <c r="CD498" s="64"/>
      <c r="CE498" s="64"/>
      <c r="CF498" s="64"/>
      <c r="CG498" s="64" t="str">
        <f t="shared" si="6"/>
        <v/>
      </c>
    </row>
    <row r="499">
      <c r="A499" s="74"/>
      <c r="B499" s="75"/>
      <c r="C499" s="76"/>
      <c r="F499" s="71"/>
      <c r="G499" s="77"/>
      <c r="J499" s="78"/>
      <c r="K499" s="63"/>
      <c r="L499" s="63"/>
      <c r="M499" s="63"/>
      <c r="N499" s="63"/>
      <c r="O499" s="63"/>
      <c r="P499" s="63"/>
      <c r="Q499" s="63"/>
      <c r="R499" s="63"/>
      <c r="S499" s="63"/>
      <c r="U499" s="71"/>
      <c r="V499" s="71"/>
      <c r="Z499" s="71"/>
      <c r="BW499" s="64"/>
      <c r="BX499" s="64"/>
      <c r="BY499" s="64"/>
      <c r="BZ499" s="66"/>
      <c r="CA499" s="64"/>
      <c r="CB499" s="64"/>
      <c r="CC499" s="64"/>
      <c r="CD499" s="64"/>
      <c r="CE499" s="64"/>
      <c r="CF499" s="64"/>
      <c r="CG499" s="64" t="str">
        <f t="shared" si="6"/>
        <v/>
      </c>
    </row>
    <row r="500">
      <c r="A500" s="74"/>
      <c r="B500" s="75"/>
      <c r="C500" s="76"/>
      <c r="F500" s="71"/>
      <c r="G500" s="77"/>
      <c r="J500" s="78"/>
      <c r="K500" s="63"/>
      <c r="L500" s="63"/>
      <c r="M500" s="63"/>
      <c r="N500" s="63"/>
      <c r="O500" s="63"/>
      <c r="P500" s="63"/>
      <c r="Q500" s="63"/>
      <c r="R500" s="63"/>
      <c r="S500" s="63"/>
      <c r="U500" s="71"/>
      <c r="V500" s="71"/>
      <c r="Z500" s="71"/>
      <c r="BW500" s="64"/>
      <c r="BX500" s="64"/>
      <c r="BY500" s="64"/>
      <c r="BZ500" s="66"/>
      <c r="CA500" s="64"/>
      <c r="CB500" s="64"/>
      <c r="CC500" s="64"/>
      <c r="CD500" s="64"/>
      <c r="CE500" s="64"/>
      <c r="CF500" s="64"/>
      <c r="CG500" s="64" t="str">
        <f t="shared" si="6"/>
        <v/>
      </c>
    </row>
    <row r="501">
      <c r="A501" s="74"/>
      <c r="B501" s="75"/>
      <c r="C501" s="76"/>
      <c r="F501" s="71"/>
      <c r="G501" s="77"/>
      <c r="J501" s="78"/>
      <c r="K501" s="63"/>
      <c r="L501" s="63"/>
      <c r="M501" s="63"/>
      <c r="N501" s="63"/>
      <c r="O501" s="63"/>
      <c r="P501" s="63"/>
      <c r="Q501" s="63"/>
      <c r="R501" s="63"/>
      <c r="S501" s="63"/>
      <c r="U501" s="71"/>
      <c r="V501" s="71"/>
      <c r="Z501" s="71"/>
      <c r="BW501" s="64"/>
      <c r="BX501" s="64"/>
      <c r="BY501" s="64"/>
      <c r="BZ501" s="66"/>
      <c r="CA501" s="64"/>
      <c r="CB501" s="64"/>
      <c r="CC501" s="64"/>
      <c r="CD501" s="64"/>
      <c r="CE501" s="64"/>
      <c r="CF501" s="64"/>
      <c r="CG501" s="64" t="str">
        <f t="shared" si="6"/>
        <v/>
      </c>
    </row>
    <row r="502">
      <c r="A502" s="74"/>
      <c r="B502" s="75"/>
      <c r="C502" s="76"/>
      <c r="F502" s="71"/>
      <c r="G502" s="77"/>
      <c r="J502" s="78"/>
      <c r="K502" s="63"/>
      <c r="L502" s="63"/>
      <c r="M502" s="63"/>
      <c r="N502" s="63"/>
      <c r="O502" s="63"/>
      <c r="P502" s="63"/>
      <c r="Q502" s="63"/>
      <c r="R502" s="63"/>
      <c r="S502" s="63"/>
      <c r="U502" s="71"/>
      <c r="V502" s="71"/>
      <c r="Z502" s="71"/>
      <c r="BW502" s="64"/>
      <c r="BX502" s="64"/>
      <c r="BY502" s="64"/>
      <c r="BZ502" s="66"/>
      <c r="CA502" s="64"/>
      <c r="CB502" s="64"/>
      <c r="CC502" s="64"/>
      <c r="CD502" s="64"/>
      <c r="CE502" s="64"/>
      <c r="CF502" s="64"/>
      <c r="CG502" s="64" t="str">
        <f t="shared" si="6"/>
        <v/>
      </c>
    </row>
    <row r="503">
      <c r="A503" s="74"/>
      <c r="B503" s="75"/>
      <c r="C503" s="76"/>
      <c r="F503" s="71"/>
      <c r="G503" s="77"/>
      <c r="J503" s="78"/>
      <c r="K503" s="63"/>
      <c r="L503" s="63"/>
      <c r="M503" s="63"/>
      <c r="N503" s="63"/>
      <c r="O503" s="63"/>
      <c r="P503" s="63"/>
      <c r="Q503" s="63"/>
      <c r="R503" s="63"/>
      <c r="S503" s="63"/>
      <c r="U503" s="71"/>
      <c r="V503" s="71"/>
      <c r="Z503" s="71"/>
      <c r="BW503" s="64"/>
      <c r="BX503" s="64"/>
      <c r="BY503" s="64"/>
      <c r="BZ503" s="66"/>
      <c r="CA503" s="64"/>
      <c r="CB503" s="64"/>
      <c r="CC503" s="64"/>
      <c r="CD503" s="64"/>
      <c r="CE503" s="64"/>
      <c r="CF503" s="64"/>
      <c r="CG503" s="64" t="str">
        <f t="shared" si="6"/>
        <v/>
      </c>
    </row>
    <row r="504">
      <c r="A504" s="74"/>
      <c r="B504" s="75"/>
      <c r="C504" s="76"/>
      <c r="F504" s="71"/>
      <c r="G504" s="77"/>
      <c r="J504" s="78"/>
      <c r="K504" s="63"/>
      <c r="L504" s="63"/>
      <c r="M504" s="63"/>
      <c r="N504" s="63"/>
      <c r="O504" s="63"/>
      <c r="P504" s="63"/>
      <c r="Q504" s="63"/>
      <c r="R504" s="63"/>
      <c r="S504" s="63"/>
      <c r="U504" s="71"/>
      <c r="V504" s="71"/>
      <c r="Z504" s="71"/>
      <c r="BW504" s="64"/>
      <c r="BX504" s="64"/>
      <c r="BY504" s="64"/>
      <c r="BZ504" s="66"/>
      <c r="CA504" s="64"/>
      <c r="CB504" s="64"/>
      <c r="CC504" s="64"/>
      <c r="CD504" s="64"/>
      <c r="CE504" s="64"/>
      <c r="CF504" s="64"/>
      <c r="CG504" s="64" t="str">
        <f t="shared" si="6"/>
        <v/>
      </c>
    </row>
    <row r="505">
      <c r="A505" s="74"/>
      <c r="B505" s="75"/>
      <c r="C505" s="76"/>
      <c r="F505" s="71"/>
      <c r="G505" s="77"/>
      <c r="J505" s="78"/>
      <c r="K505" s="63"/>
      <c r="L505" s="63"/>
      <c r="M505" s="63"/>
      <c r="N505" s="63"/>
      <c r="O505" s="63"/>
      <c r="P505" s="63"/>
      <c r="Q505" s="63"/>
      <c r="R505" s="63"/>
      <c r="S505" s="63"/>
      <c r="U505" s="71"/>
      <c r="V505" s="71"/>
      <c r="Z505" s="71"/>
      <c r="BW505" s="64"/>
      <c r="BX505" s="64"/>
      <c r="BY505" s="64"/>
      <c r="BZ505" s="66"/>
      <c r="CA505" s="64"/>
      <c r="CB505" s="64"/>
      <c r="CC505" s="64"/>
      <c r="CD505" s="64"/>
      <c r="CE505" s="64"/>
      <c r="CF505" s="64"/>
      <c r="CG505" s="64" t="str">
        <f t="shared" si="6"/>
        <v/>
      </c>
    </row>
    <row r="506">
      <c r="A506" s="74"/>
      <c r="B506" s="75"/>
      <c r="C506" s="76"/>
      <c r="F506" s="71"/>
      <c r="G506" s="77"/>
      <c r="J506" s="78"/>
      <c r="K506" s="63"/>
      <c r="L506" s="63"/>
      <c r="M506" s="63"/>
      <c r="N506" s="63"/>
      <c r="O506" s="63"/>
      <c r="P506" s="63"/>
      <c r="Q506" s="63"/>
      <c r="R506" s="63"/>
      <c r="S506" s="63"/>
      <c r="U506" s="71"/>
      <c r="V506" s="71"/>
      <c r="Z506" s="71"/>
      <c r="BW506" s="64"/>
      <c r="BX506" s="64"/>
      <c r="BY506" s="64"/>
      <c r="BZ506" s="66"/>
      <c r="CA506" s="64"/>
      <c r="CB506" s="64"/>
      <c r="CC506" s="64"/>
      <c r="CD506" s="64"/>
      <c r="CE506" s="64"/>
      <c r="CF506" s="64"/>
      <c r="CG506" s="64" t="str">
        <f t="shared" si="6"/>
        <v/>
      </c>
    </row>
    <row r="507">
      <c r="A507" s="74"/>
      <c r="B507" s="75"/>
      <c r="C507" s="76"/>
      <c r="F507" s="71"/>
      <c r="G507" s="77"/>
      <c r="J507" s="78"/>
      <c r="K507" s="63"/>
      <c r="L507" s="63"/>
      <c r="M507" s="63"/>
      <c r="N507" s="63"/>
      <c r="O507" s="63"/>
      <c r="P507" s="63"/>
      <c r="Q507" s="63"/>
      <c r="R507" s="63"/>
      <c r="S507" s="63"/>
      <c r="U507" s="71"/>
      <c r="V507" s="71"/>
      <c r="Z507" s="71"/>
      <c r="BW507" s="64"/>
      <c r="BX507" s="64"/>
      <c r="BY507" s="64"/>
      <c r="BZ507" s="66"/>
      <c r="CA507" s="64"/>
      <c r="CB507" s="64"/>
      <c r="CC507" s="64"/>
      <c r="CD507" s="64"/>
      <c r="CE507" s="64"/>
      <c r="CF507" s="64"/>
      <c r="CG507" s="64" t="str">
        <f t="shared" si="6"/>
        <v/>
      </c>
    </row>
    <row r="508">
      <c r="A508" s="74"/>
      <c r="B508" s="75"/>
      <c r="C508" s="76"/>
      <c r="F508" s="71"/>
      <c r="G508" s="77"/>
      <c r="J508" s="78"/>
      <c r="K508" s="63"/>
      <c r="L508" s="63"/>
      <c r="M508" s="63"/>
      <c r="N508" s="63"/>
      <c r="O508" s="63"/>
      <c r="P508" s="63"/>
      <c r="Q508" s="63"/>
      <c r="R508" s="63"/>
      <c r="S508" s="63"/>
      <c r="U508" s="71"/>
      <c r="V508" s="71"/>
      <c r="Z508" s="71"/>
      <c r="BW508" s="64"/>
      <c r="BX508" s="64"/>
      <c r="BY508" s="64"/>
      <c r="BZ508" s="66"/>
      <c r="CA508" s="64"/>
      <c r="CB508" s="64"/>
      <c r="CC508" s="64"/>
      <c r="CD508" s="64"/>
      <c r="CE508" s="64"/>
      <c r="CF508" s="64"/>
      <c r="CG508" s="64" t="str">
        <f t="shared" si="6"/>
        <v/>
      </c>
    </row>
    <row r="509">
      <c r="A509" s="74"/>
      <c r="B509" s="75"/>
      <c r="C509" s="76"/>
      <c r="F509" s="71"/>
      <c r="G509" s="77"/>
      <c r="J509" s="78"/>
      <c r="K509" s="63"/>
      <c r="L509" s="63"/>
      <c r="M509" s="63"/>
      <c r="N509" s="63"/>
      <c r="O509" s="63"/>
      <c r="P509" s="63"/>
      <c r="Q509" s="63"/>
      <c r="R509" s="63"/>
      <c r="S509" s="63"/>
      <c r="U509" s="71"/>
      <c r="V509" s="71"/>
      <c r="Z509" s="71"/>
      <c r="BW509" s="64"/>
      <c r="BX509" s="64"/>
      <c r="BY509" s="64"/>
      <c r="BZ509" s="66"/>
      <c r="CA509" s="64"/>
      <c r="CB509" s="64"/>
      <c r="CC509" s="64"/>
      <c r="CD509" s="64"/>
      <c r="CE509" s="64"/>
      <c r="CF509" s="64"/>
      <c r="CG509" s="64" t="str">
        <f t="shared" si="6"/>
        <v/>
      </c>
    </row>
    <row r="510">
      <c r="A510" s="74"/>
      <c r="B510" s="75"/>
      <c r="C510" s="76"/>
      <c r="F510" s="71"/>
      <c r="G510" s="77"/>
      <c r="J510" s="78"/>
      <c r="K510" s="63"/>
      <c r="L510" s="63"/>
      <c r="M510" s="63"/>
      <c r="N510" s="63"/>
      <c r="O510" s="63"/>
      <c r="P510" s="63"/>
      <c r="Q510" s="63"/>
      <c r="R510" s="63"/>
      <c r="S510" s="63"/>
      <c r="U510" s="71"/>
      <c r="V510" s="71"/>
      <c r="Z510" s="71"/>
      <c r="BW510" s="64"/>
      <c r="BX510" s="64"/>
      <c r="BY510" s="64"/>
      <c r="BZ510" s="66"/>
      <c r="CA510" s="64"/>
      <c r="CB510" s="64"/>
      <c r="CC510" s="64"/>
      <c r="CD510" s="64"/>
      <c r="CE510" s="64"/>
      <c r="CF510" s="64"/>
      <c r="CG510" s="64" t="str">
        <f t="shared" si="6"/>
        <v/>
      </c>
    </row>
    <row r="511">
      <c r="A511" s="74"/>
      <c r="B511" s="75"/>
      <c r="C511" s="76"/>
      <c r="F511" s="71"/>
      <c r="G511" s="77"/>
      <c r="J511" s="78"/>
      <c r="K511" s="63"/>
      <c r="L511" s="63"/>
      <c r="M511" s="63"/>
      <c r="N511" s="63"/>
      <c r="O511" s="63"/>
      <c r="P511" s="63"/>
      <c r="Q511" s="63"/>
      <c r="R511" s="63"/>
      <c r="S511" s="63"/>
      <c r="U511" s="71"/>
      <c r="V511" s="71"/>
      <c r="Z511" s="71"/>
      <c r="BW511" s="64"/>
      <c r="BX511" s="64"/>
      <c r="BY511" s="64"/>
      <c r="BZ511" s="66"/>
      <c r="CA511" s="64"/>
      <c r="CB511" s="64"/>
      <c r="CC511" s="64"/>
      <c r="CD511" s="64"/>
      <c r="CE511" s="64"/>
      <c r="CF511" s="64"/>
      <c r="CG511" s="64" t="str">
        <f t="shared" si="6"/>
        <v/>
      </c>
    </row>
    <row r="512">
      <c r="A512" s="74"/>
      <c r="B512" s="75"/>
      <c r="C512" s="76"/>
      <c r="F512" s="71"/>
      <c r="G512" s="77"/>
      <c r="J512" s="78"/>
      <c r="K512" s="63"/>
      <c r="L512" s="63"/>
      <c r="M512" s="63"/>
      <c r="N512" s="63"/>
      <c r="O512" s="63"/>
      <c r="P512" s="63"/>
      <c r="Q512" s="63"/>
      <c r="R512" s="63"/>
      <c r="S512" s="63"/>
      <c r="U512" s="71"/>
      <c r="V512" s="71"/>
      <c r="Z512" s="71"/>
      <c r="BW512" s="64"/>
      <c r="BX512" s="64"/>
      <c r="BY512" s="64"/>
      <c r="BZ512" s="66"/>
      <c r="CA512" s="64"/>
      <c r="CB512" s="64"/>
      <c r="CC512" s="64"/>
      <c r="CD512" s="64"/>
      <c r="CE512" s="64"/>
      <c r="CF512" s="64"/>
      <c r="CG512" s="64" t="str">
        <f t="shared" si="6"/>
        <v/>
      </c>
    </row>
    <row r="513">
      <c r="A513" s="74"/>
      <c r="B513" s="75"/>
      <c r="C513" s="76"/>
      <c r="F513" s="71"/>
      <c r="G513" s="77"/>
      <c r="J513" s="78"/>
      <c r="K513" s="63"/>
      <c r="L513" s="63"/>
      <c r="M513" s="63"/>
      <c r="N513" s="63"/>
      <c r="O513" s="63"/>
      <c r="P513" s="63"/>
      <c r="Q513" s="63"/>
      <c r="R513" s="63"/>
      <c r="S513" s="63"/>
      <c r="U513" s="71"/>
      <c r="V513" s="71"/>
      <c r="Z513" s="71"/>
      <c r="BW513" s="64"/>
      <c r="BX513" s="64"/>
      <c r="BY513" s="64"/>
      <c r="BZ513" s="66"/>
      <c r="CA513" s="64"/>
      <c r="CB513" s="64"/>
      <c r="CC513" s="64"/>
      <c r="CD513" s="64"/>
      <c r="CE513" s="64"/>
      <c r="CF513" s="64"/>
      <c r="CG513" s="64" t="str">
        <f t="shared" si="6"/>
        <v/>
      </c>
    </row>
    <row r="514">
      <c r="A514" s="74"/>
      <c r="B514" s="75"/>
      <c r="C514" s="76"/>
      <c r="F514" s="71"/>
      <c r="G514" s="77"/>
      <c r="J514" s="78"/>
      <c r="K514" s="63"/>
      <c r="L514" s="63"/>
      <c r="M514" s="63"/>
      <c r="N514" s="63"/>
      <c r="O514" s="63"/>
      <c r="P514" s="63"/>
      <c r="Q514" s="63"/>
      <c r="R514" s="63"/>
      <c r="S514" s="63"/>
      <c r="U514" s="71"/>
      <c r="V514" s="71"/>
      <c r="Z514" s="71"/>
      <c r="BW514" s="64"/>
      <c r="BX514" s="64"/>
      <c r="BY514" s="64"/>
      <c r="BZ514" s="66"/>
      <c r="CA514" s="64"/>
      <c r="CB514" s="64"/>
      <c r="CC514" s="64"/>
      <c r="CD514" s="64"/>
      <c r="CE514" s="64"/>
      <c r="CF514" s="64"/>
      <c r="CG514" s="64" t="str">
        <f t="shared" si="6"/>
        <v/>
      </c>
    </row>
    <row r="515">
      <c r="A515" s="74"/>
      <c r="B515" s="75"/>
      <c r="C515" s="76"/>
      <c r="F515" s="71"/>
      <c r="G515" s="77"/>
      <c r="J515" s="78"/>
      <c r="K515" s="63"/>
      <c r="L515" s="63"/>
      <c r="M515" s="63"/>
      <c r="N515" s="63"/>
      <c r="O515" s="63"/>
      <c r="P515" s="63"/>
      <c r="Q515" s="63"/>
      <c r="R515" s="63"/>
      <c r="S515" s="63"/>
      <c r="U515" s="71"/>
      <c r="V515" s="71"/>
      <c r="Z515" s="71"/>
      <c r="BW515" s="64"/>
      <c r="BX515" s="64"/>
      <c r="BY515" s="64"/>
      <c r="BZ515" s="66"/>
      <c r="CA515" s="64"/>
      <c r="CB515" s="64"/>
      <c r="CC515" s="64"/>
      <c r="CD515" s="64"/>
      <c r="CE515" s="64"/>
      <c r="CF515" s="64"/>
      <c r="CG515" s="64" t="str">
        <f t="shared" si="6"/>
        <v/>
      </c>
    </row>
    <row r="516">
      <c r="A516" s="74"/>
      <c r="B516" s="75"/>
      <c r="C516" s="76"/>
      <c r="F516" s="71"/>
      <c r="G516" s="77"/>
      <c r="J516" s="78"/>
      <c r="K516" s="63"/>
      <c r="L516" s="63"/>
      <c r="M516" s="63"/>
      <c r="N516" s="63"/>
      <c r="O516" s="63"/>
      <c r="P516" s="63"/>
      <c r="Q516" s="63"/>
      <c r="R516" s="63"/>
      <c r="S516" s="63"/>
      <c r="U516" s="71"/>
      <c r="V516" s="71"/>
      <c r="Z516" s="71"/>
      <c r="BW516" s="64"/>
      <c r="BX516" s="64"/>
      <c r="BY516" s="64"/>
      <c r="BZ516" s="66"/>
      <c r="CA516" s="64"/>
      <c r="CB516" s="64"/>
      <c r="CC516" s="64"/>
      <c r="CD516" s="64"/>
      <c r="CE516" s="64"/>
      <c r="CF516" s="64"/>
      <c r="CG516" s="64" t="str">
        <f t="shared" si="6"/>
        <v/>
      </c>
    </row>
    <row r="517">
      <c r="A517" s="74"/>
      <c r="B517" s="75"/>
      <c r="C517" s="76"/>
      <c r="F517" s="71"/>
      <c r="G517" s="77"/>
      <c r="J517" s="78"/>
      <c r="K517" s="63"/>
      <c r="L517" s="63"/>
      <c r="M517" s="63"/>
      <c r="N517" s="63"/>
      <c r="O517" s="63"/>
      <c r="P517" s="63"/>
      <c r="Q517" s="63"/>
      <c r="R517" s="63"/>
      <c r="S517" s="63"/>
      <c r="U517" s="71"/>
      <c r="V517" s="71"/>
      <c r="Z517" s="71"/>
      <c r="BW517" s="64"/>
      <c r="BX517" s="64"/>
      <c r="BY517" s="64"/>
      <c r="BZ517" s="66"/>
      <c r="CA517" s="64"/>
      <c r="CB517" s="64"/>
      <c r="CC517" s="64"/>
      <c r="CD517" s="64"/>
      <c r="CE517" s="64"/>
      <c r="CF517" s="64"/>
      <c r="CG517" s="64" t="str">
        <f t="shared" si="6"/>
        <v/>
      </c>
    </row>
    <row r="518">
      <c r="A518" s="74"/>
      <c r="B518" s="75"/>
      <c r="C518" s="76"/>
      <c r="F518" s="71"/>
      <c r="G518" s="77"/>
      <c r="J518" s="78"/>
      <c r="K518" s="63"/>
      <c r="L518" s="63"/>
      <c r="M518" s="63"/>
      <c r="N518" s="63"/>
      <c r="O518" s="63"/>
      <c r="P518" s="63"/>
      <c r="Q518" s="63"/>
      <c r="R518" s="63"/>
      <c r="S518" s="63"/>
      <c r="U518" s="71"/>
      <c r="V518" s="71"/>
      <c r="Z518" s="71"/>
      <c r="BW518" s="64"/>
      <c r="BX518" s="64"/>
      <c r="BY518" s="64"/>
      <c r="BZ518" s="66"/>
      <c r="CA518" s="64"/>
      <c r="CB518" s="64"/>
      <c r="CC518" s="64"/>
      <c r="CD518" s="64"/>
      <c r="CE518" s="64"/>
      <c r="CF518" s="64"/>
      <c r="CG518" s="64" t="str">
        <f t="shared" si="6"/>
        <v/>
      </c>
    </row>
    <row r="519">
      <c r="A519" s="74"/>
      <c r="B519" s="75"/>
      <c r="C519" s="76"/>
      <c r="F519" s="71"/>
      <c r="G519" s="77"/>
      <c r="J519" s="78"/>
      <c r="K519" s="63"/>
      <c r="L519" s="63"/>
      <c r="M519" s="63"/>
      <c r="N519" s="63"/>
      <c r="O519" s="63"/>
      <c r="P519" s="63"/>
      <c r="Q519" s="63"/>
      <c r="R519" s="63"/>
      <c r="S519" s="63"/>
      <c r="U519" s="71"/>
      <c r="V519" s="71"/>
      <c r="Z519" s="71"/>
      <c r="BW519" s="64"/>
      <c r="BX519" s="64"/>
      <c r="BY519" s="64"/>
      <c r="BZ519" s="66"/>
      <c r="CA519" s="64"/>
      <c r="CB519" s="64"/>
      <c r="CC519" s="64"/>
      <c r="CD519" s="64"/>
      <c r="CE519" s="64"/>
      <c r="CF519" s="64"/>
      <c r="CG519" s="64" t="str">
        <f t="shared" si="6"/>
        <v/>
      </c>
    </row>
    <row r="520">
      <c r="A520" s="74"/>
      <c r="B520" s="75"/>
      <c r="C520" s="76"/>
      <c r="F520" s="71"/>
      <c r="G520" s="77"/>
      <c r="J520" s="78"/>
      <c r="K520" s="63"/>
      <c r="L520" s="63"/>
      <c r="M520" s="63"/>
      <c r="N520" s="63"/>
      <c r="O520" s="63"/>
      <c r="P520" s="63"/>
      <c r="Q520" s="63"/>
      <c r="R520" s="63"/>
      <c r="S520" s="63"/>
      <c r="U520" s="71"/>
      <c r="V520" s="71"/>
      <c r="Z520" s="71"/>
      <c r="BW520" s="64"/>
      <c r="BX520" s="64"/>
      <c r="BY520" s="64"/>
      <c r="BZ520" s="66"/>
      <c r="CA520" s="64"/>
      <c r="CB520" s="64"/>
      <c r="CC520" s="64"/>
      <c r="CD520" s="64"/>
      <c r="CE520" s="64"/>
      <c r="CF520" s="64"/>
      <c r="CG520" s="64" t="str">
        <f t="shared" si="6"/>
        <v/>
      </c>
    </row>
    <row r="521">
      <c r="A521" s="74"/>
      <c r="B521" s="75"/>
      <c r="C521" s="76"/>
      <c r="F521" s="71"/>
      <c r="G521" s="77"/>
      <c r="J521" s="78"/>
      <c r="K521" s="63"/>
      <c r="L521" s="63"/>
      <c r="M521" s="63"/>
      <c r="N521" s="63"/>
      <c r="O521" s="63"/>
      <c r="P521" s="63"/>
      <c r="Q521" s="63"/>
      <c r="R521" s="63"/>
      <c r="S521" s="63"/>
      <c r="U521" s="71"/>
      <c r="V521" s="71"/>
      <c r="Z521" s="71"/>
      <c r="BW521" s="64"/>
      <c r="BX521" s="64"/>
      <c r="BY521" s="64"/>
      <c r="BZ521" s="66"/>
      <c r="CA521" s="64"/>
      <c r="CB521" s="64"/>
      <c r="CC521" s="64"/>
      <c r="CD521" s="64"/>
      <c r="CE521" s="64"/>
      <c r="CF521" s="64"/>
      <c r="CG521" s="64" t="str">
        <f t="shared" si="6"/>
        <v/>
      </c>
    </row>
    <row r="522">
      <c r="A522" s="74"/>
      <c r="B522" s="75"/>
      <c r="C522" s="76"/>
      <c r="F522" s="71"/>
      <c r="G522" s="77"/>
      <c r="J522" s="78"/>
      <c r="K522" s="63"/>
      <c r="L522" s="63"/>
      <c r="M522" s="63"/>
      <c r="N522" s="63"/>
      <c r="O522" s="63"/>
      <c r="P522" s="63"/>
      <c r="Q522" s="63"/>
      <c r="R522" s="63"/>
      <c r="S522" s="63"/>
      <c r="U522" s="71"/>
      <c r="V522" s="71"/>
      <c r="Z522" s="71"/>
      <c r="BW522" s="64"/>
      <c r="BX522" s="64"/>
      <c r="BY522" s="64"/>
      <c r="BZ522" s="66"/>
      <c r="CA522" s="64"/>
      <c r="CB522" s="64"/>
      <c r="CC522" s="64"/>
      <c r="CD522" s="64"/>
      <c r="CE522" s="64"/>
      <c r="CF522" s="64"/>
      <c r="CG522" s="64" t="str">
        <f t="shared" si="6"/>
        <v/>
      </c>
    </row>
    <row r="523">
      <c r="A523" s="74"/>
      <c r="B523" s="75"/>
      <c r="C523" s="76"/>
      <c r="F523" s="71"/>
      <c r="G523" s="77"/>
      <c r="J523" s="78"/>
      <c r="K523" s="63"/>
      <c r="L523" s="63"/>
      <c r="M523" s="63"/>
      <c r="N523" s="63"/>
      <c r="O523" s="63"/>
      <c r="P523" s="63"/>
      <c r="Q523" s="63"/>
      <c r="R523" s="63"/>
      <c r="S523" s="63"/>
      <c r="U523" s="71"/>
      <c r="V523" s="71"/>
      <c r="Z523" s="71"/>
      <c r="BW523" s="64"/>
      <c r="BX523" s="64"/>
      <c r="BY523" s="64"/>
      <c r="BZ523" s="66"/>
      <c r="CA523" s="64"/>
      <c r="CB523" s="64"/>
      <c r="CC523" s="64"/>
      <c r="CD523" s="64"/>
      <c r="CE523" s="64"/>
      <c r="CF523" s="64"/>
      <c r="CG523" s="64" t="str">
        <f t="shared" si="6"/>
        <v/>
      </c>
    </row>
    <row r="524">
      <c r="A524" s="74"/>
      <c r="B524" s="75"/>
      <c r="C524" s="76"/>
      <c r="F524" s="71"/>
      <c r="G524" s="77"/>
      <c r="J524" s="78"/>
      <c r="K524" s="63"/>
      <c r="L524" s="63"/>
      <c r="M524" s="63"/>
      <c r="N524" s="63"/>
      <c r="O524" s="63"/>
      <c r="P524" s="63"/>
      <c r="Q524" s="63"/>
      <c r="R524" s="63"/>
      <c r="S524" s="63"/>
      <c r="U524" s="71"/>
      <c r="V524" s="71"/>
      <c r="Z524" s="71"/>
      <c r="BW524" s="64"/>
      <c r="BX524" s="64"/>
      <c r="BY524" s="64"/>
      <c r="BZ524" s="66"/>
      <c r="CA524" s="64"/>
      <c r="CB524" s="64"/>
      <c r="CC524" s="64"/>
      <c r="CD524" s="64"/>
      <c r="CE524" s="64"/>
      <c r="CF524" s="64"/>
      <c r="CG524" s="64" t="str">
        <f t="shared" si="6"/>
        <v/>
      </c>
    </row>
    <row r="525">
      <c r="A525" s="74"/>
      <c r="B525" s="75"/>
      <c r="C525" s="76"/>
      <c r="F525" s="71"/>
      <c r="G525" s="77"/>
      <c r="J525" s="78"/>
      <c r="K525" s="63"/>
      <c r="L525" s="63"/>
      <c r="M525" s="63"/>
      <c r="N525" s="63"/>
      <c r="O525" s="63"/>
      <c r="P525" s="63"/>
      <c r="Q525" s="63"/>
      <c r="R525" s="63"/>
      <c r="S525" s="63"/>
      <c r="U525" s="71"/>
      <c r="V525" s="71"/>
      <c r="Z525" s="71"/>
      <c r="BW525" s="64"/>
      <c r="BX525" s="64"/>
      <c r="BY525" s="64"/>
      <c r="BZ525" s="66"/>
      <c r="CA525" s="64"/>
      <c r="CB525" s="64"/>
      <c r="CC525" s="64"/>
      <c r="CD525" s="64"/>
      <c r="CE525" s="64"/>
      <c r="CF525" s="64"/>
      <c r="CG525" s="64" t="str">
        <f t="shared" si="6"/>
        <v/>
      </c>
    </row>
    <row r="526">
      <c r="A526" s="74"/>
      <c r="B526" s="75"/>
      <c r="C526" s="76"/>
      <c r="F526" s="71"/>
      <c r="G526" s="77"/>
      <c r="J526" s="78"/>
      <c r="K526" s="63"/>
      <c r="L526" s="63"/>
      <c r="M526" s="63"/>
      <c r="N526" s="63"/>
      <c r="O526" s="63"/>
      <c r="P526" s="63"/>
      <c r="Q526" s="63"/>
      <c r="R526" s="63"/>
      <c r="S526" s="63"/>
      <c r="U526" s="71"/>
      <c r="V526" s="71"/>
      <c r="Z526" s="71"/>
      <c r="BW526" s="64"/>
      <c r="BX526" s="64"/>
      <c r="BY526" s="64"/>
      <c r="BZ526" s="66"/>
      <c r="CA526" s="64"/>
      <c r="CB526" s="64"/>
      <c r="CC526" s="64"/>
      <c r="CD526" s="64"/>
      <c r="CE526" s="64"/>
      <c r="CF526" s="64"/>
      <c r="CG526" s="64" t="str">
        <f t="shared" si="6"/>
        <v/>
      </c>
    </row>
    <row r="527">
      <c r="A527" s="74"/>
      <c r="B527" s="75"/>
      <c r="C527" s="76"/>
      <c r="F527" s="71"/>
      <c r="G527" s="77"/>
      <c r="J527" s="78"/>
      <c r="K527" s="63"/>
      <c r="L527" s="63"/>
      <c r="M527" s="63"/>
      <c r="N527" s="63"/>
      <c r="O527" s="63"/>
      <c r="P527" s="63"/>
      <c r="Q527" s="63"/>
      <c r="R527" s="63"/>
      <c r="S527" s="63"/>
      <c r="U527" s="71"/>
      <c r="V527" s="71"/>
      <c r="Z527" s="71"/>
      <c r="BW527" s="64"/>
      <c r="BX527" s="64"/>
      <c r="BY527" s="64"/>
      <c r="BZ527" s="66"/>
      <c r="CA527" s="64"/>
      <c r="CB527" s="64"/>
      <c r="CC527" s="64"/>
      <c r="CD527" s="64"/>
      <c r="CE527" s="64"/>
      <c r="CF527" s="64"/>
      <c r="CG527" s="64" t="str">
        <f t="shared" si="6"/>
        <v/>
      </c>
    </row>
    <row r="528">
      <c r="A528" s="74"/>
      <c r="B528" s="75"/>
      <c r="C528" s="76"/>
      <c r="F528" s="71"/>
      <c r="G528" s="77"/>
      <c r="J528" s="78"/>
      <c r="K528" s="63"/>
      <c r="L528" s="63"/>
      <c r="M528" s="63"/>
      <c r="N528" s="63"/>
      <c r="O528" s="63"/>
      <c r="P528" s="63"/>
      <c r="Q528" s="63"/>
      <c r="R528" s="63"/>
      <c r="S528" s="63"/>
      <c r="U528" s="71"/>
      <c r="V528" s="71"/>
      <c r="Z528" s="71"/>
      <c r="BW528" s="64"/>
      <c r="BX528" s="64"/>
      <c r="BY528" s="64"/>
      <c r="BZ528" s="66"/>
      <c r="CA528" s="64"/>
      <c r="CB528" s="64"/>
      <c r="CC528" s="64"/>
      <c r="CD528" s="64"/>
      <c r="CE528" s="64"/>
      <c r="CF528" s="64"/>
      <c r="CG528" s="64" t="str">
        <f t="shared" si="6"/>
        <v/>
      </c>
    </row>
    <row r="529">
      <c r="A529" s="74"/>
      <c r="B529" s="75"/>
      <c r="C529" s="76"/>
      <c r="F529" s="71"/>
      <c r="G529" s="77"/>
      <c r="J529" s="78"/>
      <c r="K529" s="63"/>
      <c r="L529" s="63"/>
      <c r="M529" s="63"/>
      <c r="N529" s="63"/>
      <c r="O529" s="63"/>
      <c r="P529" s="63"/>
      <c r="Q529" s="63"/>
      <c r="R529" s="63"/>
      <c r="S529" s="63"/>
      <c r="U529" s="71"/>
      <c r="V529" s="71"/>
      <c r="Z529" s="71"/>
      <c r="BW529" s="64"/>
      <c r="BX529" s="64"/>
      <c r="BY529" s="64"/>
      <c r="BZ529" s="66"/>
      <c r="CA529" s="64"/>
      <c r="CB529" s="64"/>
      <c r="CC529" s="64"/>
      <c r="CD529" s="64"/>
      <c r="CE529" s="64"/>
      <c r="CF529" s="64"/>
      <c r="CG529" s="64" t="str">
        <f t="shared" si="6"/>
        <v/>
      </c>
    </row>
    <row r="530">
      <c r="A530" s="74"/>
      <c r="B530" s="75"/>
      <c r="C530" s="76"/>
      <c r="F530" s="71"/>
      <c r="G530" s="77"/>
      <c r="J530" s="78"/>
      <c r="K530" s="63"/>
      <c r="L530" s="63"/>
      <c r="M530" s="63"/>
      <c r="N530" s="63"/>
      <c r="O530" s="63"/>
      <c r="P530" s="63"/>
      <c r="Q530" s="63"/>
      <c r="R530" s="63"/>
      <c r="S530" s="63"/>
      <c r="U530" s="71"/>
      <c r="V530" s="71"/>
      <c r="Z530" s="71"/>
      <c r="BW530" s="64"/>
      <c r="BX530" s="64"/>
      <c r="BY530" s="64"/>
      <c r="BZ530" s="66"/>
      <c r="CA530" s="64"/>
      <c r="CB530" s="64"/>
      <c r="CC530" s="64"/>
      <c r="CD530" s="64"/>
      <c r="CE530" s="64"/>
      <c r="CF530" s="64"/>
      <c r="CG530" s="64" t="str">
        <f t="shared" si="6"/>
        <v/>
      </c>
    </row>
    <row r="531">
      <c r="A531" s="74"/>
      <c r="B531" s="75"/>
      <c r="C531" s="76"/>
      <c r="F531" s="71"/>
      <c r="G531" s="77"/>
      <c r="J531" s="78"/>
      <c r="K531" s="63"/>
      <c r="L531" s="63"/>
      <c r="M531" s="63"/>
      <c r="N531" s="63"/>
      <c r="O531" s="63"/>
      <c r="P531" s="63"/>
      <c r="Q531" s="63"/>
      <c r="R531" s="63"/>
      <c r="S531" s="63"/>
      <c r="U531" s="71"/>
      <c r="V531" s="71"/>
      <c r="Z531" s="71"/>
      <c r="BW531" s="64"/>
      <c r="BX531" s="64"/>
      <c r="BY531" s="64"/>
      <c r="BZ531" s="66"/>
      <c r="CA531" s="64"/>
      <c r="CB531" s="64"/>
      <c r="CC531" s="64"/>
      <c r="CD531" s="64"/>
      <c r="CE531" s="64"/>
      <c r="CF531" s="64"/>
      <c r="CG531" s="64" t="str">
        <f t="shared" si="6"/>
        <v/>
      </c>
    </row>
    <row r="532">
      <c r="A532" s="74"/>
      <c r="B532" s="75"/>
      <c r="C532" s="76"/>
      <c r="F532" s="71"/>
      <c r="G532" s="77"/>
      <c r="J532" s="78"/>
      <c r="K532" s="63"/>
      <c r="L532" s="63"/>
      <c r="M532" s="63"/>
      <c r="N532" s="63"/>
      <c r="O532" s="63"/>
      <c r="P532" s="63"/>
      <c r="Q532" s="63"/>
      <c r="R532" s="63"/>
      <c r="S532" s="63"/>
      <c r="U532" s="71"/>
      <c r="V532" s="71"/>
      <c r="Z532" s="71"/>
      <c r="BW532" s="64"/>
      <c r="BX532" s="64"/>
      <c r="BY532" s="64"/>
      <c r="BZ532" s="66"/>
      <c r="CA532" s="64"/>
      <c r="CB532" s="64"/>
      <c r="CC532" s="64"/>
      <c r="CD532" s="64"/>
      <c r="CE532" s="64"/>
      <c r="CF532" s="64"/>
      <c r="CG532" s="64" t="str">
        <f t="shared" si="6"/>
        <v/>
      </c>
    </row>
    <row r="533">
      <c r="A533" s="74"/>
      <c r="B533" s="75"/>
      <c r="C533" s="76"/>
      <c r="F533" s="71"/>
      <c r="G533" s="77"/>
      <c r="J533" s="78"/>
      <c r="K533" s="63"/>
      <c r="L533" s="63"/>
      <c r="M533" s="63"/>
      <c r="N533" s="63"/>
      <c r="O533" s="63"/>
      <c r="P533" s="63"/>
      <c r="Q533" s="63"/>
      <c r="R533" s="63"/>
      <c r="S533" s="63"/>
      <c r="U533" s="71"/>
      <c r="V533" s="71"/>
      <c r="Z533" s="71"/>
      <c r="BW533" s="64"/>
      <c r="BX533" s="64"/>
      <c r="BY533" s="64"/>
      <c r="BZ533" s="66"/>
      <c r="CA533" s="64"/>
      <c r="CB533" s="64"/>
      <c r="CC533" s="64"/>
      <c r="CD533" s="64"/>
      <c r="CE533" s="64"/>
      <c r="CF533" s="64"/>
      <c r="CG533" s="64" t="str">
        <f t="shared" si="6"/>
        <v/>
      </c>
    </row>
    <row r="534">
      <c r="A534" s="74"/>
      <c r="B534" s="75"/>
      <c r="C534" s="76"/>
      <c r="F534" s="71"/>
      <c r="G534" s="77"/>
      <c r="J534" s="78"/>
      <c r="K534" s="63"/>
      <c r="L534" s="63"/>
      <c r="M534" s="63"/>
      <c r="N534" s="63"/>
      <c r="O534" s="63"/>
      <c r="P534" s="63"/>
      <c r="Q534" s="63"/>
      <c r="R534" s="63"/>
      <c r="S534" s="63"/>
      <c r="U534" s="71"/>
      <c r="V534" s="71"/>
      <c r="Z534" s="71"/>
      <c r="BW534" s="64"/>
      <c r="BX534" s="64"/>
      <c r="BY534" s="64"/>
      <c r="BZ534" s="66"/>
      <c r="CA534" s="64"/>
      <c r="CB534" s="64"/>
      <c r="CC534" s="64"/>
      <c r="CD534" s="64"/>
      <c r="CE534" s="64"/>
      <c r="CF534" s="64"/>
      <c r="CG534" s="64" t="str">
        <f t="shared" si="6"/>
        <v/>
      </c>
    </row>
    <row r="535">
      <c r="A535" s="74"/>
      <c r="B535" s="75"/>
      <c r="C535" s="76"/>
      <c r="F535" s="71"/>
      <c r="G535" s="77"/>
      <c r="J535" s="78"/>
      <c r="K535" s="63"/>
      <c r="L535" s="63"/>
      <c r="M535" s="63"/>
      <c r="N535" s="63"/>
      <c r="O535" s="63"/>
      <c r="P535" s="63"/>
      <c r="Q535" s="63"/>
      <c r="R535" s="63"/>
      <c r="S535" s="63"/>
      <c r="U535" s="71"/>
      <c r="V535" s="71"/>
      <c r="Z535" s="71"/>
      <c r="BW535" s="64"/>
      <c r="BX535" s="64"/>
      <c r="BY535" s="64"/>
      <c r="BZ535" s="66"/>
      <c r="CA535" s="64"/>
      <c r="CB535" s="64"/>
      <c r="CC535" s="64"/>
      <c r="CD535" s="64"/>
      <c r="CE535" s="64"/>
      <c r="CF535" s="64"/>
      <c r="CG535" s="64" t="str">
        <f t="shared" si="6"/>
        <v/>
      </c>
    </row>
    <row r="536">
      <c r="A536" s="74"/>
      <c r="B536" s="75"/>
      <c r="C536" s="76"/>
      <c r="F536" s="71"/>
      <c r="G536" s="77"/>
      <c r="J536" s="78"/>
      <c r="K536" s="63"/>
      <c r="L536" s="63"/>
      <c r="M536" s="63"/>
      <c r="N536" s="63"/>
      <c r="O536" s="63"/>
      <c r="P536" s="63"/>
      <c r="Q536" s="63"/>
      <c r="R536" s="63"/>
      <c r="S536" s="63"/>
      <c r="U536" s="71"/>
      <c r="V536" s="71"/>
      <c r="Z536" s="71"/>
      <c r="BW536" s="64"/>
      <c r="BX536" s="64"/>
      <c r="BY536" s="64"/>
      <c r="BZ536" s="66"/>
      <c r="CA536" s="64"/>
      <c r="CB536" s="64"/>
      <c r="CC536" s="64"/>
      <c r="CD536" s="64"/>
      <c r="CE536" s="64"/>
      <c r="CF536" s="64"/>
      <c r="CG536" s="64" t="str">
        <f t="shared" si="6"/>
        <v/>
      </c>
    </row>
    <row r="537">
      <c r="A537" s="74"/>
      <c r="B537" s="75"/>
      <c r="C537" s="76"/>
      <c r="F537" s="71"/>
      <c r="G537" s="77"/>
      <c r="J537" s="78"/>
      <c r="K537" s="63"/>
      <c r="L537" s="63"/>
      <c r="M537" s="63"/>
      <c r="N537" s="63"/>
      <c r="O537" s="63"/>
      <c r="P537" s="63"/>
      <c r="Q537" s="63"/>
      <c r="R537" s="63"/>
      <c r="S537" s="63"/>
      <c r="U537" s="71"/>
      <c r="V537" s="71"/>
      <c r="Z537" s="71"/>
      <c r="BW537" s="64"/>
      <c r="BX537" s="64"/>
      <c r="BY537" s="64"/>
      <c r="BZ537" s="66"/>
      <c r="CA537" s="64"/>
      <c r="CB537" s="64"/>
      <c r="CC537" s="64"/>
      <c r="CD537" s="64"/>
      <c r="CE537" s="64"/>
      <c r="CF537" s="64"/>
      <c r="CG537" s="64" t="str">
        <f t="shared" si="6"/>
        <v/>
      </c>
    </row>
    <row r="538">
      <c r="A538" s="74"/>
      <c r="B538" s="75"/>
      <c r="C538" s="76"/>
      <c r="F538" s="71"/>
      <c r="G538" s="77"/>
      <c r="J538" s="78"/>
      <c r="K538" s="63"/>
      <c r="L538" s="63"/>
      <c r="M538" s="63"/>
      <c r="N538" s="63"/>
      <c r="O538" s="63"/>
      <c r="P538" s="63"/>
      <c r="Q538" s="63"/>
      <c r="R538" s="63"/>
      <c r="S538" s="63"/>
      <c r="U538" s="71"/>
      <c r="V538" s="71"/>
      <c r="Z538" s="71"/>
      <c r="BW538" s="64"/>
      <c r="BX538" s="64"/>
      <c r="BY538" s="64"/>
      <c r="BZ538" s="66"/>
      <c r="CA538" s="64"/>
      <c r="CB538" s="64"/>
      <c r="CC538" s="64"/>
      <c r="CD538" s="64"/>
      <c r="CE538" s="64"/>
      <c r="CF538" s="64"/>
      <c r="CG538" s="64" t="str">
        <f t="shared" si="6"/>
        <v/>
      </c>
    </row>
    <row r="539">
      <c r="A539" s="74"/>
      <c r="B539" s="75"/>
      <c r="C539" s="76"/>
      <c r="F539" s="71"/>
      <c r="G539" s="77"/>
      <c r="J539" s="78"/>
      <c r="K539" s="63"/>
      <c r="L539" s="63"/>
      <c r="M539" s="63"/>
      <c r="N539" s="63"/>
      <c r="O539" s="63"/>
      <c r="P539" s="63"/>
      <c r="Q539" s="63"/>
      <c r="R539" s="63"/>
      <c r="S539" s="63"/>
      <c r="U539" s="71"/>
      <c r="V539" s="71"/>
      <c r="Z539" s="71"/>
      <c r="BW539" s="64"/>
      <c r="BX539" s="64"/>
      <c r="BY539" s="64"/>
      <c r="BZ539" s="66"/>
      <c r="CA539" s="64"/>
      <c r="CB539" s="64"/>
      <c r="CC539" s="64"/>
      <c r="CD539" s="64"/>
      <c r="CE539" s="64"/>
      <c r="CF539" s="64"/>
      <c r="CG539" s="64" t="str">
        <f t="shared" si="6"/>
        <v/>
      </c>
    </row>
    <row r="540">
      <c r="A540" s="74"/>
      <c r="B540" s="75"/>
      <c r="C540" s="76"/>
      <c r="F540" s="71"/>
      <c r="G540" s="77"/>
      <c r="J540" s="78"/>
      <c r="K540" s="63"/>
      <c r="L540" s="63"/>
      <c r="M540" s="63"/>
      <c r="N540" s="63"/>
      <c r="O540" s="63"/>
      <c r="P540" s="63"/>
      <c r="Q540" s="63"/>
      <c r="R540" s="63"/>
      <c r="S540" s="63"/>
      <c r="U540" s="71"/>
      <c r="V540" s="71"/>
      <c r="Z540" s="71"/>
      <c r="BW540" s="64"/>
      <c r="BX540" s="64"/>
      <c r="BY540" s="64"/>
      <c r="BZ540" s="66"/>
      <c r="CA540" s="64"/>
      <c r="CB540" s="64"/>
      <c r="CC540" s="64"/>
      <c r="CD540" s="64"/>
      <c r="CE540" s="64"/>
      <c r="CF540" s="64"/>
      <c r="CG540" s="64" t="str">
        <f t="shared" si="6"/>
        <v/>
      </c>
    </row>
    <row r="541">
      <c r="A541" s="74"/>
      <c r="B541" s="75"/>
      <c r="C541" s="76"/>
      <c r="F541" s="71"/>
      <c r="G541" s="77"/>
      <c r="J541" s="78"/>
      <c r="K541" s="63"/>
      <c r="L541" s="63"/>
      <c r="M541" s="63"/>
      <c r="N541" s="63"/>
      <c r="O541" s="63"/>
      <c r="P541" s="63"/>
      <c r="Q541" s="63"/>
      <c r="R541" s="63"/>
      <c r="S541" s="63"/>
      <c r="U541" s="71"/>
      <c r="V541" s="71"/>
      <c r="Z541" s="71"/>
      <c r="BW541" s="64"/>
      <c r="BX541" s="64"/>
      <c r="BY541" s="64"/>
      <c r="BZ541" s="66"/>
      <c r="CA541" s="64"/>
      <c r="CB541" s="64"/>
      <c r="CC541" s="64"/>
      <c r="CD541" s="64"/>
      <c r="CE541" s="64"/>
      <c r="CF541" s="64"/>
      <c r="CG541" s="64" t="str">
        <f t="shared" si="6"/>
        <v/>
      </c>
    </row>
    <row r="542">
      <c r="A542" s="74"/>
      <c r="B542" s="75"/>
      <c r="C542" s="76"/>
      <c r="F542" s="71"/>
      <c r="G542" s="77"/>
      <c r="J542" s="78"/>
      <c r="K542" s="63"/>
      <c r="L542" s="63"/>
      <c r="M542" s="63"/>
      <c r="N542" s="63"/>
      <c r="O542" s="63"/>
      <c r="P542" s="63"/>
      <c r="Q542" s="63"/>
      <c r="R542" s="63"/>
      <c r="S542" s="63"/>
      <c r="U542" s="71"/>
      <c r="V542" s="71"/>
      <c r="Z542" s="71"/>
      <c r="BW542" s="64"/>
      <c r="BX542" s="64"/>
      <c r="BY542" s="64"/>
      <c r="BZ542" s="66"/>
      <c r="CA542" s="64"/>
      <c r="CB542" s="64"/>
      <c r="CC542" s="64"/>
      <c r="CD542" s="64"/>
      <c r="CE542" s="64"/>
      <c r="CF542" s="64"/>
      <c r="CG542" s="64" t="str">
        <f t="shared" si="6"/>
        <v/>
      </c>
    </row>
    <row r="543">
      <c r="A543" s="74"/>
      <c r="B543" s="75"/>
      <c r="C543" s="76"/>
      <c r="F543" s="71"/>
      <c r="G543" s="77"/>
      <c r="J543" s="78"/>
      <c r="K543" s="63"/>
      <c r="L543" s="63"/>
      <c r="M543" s="63"/>
      <c r="N543" s="63"/>
      <c r="O543" s="63"/>
      <c r="P543" s="63"/>
      <c r="Q543" s="63"/>
      <c r="R543" s="63"/>
      <c r="S543" s="63"/>
      <c r="U543" s="71"/>
      <c r="V543" s="71"/>
      <c r="Z543" s="71"/>
      <c r="BW543" s="64"/>
      <c r="BX543" s="64"/>
      <c r="BY543" s="64"/>
      <c r="BZ543" s="66"/>
      <c r="CA543" s="64"/>
      <c r="CB543" s="64"/>
      <c r="CC543" s="64"/>
      <c r="CD543" s="64"/>
      <c r="CE543" s="64"/>
      <c r="CF543" s="64"/>
      <c r="CG543" s="64" t="str">
        <f t="shared" si="6"/>
        <v/>
      </c>
    </row>
    <row r="544">
      <c r="A544" s="74"/>
      <c r="B544" s="75"/>
      <c r="C544" s="76"/>
      <c r="F544" s="71"/>
      <c r="G544" s="77"/>
      <c r="J544" s="78"/>
      <c r="K544" s="63"/>
      <c r="L544" s="63"/>
      <c r="M544" s="63"/>
      <c r="N544" s="63"/>
      <c r="O544" s="63"/>
      <c r="P544" s="63"/>
      <c r="Q544" s="63"/>
      <c r="R544" s="63"/>
      <c r="S544" s="63"/>
      <c r="U544" s="71"/>
      <c r="V544" s="71"/>
      <c r="Z544" s="71"/>
      <c r="BW544" s="64"/>
      <c r="BX544" s="64"/>
      <c r="BY544" s="64"/>
      <c r="BZ544" s="66"/>
      <c r="CA544" s="64"/>
      <c r="CB544" s="64"/>
      <c r="CC544" s="64"/>
      <c r="CD544" s="64"/>
      <c r="CE544" s="64"/>
      <c r="CF544" s="64"/>
      <c r="CG544" s="64" t="str">
        <f t="shared" si="6"/>
        <v/>
      </c>
    </row>
    <row r="545">
      <c r="A545" s="74"/>
      <c r="B545" s="75"/>
      <c r="C545" s="76"/>
      <c r="F545" s="71"/>
      <c r="G545" s="77"/>
      <c r="J545" s="78"/>
      <c r="K545" s="63"/>
      <c r="L545" s="63"/>
      <c r="M545" s="63"/>
      <c r="N545" s="63"/>
      <c r="O545" s="63"/>
      <c r="P545" s="63"/>
      <c r="Q545" s="63"/>
      <c r="R545" s="63"/>
      <c r="S545" s="63"/>
      <c r="U545" s="71"/>
      <c r="V545" s="71"/>
      <c r="Z545" s="71"/>
      <c r="BW545" s="64"/>
      <c r="BX545" s="64"/>
      <c r="BY545" s="64"/>
      <c r="BZ545" s="66"/>
      <c r="CA545" s="64"/>
      <c r="CB545" s="64"/>
      <c r="CC545" s="64"/>
      <c r="CD545" s="64"/>
      <c r="CE545" s="64"/>
      <c r="CF545" s="64"/>
      <c r="CG545" s="64" t="str">
        <f t="shared" si="6"/>
        <v/>
      </c>
    </row>
    <row r="546">
      <c r="A546" s="74"/>
      <c r="B546" s="75"/>
      <c r="C546" s="76"/>
      <c r="F546" s="71"/>
      <c r="G546" s="77"/>
      <c r="J546" s="78"/>
      <c r="K546" s="63"/>
      <c r="L546" s="63"/>
      <c r="M546" s="63"/>
      <c r="N546" s="63"/>
      <c r="O546" s="63"/>
      <c r="P546" s="63"/>
      <c r="Q546" s="63"/>
      <c r="R546" s="63"/>
      <c r="S546" s="63"/>
      <c r="U546" s="71"/>
      <c r="V546" s="71"/>
      <c r="Z546" s="71"/>
      <c r="BW546" s="64"/>
      <c r="BX546" s="64"/>
      <c r="BY546" s="64"/>
      <c r="BZ546" s="66"/>
      <c r="CA546" s="64"/>
      <c r="CB546" s="64"/>
      <c r="CC546" s="64"/>
      <c r="CD546" s="64"/>
      <c r="CE546" s="64"/>
      <c r="CF546" s="64"/>
      <c r="CG546" s="64" t="str">
        <f t="shared" si="6"/>
        <v/>
      </c>
    </row>
    <row r="547">
      <c r="A547" s="74"/>
      <c r="B547" s="75"/>
      <c r="C547" s="76"/>
      <c r="F547" s="71"/>
      <c r="G547" s="77"/>
      <c r="J547" s="78"/>
      <c r="K547" s="63"/>
      <c r="L547" s="63"/>
      <c r="M547" s="63"/>
      <c r="N547" s="63"/>
      <c r="O547" s="63"/>
      <c r="P547" s="63"/>
      <c r="Q547" s="63"/>
      <c r="R547" s="63"/>
      <c r="S547" s="63"/>
      <c r="U547" s="71"/>
      <c r="V547" s="71"/>
      <c r="Z547" s="71"/>
      <c r="BW547" s="64"/>
      <c r="BX547" s="64"/>
      <c r="BY547" s="64"/>
      <c r="BZ547" s="66"/>
      <c r="CA547" s="64"/>
      <c r="CB547" s="64"/>
      <c r="CC547" s="64"/>
      <c r="CD547" s="64"/>
      <c r="CE547" s="64"/>
      <c r="CF547" s="64"/>
      <c r="CG547" s="64" t="str">
        <f t="shared" si="6"/>
        <v/>
      </c>
    </row>
    <row r="548">
      <c r="A548" s="74"/>
      <c r="B548" s="75"/>
      <c r="C548" s="76"/>
      <c r="F548" s="71"/>
      <c r="G548" s="77"/>
      <c r="J548" s="78"/>
      <c r="K548" s="63"/>
      <c r="L548" s="63"/>
      <c r="M548" s="63"/>
      <c r="N548" s="63"/>
      <c r="O548" s="63"/>
      <c r="P548" s="63"/>
      <c r="Q548" s="63"/>
      <c r="R548" s="63"/>
      <c r="S548" s="63"/>
      <c r="U548" s="71"/>
      <c r="V548" s="71"/>
      <c r="Z548" s="71"/>
      <c r="BW548" s="64"/>
      <c r="BX548" s="64"/>
      <c r="BY548" s="64"/>
      <c r="BZ548" s="66"/>
      <c r="CA548" s="64"/>
      <c r="CB548" s="64"/>
      <c r="CC548" s="64"/>
      <c r="CD548" s="64"/>
      <c r="CE548" s="64"/>
      <c r="CF548" s="64"/>
      <c r="CG548" s="64" t="str">
        <f t="shared" si="6"/>
        <v/>
      </c>
    </row>
    <row r="549">
      <c r="A549" s="74"/>
      <c r="B549" s="75"/>
      <c r="C549" s="76"/>
      <c r="F549" s="71"/>
      <c r="G549" s="77"/>
      <c r="J549" s="78"/>
      <c r="K549" s="63"/>
      <c r="L549" s="63"/>
      <c r="M549" s="63"/>
      <c r="N549" s="63"/>
      <c r="O549" s="63"/>
      <c r="P549" s="63"/>
      <c r="Q549" s="63"/>
      <c r="R549" s="63"/>
      <c r="S549" s="63"/>
      <c r="U549" s="71"/>
      <c r="V549" s="71"/>
      <c r="Z549" s="71"/>
      <c r="BW549" s="64"/>
      <c r="BX549" s="64"/>
      <c r="BY549" s="64"/>
      <c r="BZ549" s="66"/>
      <c r="CA549" s="64"/>
      <c r="CB549" s="64"/>
      <c r="CC549" s="64"/>
      <c r="CD549" s="64"/>
      <c r="CE549" s="64"/>
      <c r="CF549" s="64"/>
      <c r="CG549" s="64" t="str">
        <f t="shared" si="6"/>
        <v/>
      </c>
    </row>
    <row r="550">
      <c r="A550" s="74"/>
      <c r="B550" s="75"/>
      <c r="C550" s="76"/>
      <c r="F550" s="71"/>
      <c r="G550" s="77"/>
      <c r="J550" s="78"/>
      <c r="K550" s="63"/>
      <c r="L550" s="63"/>
      <c r="M550" s="63"/>
      <c r="N550" s="63"/>
      <c r="O550" s="63"/>
      <c r="P550" s="63"/>
      <c r="Q550" s="63"/>
      <c r="R550" s="63"/>
      <c r="S550" s="63"/>
      <c r="U550" s="71"/>
      <c r="V550" s="71"/>
      <c r="Z550" s="71"/>
      <c r="BW550" s="64"/>
      <c r="BX550" s="64"/>
      <c r="BY550" s="64"/>
      <c r="BZ550" s="66"/>
      <c r="CA550" s="64"/>
      <c r="CB550" s="64"/>
      <c r="CC550" s="64"/>
      <c r="CD550" s="64"/>
      <c r="CE550" s="64"/>
      <c r="CF550" s="64"/>
      <c r="CG550" s="64" t="str">
        <f t="shared" si="6"/>
        <v/>
      </c>
    </row>
    <row r="551">
      <c r="A551" s="74"/>
      <c r="B551" s="75"/>
      <c r="C551" s="76"/>
      <c r="F551" s="71"/>
      <c r="G551" s="77"/>
      <c r="J551" s="78"/>
      <c r="K551" s="63"/>
      <c r="L551" s="63"/>
      <c r="M551" s="63"/>
      <c r="N551" s="63"/>
      <c r="O551" s="63"/>
      <c r="P551" s="63"/>
      <c r="Q551" s="63"/>
      <c r="R551" s="63"/>
      <c r="S551" s="63"/>
      <c r="U551" s="71"/>
      <c r="V551" s="71"/>
      <c r="Z551" s="71"/>
      <c r="BW551" s="64"/>
      <c r="BX551" s="64"/>
      <c r="BY551" s="64"/>
      <c r="BZ551" s="66"/>
      <c r="CA551" s="64"/>
      <c r="CB551" s="64"/>
      <c r="CC551" s="64"/>
      <c r="CD551" s="64"/>
      <c r="CE551" s="64"/>
      <c r="CF551" s="64"/>
      <c r="CG551" s="64" t="str">
        <f t="shared" si="6"/>
        <v/>
      </c>
    </row>
    <row r="552">
      <c r="A552" s="74"/>
      <c r="B552" s="75"/>
      <c r="C552" s="76"/>
      <c r="F552" s="71"/>
      <c r="G552" s="77"/>
      <c r="J552" s="78"/>
      <c r="K552" s="63"/>
      <c r="L552" s="63"/>
      <c r="M552" s="63"/>
      <c r="N552" s="63"/>
      <c r="O552" s="63"/>
      <c r="P552" s="63"/>
      <c r="Q552" s="63"/>
      <c r="R552" s="63"/>
      <c r="S552" s="63"/>
      <c r="U552" s="71"/>
      <c r="V552" s="71"/>
      <c r="Z552" s="71"/>
      <c r="BW552" s="64"/>
      <c r="BX552" s="64"/>
      <c r="BY552" s="64"/>
      <c r="BZ552" s="66"/>
      <c r="CA552" s="64"/>
      <c r="CB552" s="64"/>
      <c r="CC552" s="64"/>
      <c r="CD552" s="64"/>
      <c r="CE552" s="64"/>
      <c r="CF552" s="64"/>
      <c r="CG552" s="64" t="str">
        <f t="shared" si="6"/>
        <v/>
      </c>
    </row>
    <row r="553">
      <c r="A553" s="74"/>
      <c r="B553" s="75"/>
      <c r="C553" s="76"/>
      <c r="F553" s="71"/>
      <c r="G553" s="77"/>
      <c r="J553" s="78"/>
      <c r="K553" s="63"/>
      <c r="L553" s="63"/>
      <c r="M553" s="63"/>
      <c r="N553" s="63"/>
      <c r="O553" s="63"/>
      <c r="P553" s="63"/>
      <c r="Q553" s="63"/>
      <c r="R553" s="63"/>
      <c r="S553" s="63"/>
      <c r="U553" s="71"/>
      <c r="V553" s="71"/>
      <c r="Z553" s="71"/>
      <c r="BW553" s="64"/>
      <c r="BX553" s="64"/>
      <c r="BY553" s="64"/>
      <c r="BZ553" s="66"/>
      <c r="CA553" s="64"/>
      <c r="CB553" s="64"/>
      <c r="CC553" s="64"/>
      <c r="CD553" s="64"/>
      <c r="CE553" s="64"/>
      <c r="CF553" s="64"/>
      <c r="CG553" s="64" t="str">
        <f t="shared" si="6"/>
        <v/>
      </c>
    </row>
    <row r="554">
      <c r="A554" s="74"/>
      <c r="B554" s="75"/>
      <c r="C554" s="76"/>
      <c r="F554" s="71"/>
      <c r="G554" s="77"/>
      <c r="J554" s="78"/>
      <c r="K554" s="63"/>
      <c r="L554" s="63"/>
      <c r="M554" s="63"/>
      <c r="N554" s="63"/>
      <c r="O554" s="63"/>
      <c r="P554" s="63"/>
      <c r="Q554" s="63"/>
      <c r="R554" s="63"/>
      <c r="S554" s="63"/>
      <c r="U554" s="71"/>
      <c r="V554" s="71"/>
      <c r="Z554" s="71"/>
      <c r="BW554" s="64"/>
      <c r="BX554" s="64"/>
      <c r="BY554" s="64"/>
      <c r="BZ554" s="66"/>
      <c r="CA554" s="64"/>
      <c r="CB554" s="64"/>
      <c r="CC554" s="64"/>
      <c r="CD554" s="64"/>
      <c r="CE554" s="64"/>
      <c r="CF554" s="64"/>
      <c r="CG554" s="64" t="str">
        <f t="shared" si="6"/>
        <v/>
      </c>
    </row>
    <row r="555">
      <c r="A555" s="74"/>
      <c r="B555" s="75"/>
      <c r="C555" s="76"/>
      <c r="F555" s="71"/>
      <c r="G555" s="77"/>
      <c r="J555" s="78"/>
      <c r="K555" s="63"/>
      <c r="L555" s="63"/>
      <c r="M555" s="63"/>
      <c r="N555" s="63"/>
      <c r="O555" s="63"/>
      <c r="P555" s="63"/>
      <c r="Q555" s="63"/>
      <c r="R555" s="63"/>
      <c r="S555" s="63"/>
      <c r="U555" s="71"/>
      <c r="V555" s="71"/>
      <c r="Z555" s="71"/>
      <c r="BW555" s="64"/>
      <c r="BX555" s="64"/>
      <c r="BY555" s="64"/>
      <c r="BZ555" s="66"/>
      <c r="CA555" s="64"/>
      <c r="CB555" s="64"/>
      <c r="CC555" s="64"/>
      <c r="CD555" s="64"/>
      <c r="CE555" s="64"/>
      <c r="CF555" s="64"/>
      <c r="CG555" s="64" t="str">
        <f t="shared" si="6"/>
        <v/>
      </c>
    </row>
    <row r="556">
      <c r="A556" s="74"/>
      <c r="B556" s="75"/>
      <c r="C556" s="76"/>
      <c r="F556" s="71"/>
      <c r="G556" s="77"/>
      <c r="J556" s="78"/>
      <c r="K556" s="63"/>
      <c r="L556" s="63"/>
      <c r="M556" s="63"/>
      <c r="N556" s="63"/>
      <c r="O556" s="63"/>
      <c r="P556" s="63"/>
      <c r="Q556" s="63"/>
      <c r="R556" s="63"/>
      <c r="S556" s="63"/>
      <c r="U556" s="71"/>
      <c r="V556" s="71"/>
      <c r="Z556" s="71"/>
      <c r="BW556" s="64"/>
      <c r="BX556" s="64"/>
      <c r="BY556" s="64"/>
      <c r="BZ556" s="66"/>
      <c r="CA556" s="64"/>
      <c r="CB556" s="64"/>
      <c r="CC556" s="64"/>
      <c r="CD556" s="64"/>
      <c r="CE556" s="64"/>
      <c r="CF556" s="64"/>
      <c r="CG556" s="64" t="str">
        <f t="shared" si="6"/>
        <v/>
      </c>
    </row>
    <row r="557">
      <c r="A557" s="74"/>
      <c r="B557" s="75"/>
      <c r="C557" s="76"/>
      <c r="F557" s="71"/>
      <c r="G557" s="77"/>
      <c r="J557" s="78"/>
      <c r="K557" s="63"/>
      <c r="L557" s="63"/>
      <c r="M557" s="63"/>
      <c r="N557" s="63"/>
      <c r="O557" s="63"/>
      <c r="P557" s="63"/>
      <c r="Q557" s="63"/>
      <c r="R557" s="63"/>
      <c r="S557" s="63"/>
      <c r="U557" s="71"/>
      <c r="V557" s="71"/>
      <c r="Z557" s="71"/>
      <c r="BW557" s="64"/>
      <c r="BX557" s="64"/>
      <c r="BY557" s="64"/>
      <c r="BZ557" s="66"/>
      <c r="CA557" s="64"/>
      <c r="CB557" s="64"/>
      <c r="CC557" s="64"/>
      <c r="CD557" s="64"/>
      <c r="CE557" s="64"/>
      <c r="CF557" s="64"/>
      <c r="CG557" s="64" t="str">
        <f t="shared" si="6"/>
        <v/>
      </c>
    </row>
    <row r="558">
      <c r="A558" s="74"/>
      <c r="B558" s="75"/>
      <c r="C558" s="76"/>
      <c r="F558" s="71"/>
      <c r="G558" s="77"/>
      <c r="J558" s="78"/>
      <c r="K558" s="63"/>
      <c r="L558" s="63"/>
      <c r="M558" s="63"/>
      <c r="N558" s="63"/>
      <c r="O558" s="63"/>
      <c r="P558" s="63"/>
      <c r="Q558" s="63"/>
      <c r="R558" s="63"/>
      <c r="S558" s="63"/>
      <c r="U558" s="71"/>
      <c r="V558" s="71"/>
      <c r="Z558" s="71"/>
      <c r="BW558" s="64"/>
      <c r="BX558" s="64"/>
      <c r="BY558" s="64"/>
      <c r="BZ558" s="66"/>
      <c r="CA558" s="64"/>
      <c r="CB558" s="64"/>
      <c r="CC558" s="64"/>
      <c r="CD558" s="64"/>
      <c r="CE558" s="64"/>
      <c r="CF558" s="64"/>
      <c r="CG558" s="64" t="str">
        <f t="shared" si="6"/>
        <v/>
      </c>
    </row>
    <row r="559">
      <c r="A559" s="74"/>
      <c r="B559" s="75"/>
      <c r="C559" s="76"/>
      <c r="F559" s="71"/>
      <c r="G559" s="77"/>
      <c r="J559" s="78"/>
      <c r="K559" s="63"/>
      <c r="L559" s="63"/>
      <c r="M559" s="63"/>
      <c r="N559" s="63"/>
      <c r="O559" s="63"/>
      <c r="P559" s="63"/>
      <c r="Q559" s="63"/>
      <c r="R559" s="63"/>
      <c r="S559" s="63"/>
      <c r="U559" s="71"/>
      <c r="V559" s="71"/>
      <c r="Z559" s="71"/>
      <c r="BW559" s="64"/>
      <c r="BX559" s="64"/>
      <c r="BY559" s="64"/>
      <c r="BZ559" s="66"/>
      <c r="CA559" s="64"/>
      <c r="CB559" s="64"/>
      <c r="CC559" s="64"/>
      <c r="CD559" s="64"/>
      <c r="CE559" s="64"/>
      <c r="CF559" s="64"/>
      <c r="CG559" s="64" t="str">
        <f t="shared" si="6"/>
        <v/>
      </c>
    </row>
    <row r="560">
      <c r="A560" s="74"/>
      <c r="B560" s="75"/>
      <c r="C560" s="76"/>
      <c r="F560" s="71"/>
      <c r="G560" s="77"/>
      <c r="J560" s="78"/>
      <c r="K560" s="63"/>
      <c r="L560" s="63"/>
      <c r="M560" s="63"/>
      <c r="N560" s="63"/>
      <c r="O560" s="63"/>
      <c r="P560" s="63"/>
      <c r="Q560" s="63"/>
      <c r="R560" s="63"/>
      <c r="S560" s="63"/>
      <c r="U560" s="71"/>
      <c r="V560" s="71"/>
      <c r="Z560" s="71"/>
      <c r="BW560" s="64"/>
      <c r="BX560" s="64"/>
      <c r="BY560" s="64"/>
      <c r="BZ560" s="66"/>
      <c r="CA560" s="64"/>
      <c r="CB560" s="64"/>
      <c r="CC560" s="64"/>
      <c r="CD560" s="64"/>
      <c r="CE560" s="64"/>
      <c r="CF560" s="64"/>
      <c r="CG560" s="64" t="str">
        <f t="shared" si="6"/>
        <v/>
      </c>
    </row>
    <row r="561">
      <c r="A561" s="74"/>
      <c r="B561" s="75"/>
      <c r="C561" s="76"/>
      <c r="F561" s="71"/>
      <c r="G561" s="77"/>
      <c r="J561" s="78"/>
      <c r="K561" s="63"/>
      <c r="L561" s="63"/>
      <c r="M561" s="63"/>
      <c r="N561" s="63"/>
      <c r="O561" s="63"/>
      <c r="P561" s="63"/>
      <c r="Q561" s="63"/>
      <c r="R561" s="63"/>
      <c r="S561" s="63"/>
      <c r="U561" s="71"/>
      <c r="V561" s="71"/>
      <c r="Z561" s="71"/>
      <c r="BW561" s="64"/>
      <c r="BX561" s="64"/>
      <c r="BY561" s="64"/>
      <c r="BZ561" s="66"/>
      <c r="CA561" s="64"/>
      <c r="CB561" s="64"/>
      <c r="CC561" s="64"/>
      <c r="CD561" s="64"/>
      <c r="CE561" s="64"/>
      <c r="CF561" s="64"/>
      <c r="CG561" s="64" t="str">
        <f t="shared" si="6"/>
        <v/>
      </c>
    </row>
    <row r="562">
      <c r="A562" s="74"/>
      <c r="B562" s="75"/>
      <c r="C562" s="76"/>
      <c r="F562" s="71"/>
      <c r="G562" s="77"/>
      <c r="J562" s="78"/>
      <c r="K562" s="63"/>
      <c r="L562" s="63"/>
      <c r="M562" s="63"/>
      <c r="N562" s="63"/>
      <c r="O562" s="63"/>
      <c r="P562" s="63"/>
      <c r="Q562" s="63"/>
      <c r="R562" s="63"/>
      <c r="S562" s="63"/>
      <c r="U562" s="71"/>
      <c r="V562" s="71"/>
      <c r="Z562" s="71"/>
      <c r="BW562" s="64"/>
      <c r="BX562" s="64"/>
      <c r="BY562" s="64"/>
      <c r="BZ562" s="66"/>
      <c r="CA562" s="64"/>
      <c r="CB562" s="64"/>
      <c r="CC562" s="64"/>
      <c r="CD562" s="64"/>
      <c r="CE562" s="64"/>
      <c r="CF562" s="64"/>
      <c r="CG562" s="64" t="str">
        <f t="shared" si="6"/>
        <v/>
      </c>
    </row>
    <row r="563">
      <c r="A563" s="74"/>
      <c r="B563" s="75"/>
      <c r="C563" s="76"/>
      <c r="F563" s="71"/>
      <c r="G563" s="77"/>
      <c r="J563" s="78"/>
      <c r="K563" s="63"/>
      <c r="L563" s="63"/>
      <c r="M563" s="63"/>
      <c r="N563" s="63"/>
      <c r="O563" s="63"/>
      <c r="P563" s="63"/>
      <c r="Q563" s="63"/>
      <c r="R563" s="63"/>
      <c r="S563" s="63"/>
      <c r="U563" s="71"/>
      <c r="V563" s="71"/>
      <c r="Z563" s="71"/>
      <c r="BW563" s="64"/>
      <c r="BX563" s="64"/>
      <c r="BY563" s="64"/>
      <c r="BZ563" s="66"/>
      <c r="CA563" s="64"/>
      <c r="CB563" s="64"/>
      <c r="CC563" s="64"/>
      <c r="CD563" s="64"/>
      <c r="CE563" s="64"/>
      <c r="CF563" s="64"/>
      <c r="CG563" s="64" t="str">
        <f t="shared" si="6"/>
        <v/>
      </c>
    </row>
    <row r="564">
      <c r="A564" s="74"/>
      <c r="B564" s="75"/>
      <c r="C564" s="76"/>
      <c r="F564" s="71"/>
      <c r="G564" s="77"/>
      <c r="J564" s="78"/>
      <c r="K564" s="63"/>
      <c r="L564" s="63"/>
      <c r="M564" s="63"/>
      <c r="N564" s="63"/>
      <c r="O564" s="63"/>
      <c r="P564" s="63"/>
      <c r="Q564" s="63"/>
      <c r="R564" s="63"/>
      <c r="S564" s="63"/>
      <c r="U564" s="71"/>
      <c r="V564" s="71"/>
      <c r="Z564" s="71"/>
      <c r="BW564" s="64"/>
      <c r="BX564" s="64"/>
      <c r="BY564" s="64"/>
      <c r="BZ564" s="66"/>
      <c r="CA564" s="64"/>
      <c r="CB564" s="64"/>
      <c r="CC564" s="64"/>
      <c r="CD564" s="64"/>
      <c r="CE564" s="64"/>
      <c r="CF564" s="64"/>
      <c r="CG564" s="64" t="str">
        <f t="shared" si="6"/>
        <v/>
      </c>
    </row>
    <row r="565">
      <c r="A565" s="74"/>
      <c r="B565" s="75"/>
      <c r="C565" s="76"/>
      <c r="F565" s="71"/>
      <c r="G565" s="77"/>
      <c r="J565" s="78"/>
      <c r="K565" s="63"/>
      <c r="L565" s="63"/>
      <c r="M565" s="63"/>
      <c r="N565" s="63"/>
      <c r="O565" s="63"/>
      <c r="P565" s="63"/>
      <c r="Q565" s="63"/>
      <c r="R565" s="63"/>
      <c r="S565" s="63"/>
      <c r="U565" s="71"/>
      <c r="V565" s="71"/>
      <c r="Z565" s="71"/>
      <c r="BW565" s="64"/>
      <c r="BX565" s="64"/>
      <c r="BY565" s="64"/>
      <c r="BZ565" s="66"/>
      <c r="CA565" s="64"/>
      <c r="CB565" s="64"/>
      <c r="CC565" s="64"/>
      <c r="CD565" s="64"/>
      <c r="CE565" s="64"/>
      <c r="CF565" s="64"/>
      <c r="CG565" s="64" t="str">
        <f t="shared" si="6"/>
        <v/>
      </c>
    </row>
    <row r="566">
      <c r="A566" s="74"/>
      <c r="B566" s="75"/>
      <c r="C566" s="76"/>
      <c r="F566" s="71"/>
      <c r="G566" s="77"/>
      <c r="J566" s="78"/>
      <c r="K566" s="63"/>
      <c r="L566" s="63"/>
      <c r="M566" s="63"/>
      <c r="N566" s="63"/>
      <c r="O566" s="63"/>
      <c r="P566" s="63"/>
      <c r="Q566" s="63"/>
      <c r="R566" s="63"/>
      <c r="S566" s="63"/>
      <c r="U566" s="71"/>
      <c r="V566" s="71"/>
      <c r="Z566" s="71"/>
      <c r="BW566" s="64"/>
      <c r="BX566" s="64"/>
      <c r="BY566" s="64"/>
      <c r="BZ566" s="66"/>
      <c r="CA566" s="64"/>
      <c r="CB566" s="64"/>
      <c r="CC566" s="64"/>
      <c r="CD566" s="64"/>
      <c r="CE566" s="64"/>
      <c r="CF566" s="64"/>
      <c r="CG566" s="64" t="str">
        <f t="shared" si="6"/>
        <v/>
      </c>
    </row>
    <row r="567">
      <c r="A567" s="74"/>
      <c r="B567" s="75"/>
      <c r="C567" s="76"/>
      <c r="F567" s="71"/>
      <c r="G567" s="77"/>
      <c r="J567" s="78"/>
      <c r="K567" s="63"/>
      <c r="L567" s="63"/>
      <c r="M567" s="63"/>
      <c r="N567" s="63"/>
      <c r="O567" s="63"/>
      <c r="P567" s="63"/>
      <c r="Q567" s="63"/>
      <c r="R567" s="63"/>
      <c r="S567" s="63"/>
      <c r="U567" s="71"/>
      <c r="V567" s="71"/>
      <c r="Z567" s="71"/>
      <c r="BW567" s="64"/>
      <c r="BX567" s="64"/>
      <c r="BY567" s="64"/>
      <c r="BZ567" s="66"/>
      <c r="CA567" s="64"/>
      <c r="CB567" s="64"/>
      <c r="CC567" s="64"/>
      <c r="CD567" s="64"/>
      <c r="CE567" s="64"/>
      <c r="CF567" s="64"/>
      <c r="CG567" s="64" t="str">
        <f t="shared" si="6"/>
        <v/>
      </c>
    </row>
    <row r="568">
      <c r="A568" s="74"/>
      <c r="B568" s="75"/>
      <c r="C568" s="76"/>
      <c r="F568" s="71"/>
      <c r="G568" s="77"/>
      <c r="J568" s="78"/>
      <c r="K568" s="63"/>
      <c r="L568" s="63"/>
      <c r="M568" s="63"/>
      <c r="N568" s="63"/>
      <c r="O568" s="63"/>
      <c r="P568" s="63"/>
      <c r="Q568" s="63"/>
      <c r="R568" s="63"/>
      <c r="S568" s="63"/>
      <c r="U568" s="71"/>
      <c r="V568" s="71"/>
      <c r="Z568" s="71"/>
      <c r="BW568" s="64"/>
      <c r="BX568" s="64"/>
      <c r="BY568" s="64"/>
      <c r="BZ568" s="66"/>
      <c r="CA568" s="64"/>
      <c r="CB568" s="64"/>
      <c r="CC568" s="64"/>
      <c r="CD568" s="64"/>
      <c r="CE568" s="64"/>
      <c r="CF568" s="64"/>
      <c r="CG568" s="64" t="str">
        <f t="shared" si="6"/>
        <v/>
      </c>
    </row>
    <row r="569">
      <c r="A569" s="74"/>
      <c r="B569" s="75"/>
      <c r="C569" s="76"/>
      <c r="F569" s="71"/>
      <c r="G569" s="77"/>
      <c r="J569" s="78"/>
      <c r="K569" s="63"/>
      <c r="L569" s="63"/>
      <c r="M569" s="63"/>
      <c r="N569" s="63"/>
      <c r="O569" s="63"/>
      <c r="P569" s="63"/>
      <c r="Q569" s="63"/>
      <c r="R569" s="63"/>
      <c r="S569" s="63"/>
      <c r="U569" s="71"/>
      <c r="V569" s="71"/>
      <c r="Z569" s="71"/>
      <c r="BW569" s="64"/>
      <c r="BX569" s="64"/>
      <c r="BY569" s="64"/>
      <c r="BZ569" s="66"/>
      <c r="CA569" s="64"/>
      <c r="CB569" s="64"/>
      <c r="CC569" s="64"/>
      <c r="CD569" s="64"/>
      <c r="CE569" s="64"/>
      <c r="CF569" s="64"/>
      <c r="CG569" s="64" t="str">
        <f t="shared" si="6"/>
        <v/>
      </c>
    </row>
    <row r="570">
      <c r="A570" s="74"/>
      <c r="B570" s="75"/>
      <c r="C570" s="76"/>
      <c r="F570" s="71"/>
      <c r="G570" s="77"/>
      <c r="J570" s="78"/>
      <c r="K570" s="63"/>
      <c r="L570" s="63"/>
      <c r="M570" s="63"/>
      <c r="N570" s="63"/>
      <c r="O570" s="63"/>
      <c r="P570" s="63"/>
      <c r="Q570" s="63"/>
      <c r="R570" s="63"/>
      <c r="S570" s="63"/>
      <c r="U570" s="71"/>
      <c r="V570" s="71"/>
      <c r="Z570" s="71"/>
      <c r="BW570" s="64"/>
      <c r="BX570" s="64"/>
      <c r="BY570" s="64"/>
      <c r="BZ570" s="66"/>
      <c r="CA570" s="64"/>
      <c r="CB570" s="64"/>
      <c r="CC570" s="64"/>
      <c r="CD570" s="64"/>
      <c r="CE570" s="64"/>
      <c r="CF570" s="64"/>
      <c r="CG570" s="64" t="str">
        <f t="shared" si="6"/>
        <v/>
      </c>
    </row>
    <row r="571">
      <c r="A571" s="74"/>
      <c r="B571" s="75"/>
      <c r="C571" s="76"/>
      <c r="F571" s="71"/>
      <c r="G571" s="77"/>
      <c r="J571" s="78"/>
      <c r="K571" s="63"/>
      <c r="L571" s="63"/>
      <c r="M571" s="63"/>
      <c r="N571" s="63"/>
      <c r="O571" s="63"/>
      <c r="P571" s="63"/>
      <c r="Q571" s="63"/>
      <c r="R571" s="63"/>
      <c r="S571" s="63"/>
      <c r="U571" s="71"/>
      <c r="V571" s="71"/>
      <c r="Z571" s="71"/>
      <c r="BW571" s="64"/>
      <c r="BX571" s="64"/>
      <c r="BY571" s="64"/>
      <c r="BZ571" s="66"/>
      <c r="CA571" s="64"/>
      <c r="CB571" s="64"/>
      <c r="CC571" s="64"/>
      <c r="CD571" s="64"/>
      <c r="CE571" s="64"/>
      <c r="CF571" s="64"/>
      <c r="CG571" s="64" t="str">
        <f t="shared" si="6"/>
        <v/>
      </c>
    </row>
    <row r="572">
      <c r="A572" s="74"/>
      <c r="B572" s="75"/>
      <c r="C572" s="76"/>
      <c r="F572" s="71"/>
      <c r="G572" s="77"/>
      <c r="J572" s="78"/>
      <c r="K572" s="63"/>
      <c r="L572" s="63"/>
      <c r="M572" s="63"/>
      <c r="N572" s="63"/>
      <c r="O572" s="63"/>
      <c r="P572" s="63"/>
      <c r="Q572" s="63"/>
      <c r="R572" s="63"/>
      <c r="S572" s="63"/>
      <c r="U572" s="71"/>
      <c r="V572" s="71"/>
      <c r="Z572" s="71"/>
      <c r="BW572" s="64"/>
      <c r="BX572" s="64"/>
      <c r="BY572" s="64"/>
      <c r="BZ572" s="66"/>
      <c r="CA572" s="64"/>
      <c r="CB572" s="64"/>
      <c r="CC572" s="64"/>
      <c r="CD572" s="64"/>
      <c r="CE572" s="64"/>
      <c r="CF572" s="64"/>
      <c r="CG572" s="64" t="str">
        <f t="shared" si="6"/>
        <v/>
      </c>
    </row>
    <row r="573">
      <c r="A573" s="74"/>
      <c r="B573" s="75"/>
      <c r="C573" s="76"/>
      <c r="F573" s="71"/>
      <c r="G573" s="77"/>
      <c r="J573" s="78"/>
      <c r="K573" s="63"/>
      <c r="L573" s="63"/>
      <c r="M573" s="63"/>
      <c r="N573" s="63"/>
      <c r="O573" s="63"/>
      <c r="P573" s="63"/>
      <c r="Q573" s="63"/>
      <c r="R573" s="63"/>
      <c r="S573" s="63"/>
      <c r="U573" s="71"/>
      <c r="V573" s="71"/>
      <c r="Z573" s="71"/>
      <c r="BW573" s="64"/>
      <c r="BX573" s="64"/>
      <c r="BY573" s="64"/>
      <c r="BZ573" s="66"/>
      <c r="CA573" s="64"/>
      <c r="CB573" s="64"/>
      <c r="CC573" s="64"/>
      <c r="CD573" s="64"/>
      <c r="CE573" s="64"/>
      <c r="CF573" s="64"/>
      <c r="CG573" s="64" t="str">
        <f t="shared" si="6"/>
        <v/>
      </c>
    </row>
    <row r="574">
      <c r="A574" s="74"/>
      <c r="B574" s="75"/>
      <c r="C574" s="76"/>
      <c r="F574" s="71"/>
      <c r="G574" s="77"/>
      <c r="J574" s="78"/>
      <c r="K574" s="63"/>
      <c r="L574" s="63"/>
      <c r="M574" s="63"/>
      <c r="N574" s="63"/>
      <c r="O574" s="63"/>
      <c r="P574" s="63"/>
      <c r="Q574" s="63"/>
      <c r="R574" s="63"/>
      <c r="S574" s="63"/>
      <c r="U574" s="71"/>
      <c r="V574" s="71"/>
      <c r="Z574" s="71"/>
      <c r="BW574" s="64"/>
      <c r="BX574" s="64"/>
      <c r="BY574" s="64"/>
      <c r="BZ574" s="66"/>
      <c r="CA574" s="64"/>
      <c r="CB574" s="64"/>
      <c r="CC574" s="64"/>
      <c r="CD574" s="64"/>
      <c r="CE574" s="64"/>
      <c r="CF574" s="64"/>
      <c r="CG574" s="64" t="str">
        <f t="shared" si="6"/>
        <v/>
      </c>
    </row>
    <row r="575">
      <c r="A575" s="74"/>
      <c r="B575" s="75"/>
      <c r="C575" s="76"/>
      <c r="F575" s="71"/>
      <c r="G575" s="77"/>
      <c r="J575" s="78"/>
      <c r="K575" s="63"/>
      <c r="L575" s="63"/>
      <c r="M575" s="63"/>
      <c r="N575" s="63"/>
      <c r="O575" s="63"/>
      <c r="P575" s="63"/>
      <c r="Q575" s="63"/>
      <c r="R575" s="63"/>
      <c r="S575" s="63"/>
      <c r="U575" s="71"/>
      <c r="V575" s="71"/>
      <c r="Z575" s="71"/>
      <c r="BW575" s="64"/>
      <c r="BX575" s="64"/>
      <c r="BY575" s="64"/>
      <c r="BZ575" s="66"/>
      <c r="CA575" s="64"/>
      <c r="CB575" s="64"/>
      <c r="CC575" s="64"/>
      <c r="CD575" s="64"/>
      <c r="CE575" s="64"/>
      <c r="CF575" s="64"/>
      <c r="CG575" s="64" t="str">
        <f t="shared" si="6"/>
        <v/>
      </c>
    </row>
    <row r="576">
      <c r="A576" s="74"/>
      <c r="B576" s="75"/>
      <c r="C576" s="76"/>
      <c r="F576" s="71"/>
      <c r="G576" s="77"/>
      <c r="J576" s="78"/>
      <c r="K576" s="63"/>
      <c r="L576" s="63"/>
      <c r="M576" s="63"/>
      <c r="N576" s="63"/>
      <c r="O576" s="63"/>
      <c r="P576" s="63"/>
      <c r="Q576" s="63"/>
      <c r="R576" s="63"/>
      <c r="S576" s="63"/>
      <c r="U576" s="71"/>
      <c r="V576" s="71"/>
      <c r="Z576" s="71"/>
      <c r="BW576" s="64"/>
      <c r="BX576" s="64"/>
      <c r="BY576" s="64"/>
      <c r="BZ576" s="66"/>
      <c r="CA576" s="64"/>
      <c r="CB576" s="64"/>
      <c r="CC576" s="64"/>
      <c r="CD576" s="64"/>
      <c r="CE576" s="64"/>
      <c r="CF576" s="64"/>
      <c r="CG576" s="64" t="str">
        <f t="shared" si="6"/>
        <v/>
      </c>
    </row>
    <row r="577">
      <c r="A577" s="74"/>
      <c r="B577" s="75"/>
      <c r="C577" s="76"/>
      <c r="F577" s="71"/>
      <c r="G577" s="77"/>
      <c r="J577" s="78"/>
      <c r="K577" s="63"/>
      <c r="L577" s="63"/>
      <c r="M577" s="63"/>
      <c r="N577" s="63"/>
      <c r="O577" s="63"/>
      <c r="P577" s="63"/>
      <c r="Q577" s="63"/>
      <c r="R577" s="63"/>
      <c r="S577" s="63"/>
      <c r="U577" s="71"/>
      <c r="V577" s="71"/>
      <c r="Z577" s="71"/>
      <c r="BW577" s="64"/>
      <c r="BX577" s="64"/>
      <c r="BY577" s="64"/>
      <c r="BZ577" s="66"/>
      <c r="CA577" s="64"/>
      <c r="CB577" s="64"/>
      <c r="CC577" s="64"/>
      <c r="CD577" s="64"/>
      <c r="CE577" s="64"/>
      <c r="CF577" s="64"/>
      <c r="CG577" s="64" t="str">
        <f t="shared" si="6"/>
        <v/>
      </c>
    </row>
    <row r="578">
      <c r="A578" s="74"/>
      <c r="B578" s="75"/>
      <c r="C578" s="76"/>
      <c r="F578" s="71"/>
      <c r="G578" s="77"/>
      <c r="J578" s="78"/>
      <c r="K578" s="63"/>
      <c r="L578" s="63"/>
      <c r="M578" s="63"/>
      <c r="N578" s="63"/>
      <c r="O578" s="63"/>
      <c r="P578" s="63"/>
      <c r="Q578" s="63"/>
      <c r="R578" s="63"/>
      <c r="S578" s="63"/>
      <c r="U578" s="71"/>
      <c r="V578" s="71"/>
      <c r="Z578" s="71"/>
      <c r="BW578" s="64"/>
      <c r="BX578" s="64"/>
      <c r="BY578" s="64"/>
      <c r="BZ578" s="66"/>
      <c r="CA578" s="64"/>
      <c r="CB578" s="64"/>
      <c r="CC578" s="64"/>
      <c r="CD578" s="64"/>
      <c r="CE578" s="64"/>
      <c r="CF578" s="64"/>
      <c r="CG578" s="64" t="str">
        <f t="shared" si="6"/>
        <v/>
      </c>
    </row>
    <row r="579">
      <c r="A579" s="74"/>
      <c r="B579" s="75"/>
      <c r="C579" s="76"/>
      <c r="F579" s="71"/>
      <c r="G579" s="77"/>
      <c r="J579" s="78"/>
      <c r="K579" s="63"/>
      <c r="L579" s="63"/>
      <c r="M579" s="63"/>
      <c r="N579" s="63"/>
      <c r="O579" s="63"/>
      <c r="P579" s="63"/>
      <c r="Q579" s="63"/>
      <c r="R579" s="63"/>
      <c r="S579" s="63"/>
      <c r="U579" s="71"/>
      <c r="V579" s="71"/>
      <c r="Z579" s="71"/>
      <c r="BW579" s="64"/>
      <c r="BX579" s="64"/>
      <c r="BY579" s="64"/>
      <c r="BZ579" s="66"/>
      <c r="CA579" s="64"/>
      <c r="CB579" s="64"/>
      <c r="CC579" s="64"/>
      <c r="CD579" s="64"/>
      <c r="CE579" s="64"/>
      <c r="CF579" s="64"/>
      <c r="CG579" s="64" t="str">
        <f t="shared" si="6"/>
        <v/>
      </c>
    </row>
    <row r="580">
      <c r="A580" s="74"/>
      <c r="B580" s="75"/>
      <c r="C580" s="76"/>
      <c r="F580" s="71"/>
      <c r="G580" s="77"/>
      <c r="J580" s="78"/>
      <c r="K580" s="63"/>
      <c r="L580" s="63"/>
      <c r="M580" s="63"/>
      <c r="N580" s="63"/>
      <c r="O580" s="63"/>
      <c r="P580" s="63"/>
      <c r="Q580" s="63"/>
      <c r="R580" s="63"/>
      <c r="S580" s="63"/>
      <c r="U580" s="71"/>
      <c r="V580" s="71"/>
      <c r="Z580" s="71"/>
      <c r="BW580" s="64"/>
      <c r="BX580" s="64"/>
      <c r="BY580" s="64"/>
      <c r="BZ580" s="66"/>
      <c r="CA580" s="64"/>
      <c r="CB580" s="64"/>
      <c r="CC580" s="64"/>
      <c r="CD580" s="64"/>
      <c r="CE580" s="64"/>
      <c r="CF580" s="64"/>
      <c r="CG580" s="64" t="str">
        <f t="shared" si="6"/>
        <v/>
      </c>
    </row>
    <row r="581">
      <c r="A581" s="74"/>
      <c r="B581" s="75"/>
      <c r="C581" s="76"/>
      <c r="F581" s="71"/>
      <c r="G581" s="77"/>
      <c r="J581" s="78"/>
      <c r="K581" s="63"/>
      <c r="L581" s="63"/>
      <c r="M581" s="63"/>
      <c r="N581" s="63"/>
      <c r="O581" s="63"/>
      <c r="P581" s="63"/>
      <c r="Q581" s="63"/>
      <c r="R581" s="63"/>
      <c r="S581" s="63"/>
      <c r="U581" s="71"/>
      <c r="V581" s="71"/>
      <c r="Z581" s="71"/>
      <c r="BW581" s="64"/>
      <c r="BX581" s="64"/>
      <c r="BY581" s="64"/>
      <c r="BZ581" s="66"/>
      <c r="CA581" s="64"/>
      <c r="CB581" s="64"/>
      <c r="CC581" s="64"/>
      <c r="CD581" s="64"/>
      <c r="CE581" s="64"/>
      <c r="CF581" s="64"/>
      <c r="CG581" s="64" t="str">
        <f t="shared" si="6"/>
        <v/>
      </c>
    </row>
    <row r="582">
      <c r="A582" s="74"/>
      <c r="B582" s="75"/>
      <c r="C582" s="76"/>
      <c r="F582" s="71"/>
      <c r="G582" s="77"/>
      <c r="J582" s="78"/>
      <c r="K582" s="63"/>
      <c r="L582" s="63"/>
      <c r="M582" s="63"/>
      <c r="N582" s="63"/>
      <c r="O582" s="63"/>
      <c r="P582" s="63"/>
      <c r="Q582" s="63"/>
      <c r="R582" s="63"/>
      <c r="S582" s="63"/>
      <c r="U582" s="71"/>
      <c r="V582" s="71"/>
      <c r="Z582" s="71"/>
      <c r="BW582" s="64"/>
      <c r="BX582" s="64"/>
      <c r="BY582" s="64"/>
      <c r="BZ582" s="66"/>
      <c r="CA582" s="64"/>
      <c r="CB582" s="64"/>
      <c r="CC582" s="64"/>
      <c r="CD582" s="64"/>
      <c r="CE582" s="64"/>
      <c r="CF582" s="64"/>
      <c r="CG582" s="64" t="str">
        <f t="shared" si="6"/>
        <v/>
      </c>
    </row>
    <row r="583">
      <c r="A583" s="74"/>
      <c r="B583" s="75"/>
      <c r="C583" s="76"/>
      <c r="F583" s="71"/>
      <c r="G583" s="77"/>
      <c r="J583" s="78"/>
      <c r="K583" s="63"/>
      <c r="L583" s="63"/>
      <c r="M583" s="63"/>
      <c r="N583" s="63"/>
      <c r="O583" s="63"/>
      <c r="P583" s="63"/>
      <c r="Q583" s="63"/>
      <c r="R583" s="63"/>
      <c r="S583" s="63"/>
      <c r="U583" s="71"/>
      <c r="V583" s="71"/>
      <c r="Z583" s="71"/>
      <c r="BW583" s="64"/>
      <c r="BX583" s="64"/>
      <c r="BY583" s="64"/>
      <c r="BZ583" s="66"/>
      <c r="CA583" s="64"/>
      <c r="CB583" s="64"/>
      <c r="CC583" s="64"/>
      <c r="CD583" s="64"/>
      <c r="CE583" s="64"/>
      <c r="CF583" s="64"/>
      <c r="CG583" s="64" t="str">
        <f t="shared" si="6"/>
        <v/>
      </c>
    </row>
    <row r="584">
      <c r="A584" s="74"/>
      <c r="B584" s="75"/>
      <c r="C584" s="76"/>
      <c r="F584" s="71"/>
      <c r="G584" s="77"/>
      <c r="J584" s="78"/>
      <c r="K584" s="63"/>
      <c r="L584" s="63"/>
      <c r="M584" s="63"/>
      <c r="N584" s="63"/>
      <c r="O584" s="63"/>
      <c r="P584" s="63"/>
      <c r="Q584" s="63"/>
      <c r="R584" s="63"/>
      <c r="S584" s="63"/>
      <c r="U584" s="71"/>
      <c r="V584" s="71"/>
      <c r="Z584" s="71"/>
      <c r="BW584" s="64"/>
      <c r="BX584" s="64"/>
      <c r="BY584" s="64"/>
      <c r="BZ584" s="66"/>
      <c r="CA584" s="64"/>
      <c r="CB584" s="64"/>
      <c r="CC584" s="64"/>
      <c r="CD584" s="64"/>
      <c r="CE584" s="64"/>
      <c r="CF584" s="64"/>
      <c r="CG584" s="64" t="str">
        <f t="shared" si="6"/>
        <v/>
      </c>
    </row>
    <row r="585">
      <c r="A585" s="74"/>
      <c r="B585" s="75"/>
      <c r="C585" s="76"/>
      <c r="F585" s="71"/>
      <c r="G585" s="77"/>
      <c r="J585" s="78"/>
      <c r="K585" s="63"/>
      <c r="L585" s="63"/>
      <c r="M585" s="63"/>
      <c r="N585" s="63"/>
      <c r="O585" s="63"/>
      <c r="P585" s="63"/>
      <c r="Q585" s="63"/>
      <c r="R585" s="63"/>
      <c r="S585" s="63"/>
      <c r="U585" s="71"/>
      <c r="V585" s="71"/>
      <c r="Z585" s="71"/>
      <c r="BW585" s="64"/>
      <c r="BX585" s="64"/>
      <c r="BY585" s="64"/>
      <c r="BZ585" s="66"/>
      <c r="CA585" s="64"/>
      <c r="CB585" s="64"/>
      <c r="CC585" s="64"/>
      <c r="CD585" s="64"/>
      <c r="CE585" s="64"/>
      <c r="CF585" s="64"/>
      <c r="CG585" s="64" t="str">
        <f t="shared" si="6"/>
        <v/>
      </c>
    </row>
    <row r="586">
      <c r="A586" s="74"/>
      <c r="B586" s="75"/>
      <c r="C586" s="76"/>
      <c r="F586" s="71"/>
      <c r="G586" s="77"/>
      <c r="J586" s="78"/>
      <c r="K586" s="63"/>
      <c r="L586" s="63"/>
      <c r="M586" s="63"/>
      <c r="N586" s="63"/>
      <c r="O586" s="63"/>
      <c r="P586" s="63"/>
      <c r="Q586" s="63"/>
      <c r="R586" s="63"/>
      <c r="S586" s="63"/>
      <c r="U586" s="71"/>
      <c r="V586" s="71"/>
      <c r="Z586" s="71"/>
      <c r="BW586" s="64"/>
      <c r="BX586" s="64"/>
      <c r="BY586" s="64"/>
      <c r="BZ586" s="66"/>
      <c r="CA586" s="64"/>
      <c r="CB586" s="64"/>
      <c r="CC586" s="64"/>
      <c r="CD586" s="64"/>
      <c r="CE586" s="64"/>
      <c r="CF586" s="64"/>
      <c r="CG586" s="64" t="str">
        <f t="shared" si="6"/>
        <v/>
      </c>
    </row>
    <row r="587">
      <c r="A587" s="74"/>
      <c r="B587" s="75"/>
      <c r="C587" s="76"/>
      <c r="F587" s="71"/>
      <c r="G587" s="77"/>
      <c r="J587" s="78"/>
      <c r="K587" s="63"/>
      <c r="L587" s="63"/>
      <c r="M587" s="63"/>
      <c r="N587" s="63"/>
      <c r="O587" s="63"/>
      <c r="P587" s="63"/>
      <c r="Q587" s="63"/>
      <c r="R587" s="63"/>
      <c r="S587" s="63"/>
      <c r="U587" s="71"/>
      <c r="V587" s="71"/>
      <c r="Z587" s="71"/>
      <c r="BW587" s="64"/>
      <c r="BX587" s="64"/>
      <c r="BY587" s="64"/>
      <c r="BZ587" s="66"/>
      <c r="CA587" s="64"/>
      <c r="CB587" s="64"/>
      <c r="CC587" s="64"/>
      <c r="CD587" s="64"/>
      <c r="CE587" s="64"/>
      <c r="CF587" s="64"/>
      <c r="CG587" s="64" t="str">
        <f t="shared" si="6"/>
        <v/>
      </c>
    </row>
    <row r="588">
      <c r="A588" s="74"/>
      <c r="B588" s="75"/>
      <c r="C588" s="76"/>
      <c r="F588" s="71"/>
      <c r="G588" s="77"/>
      <c r="J588" s="78"/>
      <c r="K588" s="63"/>
      <c r="L588" s="63"/>
      <c r="M588" s="63"/>
      <c r="N588" s="63"/>
      <c r="O588" s="63"/>
      <c r="P588" s="63"/>
      <c r="Q588" s="63"/>
      <c r="R588" s="63"/>
      <c r="S588" s="63"/>
      <c r="U588" s="71"/>
      <c r="V588" s="71"/>
      <c r="Z588" s="71"/>
      <c r="BW588" s="64"/>
      <c r="BX588" s="64"/>
      <c r="BY588" s="64"/>
      <c r="BZ588" s="66"/>
      <c r="CA588" s="64"/>
      <c r="CB588" s="64"/>
      <c r="CC588" s="64"/>
      <c r="CD588" s="64"/>
      <c r="CE588" s="64"/>
      <c r="CF588" s="64"/>
      <c r="CG588" s="64" t="str">
        <f t="shared" si="6"/>
        <v/>
      </c>
    </row>
    <row r="589">
      <c r="A589" s="74"/>
      <c r="B589" s="75"/>
      <c r="C589" s="76"/>
      <c r="F589" s="71"/>
      <c r="G589" s="77"/>
      <c r="J589" s="78"/>
      <c r="K589" s="63"/>
      <c r="L589" s="63"/>
      <c r="M589" s="63"/>
      <c r="N589" s="63"/>
      <c r="O589" s="63"/>
      <c r="P589" s="63"/>
      <c r="Q589" s="63"/>
      <c r="R589" s="63"/>
      <c r="S589" s="63"/>
      <c r="U589" s="71"/>
      <c r="V589" s="71"/>
      <c r="Z589" s="71"/>
      <c r="BW589" s="64"/>
      <c r="BX589" s="64"/>
      <c r="BY589" s="64"/>
      <c r="BZ589" s="66"/>
      <c r="CA589" s="64"/>
      <c r="CB589" s="64"/>
      <c r="CC589" s="64"/>
      <c r="CD589" s="64"/>
      <c r="CE589" s="64"/>
      <c r="CF589" s="64"/>
      <c r="CG589" s="64" t="str">
        <f t="shared" si="6"/>
        <v/>
      </c>
    </row>
    <row r="590">
      <c r="A590" s="74"/>
      <c r="B590" s="75"/>
      <c r="C590" s="76"/>
      <c r="F590" s="71"/>
      <c r="G590" s="77"/>
      <c r="J590" s="78"/>
      <c r="K590" s="63"/>
      <c r="L590" s="63"/>
      <c r="M590" s="63"/>
      <c r="N590" s="63"/>
      <c r="O590" s="63"/>
      <c r="P590" s="63"/>
      <c r="Q590" s="63"/>
      <c r="R590" s="63"/>
      <c r="S590" s="63"/>
      <c r="U590" s="71"/>
      <c r="V590" s="71"/>
      <c r="Z590" s="71"/>
      <c r="BW590" s="64"/>
      <c r="BX590" s="64"/>
      <c r="BY590" s="64"/>
      <c r="BZ590" s="66"/>
      <c r="CA590" s="64"/>
      <c r="CB590" s="64"/>
      <c r="CC590" s="64"/>
      <c r="CD590" s="64"/>
      <c r="CE590" s="64"/>
      <c r="CF590" s="64"/>
      <c r="CG590" s="64" t="str">
        <f t="shared" si="6"/>
        <v/>
      </c>
    </row>
    <row r="591">
      <c r="A591" s="74"/>
      <c r="B591" s="75"/>
      <c r="C591" s="76"/>
      <c r="F591" s="71"/>
      <c r="G591" s="77"/>
      <c r="J591" s="78"/>
      <c r="K591" s="63"/>
      <c r="L591" s="63"/>
      <c r="M591" s="63"/>
      <c r="N591" s="63"/>
      <c r="O591" s="63"/>
      <c r="P591" s="63"/>
      <c r="Q591" s="63"/>
      <c r="R591" s="63"/>
      <c r="S591" s="63"/>
      <c r="U591" s="71"/>
      <c r="V591" s="71"/>
      <c r="Z591" s="71"/>
      <c r="BW591" s="64"/>
      <c r="BX591" s="64"/>
      <c r="BY591" s="64"/>
      <c r="BZ591" s="66"/>
      <c r="CA591" s="64"/>
      <c r="CB591" s="64"/>
      <c r="CC591" s="64"/>
      <c r="CD591" s="64"/>
      <c r="CE591" s="64"/>
      <c r="CF591" s="64"/>
      <c r="CG591" s="64" t="str">
        <f t="shared" si="6"/>
        <v/>
      </c>
    </row>
    <row r="592">
      <c r="A592" s="74"/>
      <c r="B592" s="75"/>
      <c r="C592" s="76"/>
      <c r="F592" s="71"/>
      <c r="G592" s="77"/>
      <c r="J592" s="78"/>
      <c r="K592" s="63"/>
      <c r="L592" s="63"/>
      <c r="M592" s="63"/>
      <c r="N592" s="63"/>
      <c r="O592" s="63"/>
      <c r="P592" s="63"/>
      <c r="Q592" s="63"/>
      <c r="R592" s="63"/>
      <c r="S592" s="63"/>
      <c r="U592" s="71"/>
      <c r="V592" s="71"/>
      <c r="Z592" s="71"/>
      <c r="BW592" s="64"/>
      <c r="BX592" s="64"/>
      <c r="BY592" s="64"/>
      <c r="BZ592" s="66"/>
      <c r="CA592" s="64"/>
      <c r="CB592" s="64"/>
      <c r="CC592" s="64"/>
      <c r="CD592" s="64"/>
      <c r="CE592" s="64"/>
      <c r="CF592" s="64"/>
      <c r="CG592" s="64" t="str">
        <f t="shared" si="6"/>
        <v/>
      </c>
    </row>
    <row r="593">
      <c r="A593" s="74"/>
      <c r="B593" s="75"/>
      <c r="C593" s="76"/>
      <c r="F593" s="71"/>
      <c r="G593" s="77"/>
      <c r="J593" s="78"/>
      <c r="K593" s="63"/>
      <c r="L593" s="63"/>
      <c r="M593" s="63"/>
      <c r="N593" s="63"/>
      <c r="O593" s="63"/>
      <c r="P593" s="63"/>
      <c r="Q593" s="63"/>
      <c r="R593" s="63"/>
      <c r="S593" s="63"/>
      <c r="U593" s="71"/>
      <c r="V593" s="71"/>
      <c r="Z593" s="71"/>
      <c r="BW593" s="64"/>
      <c r="BX593" s="64"/>
      <c r="BY593" s="64"/>
      <c r="BZ593" s="66"/>
      <c r="CA593" s="64"/>
      <c r="CB593" s="64"/>
      <c r="CC593" s="64"/>
      <c r="CD593" s="64"/>
      <c r="CE593" s="64"/>
      <c r="CF593" s="64"/>
      <c r="CG593" s="64" t="str">
        <f t="shared" si="6"/>
        <v/>
      </c>
    </row>
    <row r="594">
      <c r="A594" s="74"/>
      <c r="B594" s="75"/>
      <c r="C594" s="76"/>
      <c r="F594" s="71"/>
      <c r="G594" s="77"/>
      <c r="J594" s="78"/>
      <c r="K594" s="63"/>
      <c r="L594" s="63"/>
      <c r="M594" s="63"/>
      <c r="N594" s="63"/>
      <c r="O594" s="63"/>
      <c r="P594" s="63"/>
      <c r="Q594" s="63"/>
      <c r="R594" s="63"/>
      <c r="S594" s="63"/>
      <c r="U594" s="71"/>
      <c r="V594" s="71"/>
      <c r="Z594" s="71"/>
      <c r="BW594" s="64"/>
      <c r="BX594" s="64"/>
      <c r="BY594" s="64"/>
      <c r="BZ594" s="66"/>
      <c r="CA594" s="64"/>
      <c r="CB594" s="64"/>
      <c r="CC594" s="64"/>
      <c r="CD594" s="64"/>
      <c r="CE594" s="64"/>
      <c r="CF594" s="64"/>
      <c r="CG594" s="64" t="str">
        <f t="shared" si="6"/>
        <v/>
      </c>
    </row>
    <row r="595">
      <c r="A595" s="74"/>
      <c r="B595" s="75"/>
      <c r="C595" s="76"/>
      <c r="F595" s="71"/>
      <c r="G595" s="77"/>
      <c r="J595" s="78"/>
      <c r="K595" s="63"/>
      <c r="L595" s="63"/>
      <c r="M595" s="63"/>
      <c r="N595" s="63"/>
      <c r="O595" s="63"/>
      <c r="P595" s="63"/>
      <c r="Q595" s="63"/>
      <c r="R595" s="63"/>
      <c r="S595" s="63"/>
      <c r="U595" s="71"/>
      <c r="V595" s="71"/>
      <c r="Z595" s="71"/>
      <c r="BW595" s="64"/>
      <c r="BX595" s="64"/>
      <c r="BY595" s="64"/>
      <c r="BZ595" s="66"/>
      <c r="CA595" s="64"/>
      <c r="CB595" s="64"/>
      <c r="CC595" s="64"/>
      <c r="CD595" s="64"/>
      <c r="CE595" s="64"/>
      <c r="CF595" s="64"/>
      <c r="CG595" s="64" t="str">
        <f t="shared" si="6"/>
        <v/>
      </c>
    </row>
    <row r="596">
      <c r="A596" s="74"/>
      <c r="B596" s="75"/>
      <c r="C596" s="76"/>
      <c r="F596" s="71"/>
      <c r="G596" s="77"/>
      <c r="J596" s="78"/>
      <c r="K596" s="63"/>
      <c r="L596" s="63"/>
      <c r="M596" s="63"/>
      <c r="N596" s="63"/>
      <c r="O596" s="63"/>
      <c r="P596" s="63"/>
      <c r="Q596" s="63"/>
      <c r="R596" s="63"/>
      <c r="S596" s="63"/>
      <c r="U596" s="71"/>
      <c r="V596" s="71"/>
      <c r="Z596" s="71"/>
      <c r="BW596" s="64"/>
      <c r="BX596" s="64"/>
      <c r="BY596" s="64"/>
      <c r="BZ596" s="66"/>
      <c r="CA596" s="64"/>
      <c r="CB596" s="64"/>
      <c r="CC596" s="64"/>
      <c r="CD596" s="64"/>
      <c r="CE596" s="64"/>
      <c r="CF596" s="64"/>
      <c r="CG596" s="64" t="str">
        <f t="shared" si="6"/>
        <v/>
      </c>
    </row>
    <row r="597">
      <c r="A597" s="74"/>
      <c r="B597" s="75"/>
      <c r="C597" s="76"/>
      <c r="F597" s="71"/>
      <c r="G597" s="77"/>
      <c r="J597" s="78"/>
      <c r="K597" s="63"/>
      <c r="L597" s="63"/>
      <c r="M597" s="63"/>
      <c r="N597" s="63"/>
      <c r="O597" s="63"/>
      <c r="P597" s="63"/>
      <c r="Q597" s="63"/>
      <c r="R597" s="63"/>
      <c r="S597" s="63"/>
      <c r="U597" s="71"/>
      <c r="V597" s="71"/>
      <c r="Z597" s="71"/>
      <c r="BW597" s="64"/>
      <c r="BX597" s="64"/>
      <c r="BY597" s="64"/>
      <c r="BZ597" s="66"/>
      <c r="CA597" s="64"/>
      <c r="CB597" s="64"/>
      <c r="CC597" s="64"/>
      <c r="CD597" s="64"/>
      <c r="CE597" s="64"/>
      <c r="CF597" s="64"/>
      <c r="CG597" s="64" t="str">
        <f t="shared" si="6"/>
        <v/>
      </c>
    </row>
    <row r="598">
      <c r="A598" s="74"/>
      <c r="B598" s="75"/>
      <c r="C598" s="76"/>
      <c r="F598" s="71"/>
      <c r="G598" s="77"/>
      <c r="J598" s="78"/>
      <c r="K598" s="63"/>
      <c r="L598" s="63"/>
      <c r="M598" s="63"/>
      <c r="N598" s="63"/>
      <c r="O598" s="63"/>
      <c r="P598" s="63"/>
      <c r="Q598" s="63"/>
      <c r="R598" s="63"/>
      <c r="S598" s="63"/>
      <c r="U598" s="71"/>
      <c r="V598" s="71"/>
      <c r="Z598" s="71"/>
      <c r="BW598" s="64"/>
      <c r="BX598" s="64"/>
      <c r="BY598" s="64"/>
      <c r="BZ598" s="66"/>
      <c r="CA598" s="64"/>
      <c r="CB598" s="64"/>
      <c r="CC598" s="64"/>
      <c r="CD598" s="64"/>
      <c r="CE598" s="64"/>
      <c r="CF598" s="64"/>
      <c r="CG598" s="64" t="str">
        <f t="shared" si="6"/>
        <v/>
      </c>
    </row>
    <row r="599">
      <c r="A599" s="74"/>
      <c r="B599" s="75"/>
      <c r="C599" s="76"/>
      <c r="F599" s="71"/>
      <c r="G599" s="77"/>
      <c r="J599" s="78"/>
      <c r="K599" s="63"/>
      <c r="L599" s="63"/>
      <c r="M599" s="63"/>
      <c r="N599" s="63"/>
      <c r="O599" s="63"/>
      <c r="P599" s="63"/>
      <c r="Q599" s="63"/>
      <c r="R599" s="63"/>
      <c r="S599" s="63"/>
      <c r="U599" s="71"/>
      <c r="V599" s="71"/>
      <c r="Z599" s="71"/>
      <c r="BW599" s="64"/>
      <c r="BX599" s="64"/>
      <c r="BY599" s="64"/>
      <c r="BZ599" s="66"/>
      <c r="CA599" s="64"/>
      <c r="CB599" s="64"/>
      <c r="CC599" s="64"/>
      <c r="CD599" s="64"/>
      <c r="CE599" s="64"/>
      <c r="CF599" s="64"/>
      <c r="CG599" s="64" t="str">
        <f t="shared" si="6"/>
        <v/>
      </c>
    </row>
    <row r="600">
      <c r="A600" s="74"/>
      <c r="B600" s="75"/>
      <c r="C600" s="76"/>
      <c r="F600" s="71"/>
      <c r="G600" s="77"/>
      <c r="J600" s="78"/>
      <c r="K600" s="63"/>
      <c r="L600" s="63"/>
      <c r="M600" s="63"/>
      <c r="N600" s="63"/>
      <c r="O600" s="63"/>
      <c r="P600" s="63"/>
      <c r="Q600" s="63"/>
      <c r="R600" s="63"/>
      <c r="S600" s="63"/>
      <c r="U600" s="71"/>
      <c r="V600" s="71"/>
      <c r="Z600" s="71"/>
      <c r="BW600" s="64"/>
      <c r="BX600" s="64"/>
      <c r="BY600" s="64"/>
      <c r="BZ600" s="66"/>
      <c r="CA600" s="64"/>
      <c r="CB600" s="64"/>
      <c r="CC600" s="64"/>
      <c r="CD600" s="64"/>
      <c r="CE600" s="64"/>
      <c r="CF600" s="64"/>
      <c r="CG600" s="64" t="str">
        <f t="shared" si="6"/>
        <v/>
      </c>
    </row>
    <row r="601">
      <c r="A601" s="74"/>
      <c r="B601" s="75"/>
      <c r="C601" s="76"/>
      <c r="F601" s="71"/>
      <c r="G601" s="77"/>
      <c r="J601" s="78"/>
      <c r="K601" s="63"/>
      <c r="L601" s="63"/>
      <c r="M601" s="63"/>
      <c r="N601" s="63"/>
      <c r="O601" s="63"/>
      <c r="P601" s="63"/>
      <c r="Q601" s="63"/>
      <c r="R601" s="63"/>
      <c r="S601" s="63"/>
      <c r="U601" s="71"/>
      <c r="V601" s="71"/>
      <c r="Z601" s="71"/>
      <c r="BW601" s="64"/>
      <c r="BX601" s="64"/>
      <c r="BY601" s="64"/>
      <c r="BZ601" s="66"/>
      <c r="CA601" s="64"/>
      <c r="CB601" s="64"/>
      <c r="CC601" s="64"/>
      <c r="CD601" s="64"/>
      <c r="CE601" s="64"/>
      <c r="CF601" s="64"/>
      <c r="CG601" s="64" t="str">
        <f t="shared" si="6"/>
        <v/>
      </c>
    </row>
    <row r="602">
      <c r="A602" s="74"/>
      <c r="B602" s="75"/>
      <c r="C602" s="76"/>
      <c r="F602" s="71"/>
      <c r="G602" s="77"/>
      <c r="J602" s="78"/>
      <c r="K602" s="63"/>
      <c r="L602" s="63"/>
      <c r="M602" s="63"/>
      <c r="N602" s="63"/>
      <c r="O602" s="63"/>
      <c r="P602" s="63"/>
      <c r="Q602" s="63"/>
      <c r="R602" s="63"/>
      <c r="S602" s="63"/>
      <c r="U602" s="71"/>
      <c r="V602" s="71"/>
      <c r="Z602" s="71"/>
      <c r="BW602" s="64"/>
      <c r="BX602" s="64"/>
      <c r="BY602" s="64"/>
      <c r="BZ602" s="66"/>
      <c r="CA602" s="64"/>
      <c r="CB602" s="64"/>
      <c r="CC602" s="64"/>
      <c r="CD602" s="64"/>
      <c r="CE602" s="64"/>
      <c r="CF602" s="64"/>
      <c r="CG602" s="64" t="str">
        <f t="shared" si="6"/>
        <v/>
      </c>
    </row>
    <row r="603">
      <c r="A603" s="74"/>
      <c r="B603" s="75"/>
      <c r="C603" s="76"/>
      <c r="F603" s="71"/>
      <c r="G603" s="77"/>
      <c r="J603" s="78"/>
      <c r="K603" s="63"/>
      <c r="L603" s="63"/>
      <c r="M603" s="63"/>
      <c r="N603" s="63"/>
      <c r="O603" s="63"/>
      <c r="P603" s="63"/>
      <c r="Q603" s="63"/>
      <c r="R603" s="63"/>
      <c r="S603" s="63"/>
      <c r="U603" s="71"/>
      <c r="V603" s="71"/>
      <c r="Z603" s="71"/>
      <c r="BW603" s="64"/>
      <c r="BX603" s="64"/>
      <c r="BY603" s="64"/>
      <c r="BZ603" s="66"/>
      <c r="CA603" s="64"/>
      <c r="CB603" s="64"/>
      <c r="CC603" s="64"/>
      <c r="CD603" s="64"/>
      <c r="CE603" s="64"/>
      <c r="CF603" s="64"/>
      <c r="CG603" s="64" t="str">
        <f t="shared" si="6"/>
        <v/>
      </c>
    </row>
    <row r="604">
      <c r="A604" s="74"/>
      <c r="B604" s="75"/>
      <c r="C604" s="76"/>
      <c r="F604" s="71"/>
      <c r="G604" s="77"/>
      <c r="J604" s="78"/>
      <c r="K604" s="63"/>
      <c r="L604" s="63"/>
      <c r="M604" s="63"/>
      <c r="N604" s="63"/>
      <c r="O604" s="63"/>
      <c r="P604" s="63"/>
      <c r="Q604" s="63"/>
      <c r="R604" s="63"/>
      <c r="S604" s="63"/>
      <c r="U604" s="71"/>
      <c r="V604" s="71"/>
      <c r="Z604" s="71"/>
      <c r="BW604" s="64"/>
      <c r="BX604" s="64"/>
      <c r="BY604" s="64"/>
      <c r="BZ604" s="66"/>
      <c r="CA604" s="64"/>
      <c r="CB604" s="64"/>
      <c r="CC604" s="64"/>
      <c r="CD604" s="64"/>
      <c r="CE604" s="64"/>
      <c r="CF604" s="64"/>
      <c r="CG604" s="64" t="str">
        <f t="shared" si="6"/>
        <v/>
      </c>
    </row>
    <row r="605">
      <c r="A605" s="74"/>
      <c r="B605" s="75"/>
      <c r="C605" s="76"/>
      <c r="F605" s="71"/>
      <c r="G605" s="77"/>
      <c r="J605" s="78"/>
      <c r="K605" s="63"/>
      <c r="L605" s="63"/>
      <c r="M605" s="63"/>
      <c r="N605" s="63"/>
      <c r="O605" s="63"/>
      <c r="P605" s="63"/>
      <c r="Q605" s="63"/>
      <c r="R605" s="63"/>
      <c r="S605" s="63"/>
      <c r="U605" s="71"/>
      <c r="V605" s="71"/>
      <c r="Z605" s="71"/>
      <c r="BW605" s="64"/>
      <c r="BX605" s="64"/>
      <c r="BY605" s="64"/>
      <c r="BZ605" s="66"/>
      <c r="CA605" s="64"/>
      <c r="CB605" s="64"/>
      <c r="CC605" s="64"/>
      <c r="CD605" s="64"/>
      <c r="CE605" s="64"/>
      <c r="CF605" s="64"/>
      <c r="CG605" s="64" t="str">
        <f t="shared" si="6"/>
        <v/>
      </c>
    </row>
    <row r="606">
      <c r="A606" s="74"/>
      <c r="B606" s="75"/>
      <c r="C606" s="76"/>
      <c r="F606" s="71"/>
      <c r="G606" s="77"/>
      <c r="J606" s="78"/>
      <c r="K606" s="63"/>
      <c r="L606" s="63"/>
      <c r="M606" s="63"/>
      <c r="N606" s="63"/>
      <c r="O606" s="63"/>
      <c r="P606" s="63"/>
      <c r="Q606" s="63"/>
      <c r="R606" s="63"/>
      <c r="S606" s="63"/>
      <c r="U606" s="71"/>
      <c r="V606" s="71"/>
      <c r="Z606" s="71"/>
      <c r="BW606" s="64"/>
      <c r="BX606" s="64"/>
      <c r="BY606" s="64"/>
      <c r="BZ606" s="66"/>
      <c r="CA606" s="64"/>
      <c r="CB606" s="64"/>
      <c r="CC606" s="64"/>
      <c r="CD606" s="64"/>
      <c r="CE606" s="64"/>
      <c r="CF606" s="64"/>
      <c r="CG606" s="64" t="str">
        <f t="shared" si="6"/>
        <v/>
      </c>
    </row>
    <row r="607">
      <c r="A607" s="74"/>
      <c r="B607" s="75"/>
      <c r="C607" s="76"/>
      <c r="F607" s="71"/>
      <c r="G607" s="77"/>
      <c r="J607" s="78"/>
      <c r="K607" s="63"/>
      <c r="L607" s="63"/>
      <c r="M607" s="63"/>
      <c r="N607" s="63"/>
      <c r="O607" s="63"/>
      <c r="P607" s="63"/>
      <c r="Q607" s="63"/>
      <c r="R607" s="63"/>
      <c r="S607" s="63"/>
      <c r="U607" s="71"/>
      <c r="V607" s="71"/>
      <c r="Z607" s="71"/>
      <c r="BW607" s="64"/>
      <c r="BX607" s="64"/>
      <c r="BY607" s="64"/>
      <c r="BZ607" s="66"/>
      <c r="CA607" s="64"/>
      <c r="CB607" s="64"/>
      <c r="CC607" s="64"/>
      <c r="CD607" s="64"/>
      <c r="CE607" s="64"/>
      <c r="CF607" s="64"/>
      <c r="CG607" s="64" t="str">
        <f t="shared" si="6"/>
        <v/>
      </c>
    </row>
    <row r="608">
      <c r="A608" s="74"/>
      <c r="B608" s="75"/>
      <c r="C608" s="76"/>
      <c r="F608" s="71"/>
      <c r="G608" s="77"/>
      <c r="J608" s="78"/>
      <c r="K608" s="63"/>
      <c r="L608" s="63"/>
      <c r="M608" s="63"/>
      <c r="N608" s="63"/>
      <c r="O608" s="63"/>
      <c r="P608" s="63"/>
      <c r="Q608" s="63"/>
      <c r="R608" s="63"/>
      <c r="S608" s="63"/>
      <c r="U608" s="71"/>
      <c r="V608" s="71"/>
      <c r="Z608" s="71"/>
      <c r="BW608" s="64"/>
      <c r="BX608" s="64"/>
      <c r="BY608" s="64"/>
      <c r="BZ608" s="66"/>
      <c r="CA608" s="64"/>
      <c r="CB608" s="64"/>
      <c r="CC608" s="64"/>
      <c r="CD608" s="64"/>
      <c r="CE608" s="64"/>
      <c r="CF608" s="64"/>
      <c r="CG608" s="64" t="str">
        <f t="shared" si="6"/>
        <v/>
      </c>
    </row>
    <row r="609">
      <c r="A609" s="74"/>
      <c r="B609" s="75"/>
      <c r="C609" s="76"/>
      <c r="F609" s="71"/>
      <c r="G609" s="77"/>
      <c r="J609" s="78"/>
      <c r="K609" s="63"/>
      <c r="L609" s="63"/>
      <c r="M609" s="63"/>
      <c r="N609" s="63"/>
      <c r="O609" s="63"/>
      <c r="P609" s="63"/>
      <c r="Q609" s="63"/>
      <c r="R609" s="63"/>
      <c r="S609" s="63"/>
      <c r="U609" s="71"/>
      <c r="V609" s="71"/>
      <c r="Z609" s="71"/>
      <c r="BW609" s="64"/>
      <c r="BX609" s="64"/>
      <c r="BY609" s="64"/>
      <c r="BZ609" s="66"/>
      <c r="CA609" s="64"/>
      <c r="CB609" s="64"/>
      <c r="CC609" s="64"/>
      <c r="CD609" s="64"/>
      <c r="CE609" s="64"/>
      <c r="CF609" s="64"/>
      <c r="CG609" s="64" t="str">
        <f t="shared" si="6"/>
        <v/>
      </c>
    </row>
    <row r="610">
      <c r="A610" s="74"/>
      <c r="B610" s="75"/>
      <c r="C610" s="76"/>
      <c r="F610" s="71"/>
      <c r="G610" s="77"/>
      <c r="J610" s="78"/>
      <c r="K610" s="63"/>
      <c r="L610" s="63"/>
      <c r="M610" s="63"/>
      <c r="N610" s="63"/>
      <c r="O610" s="63"/>
      <c r="P610" s="63"/>
      <c r="Q610" s="63"/>
      <c r="R610" s="63"/>
      <c r="S610" s="63"/>
      <c r="U610" s="71"/>
      <c r="V610" s="71"/>
      <c r="Z610" s="71"/>
      <c r="BW610" s="64"/>
      <c r="BX610" s="64"/>
      <c r="BY610" s="64"/>
      <c r="BZ610" s="66"/>
      <c r="CA610" s="64"/>
      <c r="CB610" s="64"/>
      <c r="CC610" s="64"/>
      <c r="CD610" s="64"/>
      <c r="CE610" s="64"/>
      <c r="CF610" s="64"/>
      <c r="CG610" s="64" t="str">
        <f t="shared" si="6"/>
        <v/>
      </c>
    </row>
    <row r="611">
      <c r="A611" s="74"/>
      <c r="B611" s="75"/>
      <c r="C611" s="76"/>
      <c r="F611" s="71"/>
      <c r="G611" s="77"/>
      <c r="J611" s="78"/>
      <c r="K611" s="63"/>
      <c r="L611" s="63"/>
      <c r="M611" s="63"/>
      <c r="N611" s="63"/>
      <c r="O611" s="63"/>
      <c r="P611" s="63"/>
      <c r="Q611" s="63"/>
      <c r="R611" s="63"/>
      <c r="S611" s="63"/>
      <c r="U611" s="71"/>
      <c r="V611" s="71"/>
      <c r="Z611" s="71"/>
      <c r="BW611" s="64"/>
      <c r="BX611" s="64"/>
      <c r="BY611" s="64"/>
      <c r="BZ611" s="66"/>
      <c r="CA611" s="64"/>
      <c r="CB611" s="64"/>
      <c r="CC611" s="64"/>
      <c r="CD611" s="64"/>
      <c r="CE611" s="64"/>
      <c r="CF611" s="64"/>
      <c r="CG611" s="64" t="str">
        <f t="shared" si="6"/>
        <v/>
      </c>
    </row>
    <row r="612">
      <c r="A612" s="74"/>
      <c r="B612" s="75"/>
      <c r="C612" s="76"/>
      <c r="F612" s="71"/>
      <c r="G612" s="77"/>
      <c r="J612" s="78"/>
      <c r="K612" s="63"/>
      <c r="L612" s="63"/>
      <c r="M612" s="63"/>
      <c r="N612" s="63"/>
      <c r="O612" s="63"/>
      <c r="P612" s="63"/>
      <c r="Q612" s="63"/>
      <c r="R612" s="63"/>
      <c r="S612" s="63"/>
      <c r="U612" s="71"/>
      <c r="V612" s="71"/>
      <c r="Z612" s="71"/>
      <c r="BW612" s="64"/>
      <c r="BX612" s="64"/>
      <c r="BY612" s="64"/>
      <c r="BZ612" s="66"/>
      <c r="CA612" s="64"/>
      <c r="CB612" s="64"/>
      <c r="CC612" s="64"/>
      <c r="CD612" s="64"/>
      <c r="CE612" s="64"/>
      <c r="CF612" s="64"/>
      <c r="CG612" s="64" t="str">
        <f t="shared" si="6"/>
        <v/>
      </c>
    </row>
    <row r="613">
      <c r="A613" s="74"/>
      <c r="B613" s="75"/>
      <c r="C613" s="76"/>
      <c r="F613" s="71"/>
      <c r="G613" s="77"/>
      <c r="J613" s="78"/>
      <c r="K613" s="63"/>
      <c r="L613" s="63"/>
      <c r="M613" s="63"/>
      <c r="N613" s="63"/>
      <c r="O613" s="63"/>
      <c r="P613" s="63"/>
      <c r="Q613" s="63"/>
      <c r="R613" s="63"/>
      <c r="S613" s="63"/>
      <c r="U613" s="71"/>
      <c r="V613" s="71"/>
      <c r="Z613" s="71"/>
      <c r="BW613" s="64"/>
      <c r="BX613" s="64"/>
      <c r="BY613" s="64"/>
      <c r="BZ613" s="66"/>
      <c r="CA613" s="64"/>
      <c r="CB613" s="64"/>
      <c r="CC613" s="64"/>
      <c r="CD613" s="64"/>
      <c r="CE613" s="64"/>
      <c r="CF613" s="64"/>
      <c r="CG613" s="64" t="str">
        <f t="shared" si="6"/>
        <v/>
      </c>
    </row>
    <row r="614">
      <c r="A614" s="74"/>
      <c r="B614" s="75"/>
      <c r="C614" s="76"/>
      <c r="F614" s="71"/>
      <c r="G614" s="77"/>
      <c r="J614" s="78"/>
      <c r="K614" s="63"/>
      <c r="L614" s="63"/>
      <c r="M614" s="63"/>
      <c r="N614" s="63"/>
      <c r="O614" s="63"/>
      <c r="P614" s="63"/>
      <c r="Q614" s="63"/>
      <c r="R614" s="63"/>
      <c r="S614" s="63"/>
      <c r="U614" s="71"/>
      <c r="V614" s="71"/>
      <c r="Z614" s="71"/>
      <c r="BW614" s="64"/>
      <c r="BX614" s="64"/>
      <c r="BY614" s="64"/>
      <c r="BZ614" s="66"/>
      <c r="CA614" s="64"/>
      <c r="CB614" s="64"/>
      <c r="CC614" s="64"/>
      <c r="CD614" s="64"/>
      <c r="CE614" s="64"/>
      <c r="CF614" s="64"/>
      <c r="CG614" s="64" t="str">
        <f t="shared" si="6"/>
        <v/>
      </c>
    </row>
    <row r="615">
      <c r="A615" s="74"/>
      <c r="B615" s="75"/>
      <c r="C615" s="76"/>
      <c r="F615" s="71"/>
      <c r="G615" s="77"/>
      <c r="J615" s="78"/>
      <c r="K615" s="63"/>
      <c r="L615" s="63"/>
      <c r="M615" s="63"/>
      <c r="N615" s="63"/>
      <c r="O615" s="63"/>
      <c r="P615" s="63"/>
      <c r="Q615" s="63"/>
      <c r="R615" s="63"/>
      <c r="S615" s="63"/>
      <c r="U615" s="71"/>
      <c r="V615" s="71"/>
      <c r="Z615" s="71"/>
      <c r="BW615" s="64"/>
      <c r="BX615" s="64"/>
      <c r="BY615" s="64"/>
      <c r="BZ615" s="66"/>
      <c r="CA615" s="64"/>
      <c r="CB615" s="64"/>
      <c r="CC615" s="64"/>
      <c r="CD615" s="64"/>
      <c r="CE615" s="64"/>
      <c r="CF615" s="64"/>
      <c r="CG615" s="64" t="str">
        <f t="shared" si="6"/>
        <v/>
      </c>
    </row>
    <row r="616">
      <c r="A616" s="74"/>
      <c r="B616" s="75"/>
      <c r="C616" s="76"/>
      <c r="F616" s="71"/>
      <c r="G616" s="77"/>
      <c r="J616" s="78"/>
      <c r="K616" s="63"/>
      <c r="L616" s="63"/>
      <c r="M616" s="63"/>
      <c r="N616" s="63"/>
      <c r="O616" s="63"/>
      <c r="P616" s="63"/>
      <c r="Q616" s="63"/>
      <c r="R616" s="63"/>
      <c r="S616" s="63"/>
      <c r="U616" s="71"/>
      <c r="V616" s="71"/>
      <c r="Z616" s="71"/>
      <c r="BW616" s="64"/>
      <c r="BX616" s="64"/>
      <c r="BY616" s="64"/>
      <c r="BZ616" s="66"/>
      <c r="CA616" s="64"/>
      <c r="CB616" s="64"/>
      <c r="CC616" s="64"/>
      <c r="CD616" s="64"/>
      <c r="CE616" s="64"/>
      <c r="CF616" s="64"/>
      <c r="CG616" s="64" t="str">
        <f t="shared" si="6"/>
        <v/>
      </c>
    </row>
    <row r="617">
      <c r="A617" s="74"/>
      <c r="B617" s="75"/>
      <c r="C617" s="76"/>
      <c r="F617" s="71"/>
      <c r="G617" s="77"/>
      <c r="J617" s="78"/>
      <c r="K617" s="63"/>
      <c r="L617" s="63"/>
      <c r="M617" s="63"/>
      <c r="N617" s="63"/>
      <c r="O617" s="63"/>
      <c r="P617" s="63"/>
      <c r="Q617" s="63"/>
      <c r="R617" s="63"/>
      <c r="S617" s="63"/>
      <c r="U617" s="71"/>
      <c r="V617" s="71"/>
      <c r="Z617" s="71"/>
      <c r="BW617" s="64"/>
      <c r="BX617" s="64"/>
      <c r="BY617" s="64"/>
      <c r="BZ617" s="66"/>
      <c r="CA617" s="64"/>
      <c r="CB617" s="64"/>
      <c r="CC617" s="64"/>
      <c r="CD617" s="64"/>
      <c r="CE617" s="64"/>
      <c r="CF617" s="64"/>
      <c r="CG617" s="64" t="str">
        <f t="shared" si="6"/>
        <v/>
      </c>
    </row>
    <row r="618">
      <c r="A618" s="74"/>
      <c r="B618" s="75"/>
      <c r="C618" s="76"/>
      <c r="F618" s="71"/>
      <c r="G618" s="77"/>
      <c r="J618" s="78"/>
      <c r="K618" s="63"/>
      <c r="L618" s="63"/>
      <c r="M618" s="63"/>
      <c r="N618" s="63"/>
      <c r="O618" s="63"/>
      <c r="P618" s="63"/>
      <c r="Q618" s="63"/>
      <c r="R618" s="63"/>
      <c r="S618" s="63"/>
      <c r="U618" s="71"/>
      <c r="V618" s="71"/>
      <c r="Z618" s="71"/>
      <c r="BW618" s="64"/>
      <c r="BX618" s="64"/>
      <c r="BY618" s="64"/>
      <c r="BZ618" s="66"/>
      <c r="CA618" s="64"/>
      <c r="CB618" s="64"/>
      <c r="CC618" s="64"/>
      <c r="CD618" s="64"/>
      <c r="CE618" s="64"/>
      <c r="CF618" s="64"/>
      <c r="CG618" s="64" t="str">
        <f t="shared" si="6"/>
        <v/>
      </c>
    </row>
    <row r="619">
      <c r="A619" s="74"/>
      <c r="B619" s="75"/>
      <c r="C619" s="76"/>
      <c r="F619" s="71"/>
      <c r="G619" s="77"/>
      <c r="J619" s="78"/>
      <c r="K619" s="63"/>
      <c r="L619" s="63"/>
      <c r="M619" s="63"/>
      <c r="N619" s="63"/>
      <c r="O619" s="63"/>
      <c r="P619" s="63"/>
      <c r="Q619" s="63"/>
      <c r="R619" s="63"/>
      <c r="S619" s="63"/>
      <c r="U619" s="71"/>
      <c r="V619" s="71"/>
      <c r="Z619" s="71"/>
      <c r="BW619" s="64"/>
      <c r="BX619" s="64"/>
      <c r="BY619" s="64"/>
      <c r="BZ619" s="66"/>
      <c r="CA619" s="64"/>
      <c r="CB619" s="64"/>
      <c r="CC619" s="64"/>
      <c r="CD619" s="64"/>
      <c r="CE619" s="64"/>
      <c r="CF619" s="64"/>
      <c r="CG619" s="64" t="str">
        <f t="shared" si="6"/>
        <v/>
      </c>
    </row>
    <row r="620">
      <c r="A620" s="74"/>
      <c r="B620" s="75"/>
      <c r="C620" s="76"/>
      <c r="F620" s="71"/>
      <c r="G620" s="77"/>
      <c r="J620" s="78"/>
      <c r="K620" s="63"/>
      <c r="L620" s="63"/>
      <c r="M620" s="63"/>
      <c r="N620" s="63"/>
      <c r="O620" s="63"/>
      <c r="P620" s="63"/>
      <c r="Q620" s="63"/>
      <c r="R620" s="63"/>
      <c r="S620" s="63"/>
      <c r="U620" s="71"/>
      <c r="V620" s="71"/>
      <c r="Z620" s="71"/>
      <c r="BW620" s="64"/>
      <c r="BX620" s="64"/>
      <c r="BY620" s="64"/>
      <c r="BZ620" s="66"/>
      <c r="CA620" s="64"/>
      <c r="CB620" s="64"/>
      <c r="CC620" s="64"/>
      <c r="CD620" s="64"/>
      <c r="CE620" s="64"/>
      <c r="CF620" s="64"/>
      <c r="CG620" s="64" t="str">
        <f t="shared" si="6"/>
        <v/>
      </c>
    </row>
    <row r="621">
      <c r="A621" s="74"/>
      <c r="B621" s="75"/>
      <c r="C621" s="76"/>
      <c r="F621" s="71"/>
      <c r="G621" s="77"/>
      <c r="J621" s="78"/>
      <c r="K621" s="63"/>
      <c r="L621" s="63"/>
      <c r="M621" s="63"/>
      <c r="N621" s="63"/>
      <c r="O621" s="63"/>
      <c r="P621" s="63"/>
      <c r="Q621" s="63"/>
      <c r="R621" s="63"/>
      <c r="S621" s="63"/>
      <c r="U621" s="71"/>
      <c r="V621" s="71"/>
      <c r="Z621" s="71"/>
      <c r="BW621" s="64"/>
      <c r="BX621" s="64"/>
      <c r="BY621" s="64"/>
      <c r="BZ621" s="66"/>
      <c r="CA621" s="64"/>
      <c r="CB621" s="64"/>
      <c r="CC621" s="64"/>
      <c r="CD621" s="64"/>
      <c r="CE621" s="64"/>
      <c r="CF621" s="64"/>
      <c r="CG621" s="64" t="str">
        <f t="shared" si="6"/>
        <v/>
      </c>
    </row>
    <row r="622">
      <c r="A622" s="74"/>
      <c r="B622" s="75"/>
      <c r="C622" s="76"/>
      <c r="F622" s="71"/>
      <c r="G622" s="77"/>
      <c r="J622" s="78"/>
      <c r="K622" s="63"/>
      <c r="L622" s="63"/>
      <c r="M622" s="63"/>
      <c r="N622" s="63"/>
      <c r="O622" s="63"/>
      <c r="P622" s="63"/>
      <c r="Q622" s="63"/>
      <c r="R622" s="63"/>
      <c r="S622" s="63"/>
      <c r="U622" s="71"/>
      <c r="V622" s="71"/>
      <c r="Z622" s="71"/>
      <c r="BW622" s="64"/>
      <c r="BX622" s="64"/>
      <c r="BY622" s="64"/>
      <c r="BZ622" s="66"/>
      <c r="CA622" s="64"/>
      <c r="CB622" s="64"/>
      <c r="CC622" s="64"/>
      <c r="CD622" s="64"/>
      <c r="CE622" s="64"/>
      <c r="CF622" s="64"/>
      <c r="CG622" s="64" t="str">
        <f t="shared" si="6"/>
        <v/>
      </c>
    </row>
    <row r="623">
      <c r="A623" s="74"/>
      <c r="B623" s="75"/>
      <c r="C623" s="76"/>
      <c r="F623" s="71"/>
      <c r="G623" s="77"/>
      <c r="J623" s="78"/>
      <c r="K623" s="63"/>
      <c r="L623" s="63"/>
      <c r="M623" s="63"/>
      <c r="N623" s="63"/>
      <c r="O623" s="63"/>
      <c r="P623" s="63"/>
      <c r="Q623" s="63"/>
      <c r="R623" s="63"/>
      <c r="S623" s="63"/>
      <c r="U623" s="71"/>
      <c r="V623" s="71"/>
      <c r="Z623" s="71"/>
      <c r="BW623" s="64"/>
      <c r="BX623" s="64"/>
      <c r="BY623" s="64"/>
      <c r="BZ623" s="66"/>
      <c r="CA623" s="64"/>
      <c r="CB623" s="64"/>
      <c r="CC623" s="64"/>
      <c r="CD623" s="64"/>
      <c r="CE623" s="64"/>
      <c r="CF623" s="64"/>
      <c r="CG623" s="64" t="str">
        <f t="shared" si="6"/>
        <v/>
      </c>
    </row>
    <row r="624">
      <c r="A624" s="74"/>
      <c r="B624" s="75"/>
      <c r="C624" s="76"/>
      <c r="F624" s="71"/>
      <c r="G624" s="77"/>
      <c r="J624" s="78"/>
      <c r="K624" s="63"/>
      <c r="L624" s="63"/>
      <c r="M624" s="63"/>
      <c r="N624" s="63"/>
      <c r="O624" s="63"/>
      <c r="P624" s="63"/>
      <c r="Q624" s="63"/>
      <c r="R624" s="63"/>
      <c r="S624" s="63"/>
      <c r="U624" s="71"/>
      <c r="V624" s="71"/>
      <c r="Z624" s="71"/>
      <c r="BW624" s="64"/>
      <c r="BX624" s="64"/>
      <c r="BY624" s="64"/>
      <c r="BZ624" s="66"/>
      <c r="CA624" s="64"/>
      <c r="CB624" s="64"/>
      <c r="CC624" s="64"/>
      <c r="CD624" s="64"/>
      <c r="CE624" s="64"/>
      <c r="CF624" s="64"/>
      <c r="CG624" s="64" t="str">
        <f t="shared" si="6"/>
        <v/>
      </c>
    </row>
    <row r="625">
      <c r="A625" s="74"/>
      <c r="B625" s="75"/>
      <c r="C625" s="76"/>
      <c r="F625" s="71"/>
      <c r="G625" s="77"/>
      <c r="J625" s="78"/>
      <c r="K625" s="63"/>
      <c r="L625" s="63"/>
      <c r="M625" s="63"/>
      <c r="N625" s="63"/>
      <c r="O625" s="63"/>
      <c r="P625" s="63"/>
      <c r="Q625" s="63"/>
      <c r="R625" s="63"/>
      <c r="S625" s="63"/>
      <c r="U625" s="71"/>
      <c r="V625" s="71"/>
      <c r="Z625" s="71"/>
      <c r="BW625" s="64"/>
      <c r="BX625" s="64"/>
      <c r="BY625" s="64"/>
      <c r="BZ625" s="66"/>
      <c r="CA625" s="64"/>
      <c r="CB625" s="64"/>
      <c r="CC625" s="64"/>
      <c r="CD625" s="64"/>
      <c r="CE625" s="64"/>
      <c r="CF625" s="64"/>
      <c r="CG625" s="64" t="str">
        <f t="shared" si="6"/>
        <v/>
      </c>
    </row>
    <row r="626">
      <c r="A626" s="74"/>
      <c r="B626" s="75"/>
      <c r="C626" s="76"/>
      <c r="F626" s="71"/>
      <c r="G626" s="77"/>
      <c r="J626" s="78"/>
      <c r="K626" s="63"/>
      <c r="L626" s="63"/>
      <c r="M626" s="63"/>
      <c r="N626" s="63"/>
      <c r="O626" s="63"/>
      <c r="P626" s="63"/>
      <c r="Q626" s="63"/>
      <c r="R626" s="63"/>
      <c r="S626" s="63"/>
      <c r="U626" s="71"/>
      <c r="V626" s="71"/>
      <c r="Z626" s="71"/>
      <c r="BW626" s="64"/>
      <c r="BX626" s="64"/>
      <c r="BY626" s="64"/>
      <c r="BZ626" s="66"/>
      <c r="CA626" s="64"/>
      <c r="CB626" s="64"/>
      <c r="CC626" s="64"/>
      <c r="CD626" s="64"/>
      <c r="CE626" s="64"/>
      <c r="CF626" s="64"/>
      <c r="CG626" s="64" t="str">
        <f t="shared" si="6"/>
        <v/>
      </c>
    </row>
    <row r="627">
      <c r="A627" s="74"/>
      <c r="B627" s="75"/>
      <c r="C627" s="76"/>
      <c r="F627" s="71"/>
      <c r="G627" s="77"/>
      <c r="J627" s="78"/>
      <c r="K627" s="63"/>
      <c r="L627" s="63"/>
      <c r="M627" s="63"/>
      <c r="N627" s="63"/>
      <c r="O627" s="63"/>
      <c r="P627" s="63"/>
      <c r="Q627" s="63"/>
      <c r="R627" s="63"/>
      <c r="S627" s="63"/>
      <c r="U627" s="71"/>
      <c r="V627" s="71"/>
      <c r="Z627" s="71"/>
      <c r="BW627" s="64"/>
      <c r="BX627" s="64"/>
      <c r="BY627" s="64"/>
      <c r="BZ627" s="66"/>
      <c r="CA627" s="64"/>
      <c r="CB627" s="64"/>
      <c r="CC627" s="64"/>
      <c r="CD627" s="64"/>
      <c r="CE627" s="64"/>
      <c r="CF627" s="64"/>
      <c r="CG627" s="64" t="str">
        <f t="shared" si="6"/>
        <v/>
      </c>
    </row>
    <row r="628">
      <c r="A628" s="74"/>
      <c r="B628" s="75"/>
      <c r="C628" s="76"/>
      <c r="F628" s="71"/>
      <c r="G628" s="77"/>
      <c r="J628" s="78"/>
      <c r="K628" s="63"/>
      <c r="L628" s="63"/>
      <c r="M628" s="63"/>
      <c r="N628" s="63"/>
      <c r="O628" s="63"/>
      <c r="P628" s="63"/>
      <c r="Q628" s="63"/>
      <c r="R628" s="63"/>
      <c r="S628" s="63"/>
      <c r="U628" s="71"/>
      <c r="V628" s="71"/>
      <c r="Z628" s="71"/>
      <c r="BW628" s="64"/>
      <c r="BX628" s="64"/>
      <c r="BY628" s="64"/>
      <c r="BZ628" s="66"/>
      <c r="CA628" s="64"/>
      <c r="CB628" s="64"/>
      <c r="CC628" s="64"/>
      <c r="CD628" s="64"/>
      <c r="CE628" s="64"/>
      <c r="CF628" s="64"/>
      <c r="CG628" s="64" t="str">
        <f t="shared" si="6"/>
        <v/>
      </c>
    </row>
    <row r="629">
      <c r="A629" s="74"/>
      <c r="B629" s="75"/>
      <c r="C629" s="76"/>
      <c r="F629" s="71"/>
      <c r="G629" s="77"/>
      <c r="J629" s="78"/>
      <c r="K629" s="63"/>
      <c r="L629" s="63"/>
      <c r="M629" s="63"/>
      <c r="N629" s="63"/>
      <c r="O629" s="63"/>
      <c r="P629" s="63"/>
      <c r="Q629" s="63"/>
      <c r="R629" s="63"/>
      <c r="S629" s="63"/>
      <c r="U629" s="71"/>
      <c r="V629" s="71"/>
      <c r="Z629" s="71"/>
      <c r="BW629" s="64"/>
      <c r="BX629" s="64"/>
      <c r="BY629" s="64"/>
      <c r="BZ629" s="66"/>
      <c r="CA629" s="64"/>
      <c r="CB629" s="64"/>
      <c r="CC629" s="64"/>
      <c r="CD629" s="64"/>
      <c r="CE629" s="64"/>
      <c r="CF629" s="64"/>
      <c r="CG629" s="64" t="str">
        <f t="shared" si="6"/>
        <v/>
      </c>
    </row>
    <row r="630">
      <c r="A630" s="74"/>
      <c r="B630" s="75"/>
      <c r="C630" s="76"/>
      <c r="F630" s="71"/>
      <c r="G630" s="77"/>
      <c r="J630" s="78"/>
      <c r="K630" s="63"/>
      <c r="L630" s="63"/>
      <c r="M630" s="63"/>
      <c r="N630" s="63"/>
      <c r="O630" s="63"/>
      <c r="P630" s="63"/>
      <c r="Q630" s="63"/>
      <c r="R630" s="63"/>
      <c r="S630" s="63"/>
      <c r="U630" s="71"/>
      <c r="V630" s="71"/>
      <c r="Z630" s="71"/>
      <c r="BW630" s="64"/>
      <c r="BX630" s="64"/>
      <c r="BY630" s="64"/>
      <c r="BZ630" s="66"/>
      <c r="CA630" s="64"/>
      <c r="CB630" s="64"/>
      <c r="CC630" s="64"/>
      <c r="CD630" s="64"/>
      <c r="CE630" s="64"/>
      <c r="CF630" s="64"/>
      <c r="CG630" s="64" t="str">
        <f t="shared" si="6"/>
        <v/>
      </c>
    </row>
    <row r="631">
      <c r="A631" s="74"/>
      <c r="B631" s="75"/>
      <c r="C631" s="76"/>
      <c r="F631" s="71"/>
      <c r="G631" s="77"/>
      <c r="J631" s="78"/>
      <c r="K631" s="63"/>
      <c r="L631" s="63"/>
      <c r="M631" s="63"/>
      <c r="N631" s="63"/>
      <c r="O631" s="63"/>
      <c r="P631" s="63"/>
      <c r="Q631" s="63"/>
      <c r="R631" s="63"/>
      <c r="S631" s="63"/>
      <c r="U631" s="71"/>
      <c r="V631" s="71"/>
      <c r="Z631" s="71"/>
      <c r="BW631" s="64"/>
      <c r="BX631" s="64"/>
      <c r="BY631" s="64"/>
      <c r="BZ631" s="66"/>
      <c r="CA631" s="64"/>
      <c r="CB631" s="64"/>
      <c r="CC631" s="64"/>
      <c r="CD631" s="64"/>
      <c r="CE631" s="64"/>
      <c r="CF631" s="64"/>
      <c r="CG631" s="64" t="str">
        <f t="shared" si="6"/>
        <v/>
      </c>
    </row>
    <row r="632">
      <c r="A632" s="74"/>
      <c r="B632" s="75"/>
      <c r="C632" s="76"/>
      <c r="F632" s="71"/>
      <c r="G632" s="77"/>
      <c r="J632" s="78"/>
      <c r="K632" s="63"/>
      <c r="L632" s="63"/>
      <c r="M632" s="63"/>
      <c r="N632" s="63"/>
      <c r="O632" s="63"/>
      <c r="P632" s="63"/>
      <c r="Q632" s="63"/>
      <c r="R632" s="63"/>
      <c r="S632" s="63"/>
      <c r="U632" s="71"/>
      <c r="V632" s="71"/>
      <c r="Z632" s="71"/>
      <c r="BW632" s="64"/>
      <c r="BX632" s="64"/>
      <c r="BY632" s="64"/>
      <c r="BZ632" s="66"/>
      <c r="CA632" s="64"/>
      <c r="CB632" s="64"/>
      <c r="CC632" s="64"/>
      <c r="CD632" s="64"/>
      <c r="CE632" s="64"/>
      <c r="CF632" s="64"/>
      <c r="CG632" s="64" t="str">
        <f t="shared" si="6"/>
        <v/>
      </c>
    </row>
    <row r="633">
      <c r="A633" s="74"/>
      <c r="B633" s="75"/>
      <c r="C633" s="76"/>
      <c r="F633" s="71"/>
      <c r="G633" s="77"/>
      <c r="J633" s="78"/>
      <c r="K633" s="63"/>
      <c r="L633" s="63"/>
      <c r="M633" s="63"/>
      <c r="N633" s="63"/>
      <c r="O633" s="63"/>
      <c r="P633" s="63"/>
      <c r="Q633" s="63"/>
      <c r="R633" s="63"/>
      <c r="S633" s="63"/>
      <c r="U633" s="71"/>
      <c r="V633" s="71"/>
      <c r="Z633" s="71"/>
      <c r="BW633" s="64"/>
      <c r="BX633" s="64"/>
      <c r="BY633" s="64"/>
      <c r="BZ633" s="66"/>
      <c r="CA633" s="64"/>
      <c r="CB633" s="64"/>
      <c r="CC633" s="64"/>
      <c r="CD633" s="64"/>
      <c r="CE633" s="64"/>
      <c r="CF633" s="64"/>
      <c r="CG633" s="64" t="str">
        <f t="shared" si="6"/>
        <v/>
      </c>
    </row>
    <row r="634">
      <c r="A634" s="74"/>
      <c r="B634" s="75"/>
      <c r="C634" s="76"/>
      <c r="F634" s="71"/>
      <c r="G634" s="77"/>
      <c r="J634" s="78"/>
      <c r="K634" s="63"/>
      <c r="L634" s="63"/>
      <c r="M634" s="63"/>
      <c r="N634" s="63"/>
      <c r="O634" s="63"/>
      <c r="P634" s="63"/>
      <c r="Q634" s="63"/>
      <c r="R634" s="63"/>
      <c r="S634" s="63"/>
      <c r="U634" s="71"/>
      <c r="V634" s="71"/>
      <c r="Z634" s="71"/>
      <c r="BW634" s="64"/>
      <c r="BX634" s="64"/>
      <c r="BY634" s="64"/>
      <c r="BZ634" s="66"/>
      <c r="CA634" s="64"/>
      <c r="CB634" s="64"/>
      <c r="CC634" s="64"/>
      <c r="CD634" s="64"/>
      <c r="CE634" s="64"/>
      <c r="CF634" s="64"/>
      <c r="CG634" s="64" t="str">
        <f t="shared" si="6"/>
        <v/>
      </c>
    </row>
    <row r="635">
      <c r="A635" s="74"/>
      <c r="B635" s="75"/>
      <c r="C635" s="76"/>
      <c r="F635" s="71"/>
      <c r="G635" s="77"/>
      <c r="J635" s="78"/>
      <c r="K635" s="63"/>
      <c r="L635" s="63"/>
      <c r="M635" s="63"/>
      <c r="N635" s="63"/>
      <c r="O635" s="63"/>
      <c r="P635" s="63"/>
      <c r="Q635" s="63"/>
      <c r="R635" s="63"/>
      <c r="S635" s="63"/>
      <c r="U635" s="71"/>
      <c r="V635" s="71"/>
      <c r="Z635" s="71"/>
      <c r="BW635" s="64"/>
      <c r="BX635" s="64"/>
      <c r="BY635" s="64"/>
      <c r="BZ635" s="66"/>
      <c r="CA635" s="64"/>
      <c r="CB635" s="64"/>
      <c r="CC635" s="64"/>
      <c r="CD635" s="64"/>
      <c r="CE635" s="64"/>
      <c r="CF635" s="64"/>
      <c r="CG635" s="64" t="str">
        <f t="shared" si="6"/>
        <v/>
      </c>
    </row>
    <row r="636">
      <c r="A636" s="74"/>
      <c r="B636" s="75"/>
      <c r="C636" s="76"/>
      <c r="F636" s="71"/>
      <c r="G636" s="77"/>
      <c r="J636" s="78"/>
      <c r="K636" s="63"/>
      <c r="L636" s="63"/>
      <c r="M636" s="63"/>
      <c r="N636" s="63"/>
      <c r="O636" s="63"/>
      <c r="P636" s="63"/>
      <c r="Q636" s="63"/>
      <c r="R636" s="63"/>
      <c r="S636" s="63"/>
      <c r="U636" s="71"/>
      <c r="V636" s="71"/>
      <c r="Z636" s="71"/>
      <c r="BW636" s="64"/>
      <c r="BX636" s="64"/>
      <c r="BY636" s="64"/>
      <c r="BZ636" s="66"/>
      <c r="CA636" s="64"/>
      <c r="CB636" s="64"/>
      <c r="CC636" s="64"/>
      <c r="CD636" s="64"/>
      <c r="CE636" s="64"/>
      <c r="CF636" s="64"/>
      <c r="CG636" s="64" t="str">
        <f t="shared" si="6"/>
        <v/>
      </c>
    </row>
    <row r="637">
      <c r="A637" s="74"/>
      <c r="B637" s="75"/>
      <c r="C637" s="76"/>
      <c r="F637" s="71"/>
      <c r="G637" s="77"/>
      <c r="J637" s="78"/>
      <c r="K637" s="63"/>
      <c r="L637" s="63"/>
      <c r="M637" s="63"/>
      <c r="N637" s="63"/>
      <c r="O637" s="63"/>
      <c r="P637" s="63"/>
      <c r="Q637" s="63"/>
      <c r="R637" s="63"/>
      <c r="S637" s="63"/>
      <c r="U637" s="71"/>
      <c r="V637" s="71"/>
      <c r="Z637" s="71"/>
      <c r="BW637" s="64"/>
      <c r="BX637" s="64"/>
      <c r="BY637" s="64"/>
      <c r="BZ637" s="66"/>
      <c r="CA637" s="64"/>
      <c r="CB637" s="64"/>
      <c r="CC637" s="64"/>
      <c r="CD637" s="64"/>
      <c r="CE637" s="64"/>
      <c r="CF637" s="64"/>
      <c r="CG637" s="64" t="str">
        <f t="shared" si="6"/>
        <v/>
      </c>
    </row>
    <row r="638">
      <c r="A638" s="74"/>
      <c r="B638" s="75"/>
      <c r="C638" s="76"/>
      <c r="F638" s="71"/>
      <c r="G638" s="77"/>
      <c r="J638" s="78"/>
      <c r="K638" s="63"/>
      <c r="L638" s="63"/>
      <c r="M638" s="63"/>
      <c r="N638" s="63"/>
      <c r="O638" s="63"/>
      <c r="P638" s="63"/>
      <c r="Q638" s="63"/>
      <c r="R638" s="63"/>
      <c r="S638" s="63"/>
      <c r="U638" s="71"/>
      <c r="V638" s="71"/>
      <c r="Z638" s="71"/>
      <c r="BW638" s="64"/>
      <c r="BX638" s="64"/>
      <c r="BY638" s="64"/>
      <c r="BZ638" s="66"/>
      <c r="CA638" s="64"/>
      <c r="CB638" s="64"/>
      <c r="CC638" s="64"/>
      <c r="CD638" s="64"/>
      <c r="CE638" s="64"/>
      <c r="CF638" s="64"/>
      <c r="CG638" s="64" t="str">
        <f t="shared" si="6"/>
        <v/>
      </c>
    </row>
    <row r="639">
      <c r="A639" s="74"/>
      <c r="B639" s="75"/>
      <c r="C639" s="76"/>
      <c r="F639" s="71"/>
      <c r="G639" s="77"/>
      <c r="J639" s="78"/>
      <c r="K639" s="63"/>
      <c r="L639" s="63"/>
      <c r="M639" s="63"/>
      <c r="N639" s="63"/>
      <c r="O639" s="63"/>
      <c r="P639" s="63"/>
      <c r="Q639" s="63"/>
      <c r="R639" s="63"/>
      <c r="S639" s="63"/>
      <c r="U639" s="71"/>
      <c r="V639" s="71"/>
      <c r="Z639" s="71"/>
      <c r="BW639" s="64"/>
      <c r="BX639" s="64"/>
      <c r="BY639" s="64"/>
      <c r="BZ639" s="66"/>
      <c r="CA639" s="64"/>
      <c r="CB639" s="64"/>
      <c r="CC639" s="64"/>
      <c r="CD639" s="64"/>
      <c r="CE639" s="64"/>
      <c r="CF639" s="64"/>
      <c r="CG639" s="64" t="str">
        <f t="shared" si="6"/>
        <v/>
      </c>
    </row>
    <row r="640">
      <c r="A640" s="74"/>
      <c r="B640" s="75"/>
      <c r="C640" s="76"/>
      <c r="F640" s="71"/>
      <c r="G640" s="77"/>
      <c r="J640" s="78"/>
      <c r="K640" s="63"/>
      <c r="L640" s="63"/>
      <c r="M640" s="63"/>
      <c r="N640" s="63"/>
      <c r="O640" s="63"/>
      <c r="P640" s="63"/>
      <c r="Q640" s="63"/>
      <c r="R640" s="63"/>
      <c r="S640" s="63"/>
      <c r="U640" s="71"/>
      <c r="V640" s="71"/>
      <c r="Z640" s="71"/>
      <c r="BW640" s="64"/>
      <c r="BX640" s="64"/>
      <c r="BY640" s="64"/>
      <c r="BZ640" s="66"/>
      <c r="CA640" s="64"/>
      <c r="CB640" s="64"/>
      <c r="CC640" s="64"/>
      <c r="CD640" s="64"/>
      <c r="CE640" s="64"/>
      <c r="CF640" s="64"/>
      <c r="CG640" s="64" t="str">
        <f t="shared" si="6"/>
        <v/>
      </c>
    </row>
    <row r="641">
      <c r="A641" s="74"/>
      <c r="B641" s="75"/>
      <c r="C641" s="76"/>
      <c r="F641" s="71"/>
      <c r="G641" s="77"/>
      <c r="J641" s="78"/>
      <c r="K641" s="63"/>
      <c r="L641" s="63"/>
      <c r="M641" s="63"/>
      <c r="N641" s="63"/>
      <c r="O641" s="63"/>
      <c r="P641" s="63"/>
      <c r="Q641" s="63"/>
      <c r="R641" s="63"/>
      <c r="S641" s="63"/>
      <c r="U641" s="71"/>
      <c r="V641" s="71"/>
      <c r="Z641" s="71"/>
      <c r="BW641" s="64"/>
      <c r="BX641" s="64"/>
      <c r="BY641" s="64"/>
      <c r="BZ641" s="66"/>
      <c r="CA641" s="64"/>
      <c r="CB641" s="64"/>
      <c r="CC641" s="64"/>
      <c r="CD641" s="64"/>
      <c r="CE641" s="64"/>
      <c r="CF641" s="64"/>
      <c r="CG641" s="64" t="str">
        <f t="shared" si="6"/>
        <v/>
      </c>
    </row>
    <row r="642">
      <c r="A642" s="74"/>
      <c r="B642" s="75"/>
      <c r="C642" s="76"/>
      <c r="F642" s="71"/>
      <c r="G642" s="77"/>
      <c r="J642" s="78"/>
      <c r="K642" s="63"/>
      <c r="L642" s="63"/>
      <c r="M642" s="63"/>
      <c r="N642" s="63"/>
      <c r="O642" s="63"/>
      <c r="P642" s="63"/>
      <c r="Q642" s="63"/>
      <c r="R642" s="63"/>
      <c r="S642" s="63"/>
      <c r="U642" s="71"/>
      <c r="V642" s="71"/>
      <c r="Z642" s="71"/>
      <c r="BW642" s="64"/>
      <c r="BX642" s="64"/>
      <c r="BY642" s="64"/>
      <c r="BZ642" s="66"/>
      <c r="CA642" s="64"/>
      <c r="CB642" s="64"/>
      <c r="CC642" s="64"/>
      <c r="CD642" s="64"/>
      <c r="CE642" s="64"/>
      <c r="CF642" s="64"/>
      <c r="CG642" s="64" t="str">
        <f t="shared" si="6"/>
        <v/>
      </c>
    </row>
    <row r="643">
      <c r="A643" s="74"/>
      <c r="B643" s="75"/>
      <c r="C643" s="76"/>
      <c r="F643" s="71"/>
      <c r="G643" s="77"/>
      <c r="J643" s="78"/>
      <c r="K643" s="63"/>
      <c r="L643" s="63"/>
      <c r="M643" s="63"/>
      <c r="N643" s="63"/>
      <c r="O643" s="63"/>
      <c r="P643" s="63"/>
      <c r="Q643" s="63"/>
      <c r="R643" s="63"/>
      <c r="S643" s="63"/>
      <c r="U643" s="71"/>
      <c r="V643" s="71"/>
      <c r="Z643" s="71"/>
      <c r="BW643" s="64"/>
      <c r="BX643" s="64"/>
      <c r="BY643" s="64"/>
      <c r="BZ643" s="66"/>
      <c r="CA643" s="64"/>
      <c r="CB643" s="64"/>
      <c r="CC643" s="64"/>
      <c r="CD643" s="64"/>
      <c r="CE643" s="64"/>
      <c r="CF643" s="64"/>
      <c r="CG643" s="64" t="str">
        <f t="shared" si="6"/>
        <v/>
      </c>
    </row>
    <row r="644">
      <c r="A644" s="74"/>
      <c r="B644" s="75"/>
      <c r="C644" s="76"/>
      <c r="F644" s="71"/>
      <c r="G644" s="77"/>
      <c r="J644" s="78"/>
      <c r="K644" s="63"/>
      <c r="L644" s="63"/>
      <c r="M644" s="63"/>
      <c r="N644" s="63"/>
      <c r="O644" s="63"/>
      <c r="P644" s="63"/>
      <c r="Q644" s="63"/>
      <c r="R644" s="63"/>
      <c r="S644" s="63"/>
      <c r="U644" s="71"/>
      <c r="V644" s="71"/>
      <c r="Z644" s="71"/>
      <c r="BW644" s="64"/>
      <c r="BX644" s="64"/>
      <c r="BY644" s="64"/>
      <c r="BZ644" s="66"/>
      <c r="CA644" s="64"/>
      <c r="CB644" s="64"/>
      <c r="CC644" s="64"/>
      <c r="CD644" s="64"/>
      <c r="CE644" s="64"/>
      <c r="CF644" s="64"/>
      <c r="CG644" s="64" t="str">
        <f t="shared" si="6"/>
        <v/>
      </c>
    </row>
    <row r="645">
      <c r="A645" s="74"/>
      <c r="B645" s="75"/>
      <c r="C645" s="76"/>
      <c r="F645" s="71"/>
      <c r="G645" s="77"/>
      <c r="J645" s="78"/>
      <c r="K645" s="63"/>
      <c r="L645" s="63"/>
      <c r="M645" s="63"/>
      <c r="N645" s="63"/>
      <c r="O645" s="63"/>
      <c r="P645" s="63"/>
      <c r="Q645" s="63"/>
      <c r="R645" s="63"/>
      <c r="S645" s="63"/>
      <c r="U645" s="71"/>
      <c r="V645" s="71"/>
      <c r="Z645" s="71"/>
      <c r="BW645" s="64"/>
      <c r="BX645" s="64"/>
      <c r="BY645" s="64"/>
      <c r="BZ645" s="66"/>
      <c r="CA645" s="64"/>
      <c r="CB645" s="64"/>
      <c r="CC645" s="64"/>
      <c r="CD645" s="64"/>
      <c r="CE645" s="64"/>
      <c r="CF645" s="64"/>
      <c r="CG645" s="64" t="str">
        <f t="shared" si="6"/>
        <v/>
      </c>
    </row>
    <row r="646">
      <c r="A646" s="74"/>
      <c r="B646" s="75"/>
      <c r="C646" s="76"/>
      <c r="F646" s="71"/>
      <c r="G646" s="77"/>
      <c r="J646" s="78"/>
      <c r="K646" s="63"/>
      <c r="L646" s="63"/>
      <c r="M646" s="63"/>
      <c r="N646" s="63"/>
      <c r="O646" s="63"/>
      <c r="P646" s="63"/>
      <c r="Q646" s="63"/>
      <c r="R646" s="63"/>
      <c r="S646" s="63"/>
      <c r="U646" s="71"/>
      <c r="V646" s="71"/>
      <c r="Z646" s="71"/>
      <c r="BW646" s="64"/>
      <c r="BX646" s="64"/>
      <c r="BY646" s="64"/>
      <c r="BZ646" s="66"/>
      <c r="CA646" s="64"/>
      <c r="CB646" s="64"/>
      <c r="CC646" s="64"/>
      <c r="CD646" s="64"/>
      <c r="CE646" s="64"/>
      <c r="CF646" s="64"/>
      <c r="CG646" s="64" t="str">
        <f t="shared" si="6"/>
        <v/>
      </c>
    </row>
    <row r="647">
      <c r="A647" s="74"/>
      <c r="B647" s="75"/>
      <c r="C647" s="76"/>
      <c r="F647" s="71"/>
      <c r="G647" s="77"/>
      <c r="J647" s="78"/>
      <c r="K647" s="63"/>
      <c r="L647" s="63"/>
      <c r="M647" s="63"/>
      <c r="N647" s="63"/>
      <c r="O647" s="63"/>
      <c r="P647" s="63"/>
      <c r="Q647" s="63"/>
      <c r="R647" s="63"/>
      <c r="S647" s="63"/>
      <c r="U647" s="71"/>
      <c r="V647" s="71"/>
      <c r="Z647" s="71"/>
      <c r="BW647" s="64"/>
      <c r="BX647" s="64"/>
      <c r="BY647" s="64"/>
      <c r="BZ647" s="66"/>
      <c r="CA647" s="64"/>
      <c r="CB647" s="64"/>
      <c r="CC647" s="64"/>
      <c r="CD647" s="64"/>
      <c r="CE647" s="64"/>
      <c r="CF647" s="64"/>
      <c r="CG647" s="64" t="str">
        <f t="shared" si="6"/>
        <v/>
      </c>
    </row>
    <row r="648">
      <c r="A648" s="74"/>
      <c r="B648" s="75"/>
      <c r="C648" s="76"/>
      <c r="F648" s="71"/>
      <c r="G648" s="77"/>
      <c r="J648" s="78"/>
      <c r="K648" s="63"/>
      <c r="L648" s="63"/>
      <c r="M648" s="63"/>
      <c r="N648" s="63"/>
      <c r="O648" s="63"/>
      <c r="P648" s="63"/>
      <c r="Q648" s="63"/>
      <c r="R648" s="63"/>
      <c r="S648" s="63"/>
      <c r="U648" s="71"/>
      <c r="V648" s="71"/>
      <c r="Z648" s="71"/>
      <c r="BW648" s="64"/>
      <c r="BX648" s="64"/>
      <c r="BY648" s="64"/>
      <c r="BZ648" s="66"/>
      <c r="CA648" s="64"/>
      <c r="CB648" s="64"/>
      <c r="CC648" s="64"/>
      <c r="CD648" s="64"/>
      <c r="CE648" s="64"/>
      <c r="CF648" s="64"/>
      <c r="CG648" s="64" t="str">
        <f t="shared" si="6"/>
        <v/>
      </c>
    </row>
    <row r="649">
      <c r="A649" s="74"/>
      <c r="B649" s="75"/>
      <c r="C649" s="76"/>
      <c r="F649" s="71"/>
      <c r="G649" s="77"/>
      <c r="J649" s="78"/>
      <c r="K649" s="63"/>
      <c r="L649" s="63"/>
      <c r="M649" s="63"/>
      <c r="N649" s="63"/>
      <c r="O649" s="63"/>
      <c r="P649" s="63"/>
      <c r="Q649" s="63"/>
      <c r="R649" s="63"/>
      <c r="S649" s="63"/>
      <c r="U649" s="71"/>
      <c r="V649" s="71"/>
      <c r="Z649" s="71"/>
      <c r="BW649" s="64"/>
      <c r="BX649" s="64"/>
      <c r="BY649" s="64"/>
      <c r="BZ649" s="66"/>
      <c r="CA649" s="64"/>
      <c r="CB649" s="64"/>
      <c r="CC649" s="64"/>
      <c r="CD649" s="64"/>
      <c r="CE649" s="64"/>
      <c r="CF649" s="64"/>
      <c r="CG649" s="64" t="str">
        <f t="shared" si="6"/>
        <v/>
      </c>
    </row>
    <row r="650">
      <c r="A650" s="74"/>
      <c r="B650" s="75"/>
      <c r="C650" s="76"/>
      <c r="F650" s="71"/>
      <c r="G650" s="77"/>
      <c r="J650" s="78"/>
      <c r="K650" s="63"/>
      <c r="L650" s="63"/>
      <c r="M650" s="63"/>
      <c r="N650" s="63"/>
      <c r="O650" s="63"/>
      <c r="P650" s="63"/>
      <c r="Q650" s="63"/>
      <c r="R650" s="63"/>
      <c r="S650" s="63"/>
      <c r="U650" s="71"/>
      <c r="V650" s="71"/>
      <c r="Z650" s="71"/>
      <c r="BW650" s="64"/>
      <c r="BX650" s="64"/>
      <c r="BY650" s="64"/>
      <c r="BZ650" s="66"/>
      <c r="CA650" s="64"/>
      <c r="CB650" s="64"/>
      <c r="CC650" s="64"/>
      <c r="CD650" s="64"/>
      <c r="CE650" s="64"/>
      <c r="CF650" s="64"/>
      <c r="CG650" s="64" t="str">
        <f t="shared" si="6"/>
        <v/>
      </c>
    </row>
    <row r="651">
      <c r="A651" s="74"/>
      <c r="B651" s="75"/>
      <c r="C651" s="76"/>
      <c r="F651" s="71"/>
      <c r="G651" s="77"/>
      <c r="J651" s="78"/>
      <c r="K651" s="63"/>
      <c r="L651" s="63"/>
      <c r="M651" s="63"/>
      <c r="N651" s="63"/>
      <c r="O651" s="63"/>
      <c r="P651" s="63"/>
      <c r="Q651" s="63"/>
      <c r="R651" s="63"/>
      <c r="S651" s="63"/>
      <c r="U651" s="71"/>
      <c r="V651" s="71"/>
      <c r="Z651" s="71"/>
      <c r="BW651" s="64"/>
      <c r="BX651" s="64"/>
      <c r="BY651" s="64"/>
      <c r="BZ651" s="66"/>
      <c r="CA651" s="64"/>
      <c r="CB651" s="64"/>
      <c r="CC651" s="64"/>
      <c r="CD651" s="64"/>
      <c r="CE651" s="64"/>
      <c r="CF651" s="64"/>
      <c r="CG651" s="64" t="str">
        <f t="shared" si="6"/>
        <v/>
      </c>
    </row>
    <row r="652">
      <c r="A652" s="74"/>
      <c r="B652" s="75"/>
      <c r="C652" s="76"/>
      <c r="F652" s="71"/>
      <c r="G652" s="77"/>
      <c r="J652" s="78"/>
      <c r="K652" s="63"/>
      <c r="L652" s="63"/>
      <c r="M652" s="63"/>
      <c r="N652" s="63"/>
      <c r="O652" s="63"/>
      <c r="P652" s="63"/>
      <c r="Q652" s="63"/>
      <c r="R652" s="63"/>
      <c r="S652" s="63"/>
      <c r="U652" s="71"/>
      <c r="V652" s="71"/>
      <c r="Z652" s="71"/>
      <c r="BW652" s="64"/>
      <c r="BX652" s="64"/>
      <c r="BY652" s="64"/>
      <c r="BZ652" s="66"/>
      <c r="CA652" s="64"/>
      <c r="CB652" s="64"/>
      <c r="CC652" s="64"/>
      <c r="CD652" s="64"/>
      <c r="CE652" s="64"/>
      <c r="CF652" s="64"/>
      <c r="CG652" s="64" t="str">
        <f t="shared" si="6"/>
        <v/>
      </c>
    </row>
    <row r="653">
      <c r="A653" s="74"/>
      <c r="B653" s="75"/>
      <c r="C653" s="76"/>
      <c r="F653" s="71"/>
      <c r="G653" s="77"/>
      <c r="J653" s="78"/>
      <c r="K653" s="63"/>
      <c r="L653" s="63"/>
      <c r="M653" s="63"/>
      <c r="N653" s="63"/>
      <c r="O653" s="63"/>
      <c r="P653" s="63"/>
      <c r="Q653" s="63"/>
      <c r="R653" s="63"/>
      <c r="S653" s="63"/>
      <c r="U653" s="71"/>
      <c r="V653" s="71"/>
      <c r="Z653" s="71"/>
      <c r="BW653" s="64"/>
      <c r="BX653" s="64"/>
      <c r="BY653" s="64"/>
      <c r="BZ653" s="66"/>
      <c r="CA653" s="64"/>
      <c r="CB653" s="64"/>
      <c r="CC653" s="64"/>
      <c r="CD653" s="64"/>
      <c r="CE653" s="64"/>
      <c r="CF653" s="64"/>
      <c r="CG653" s="64" t="str">
        <f t="shared" si="6"/>
        <v/>
      </c>
    </row>
    <row r="654">
      <c r="A654" s="74"/>
      <c r="B654" s="75"/>
      <c r="C654" s="76"/>
      <c r="F654" s="71"/>
      <c r="G654" s="77"/>
      <c r="J654" s="78"/>
      <c r="K654" s="63"/>
      <c r="L654" s="63"/>
      <c r="M654" s="63"/>
      <c r="N654" s="63"/>
      <c r="O654" s="63"/>
      <c r="P654" s="63"/>
      <c r="Q654" s="63"/>
      <c r="R654" s="63"/>
      <c r="S654" s="63"/>
      <c r="U654" s="71"/>
      <c r="V654" s="71"/>
      <c r="Z654" s="71"/>
      <c r="BW654" s="64"/>
      <c r="BX654" s="64"/>
      <c r="BY654" s="64"/>
      <c r="BZ654" s="66"/>
      <c r="CA654" s="64"/>
      <c r="CB654" s="64"/>
      <c r="CC654" s="64"/>
      <c r="CD654" s="64"/>
      <c r="CE654" s="64"/>
      <c r="CF654" s="64"/>
      <c r="CG654" s="64" t="str">
        <f t="shared" si="6"/>
        <v/>
      </c>
    </row>
    <row r="655">
      <c r="A655" s="74"/>
      <c r="B655" s="75"/>
      <c r="C655" s="76"/>
      <c r="F655" s="71"/>
      <c r="G655" s="77"/>
      <c r="J655" s="78"/>
      <c r="K655" s="63"/>
      <c r="L655" s="63"/>
      <c r="M655" s="63"/>
      <c r="N655" s="63"/>
      <c r="O655" s="63"/>
      <c r="P655" s="63"/>
      <c r="Q655" s="63"/>
      <c r="R655" s="63"/>
      <c r="S655" s="63"/>
      <c r="U655" s="71"/>
      <c r="V655" s="71"/>
      <c r="Z655" s="71"/>
      <c r="BW655" s="64"/>
      <c r="BX655" s="64"/>
      <c r="BY655" s="64"/>
      <c r="BZ655" s="66"/>
      <c r="CA655" s="64"/>
      <c r="CB655" s="64"/>
      <c r="CC655" s="64"/>
      <c r="CD655" s="64"/>
      <c r="CE655" s="64"/>
      <c r="CF655" s="64"/>
      <c r="CG655" s="64" t="str">
        <f t="shared" si="6"/>
        <v/>
      </c>
    </row>
    <row r="656">
      <c r="A656" s="74"/>
      <c r="B656" s="75"/>
      <c r="C656" s="76"/>
      <c r="F656" s="71"/>
      <c r="G656" s="77"/>
      <c r="J656" s="78"/>
      <c r="K656" s="63"/>
      <c r="L656" s="63"/>
      <c r="M656" s="63"/>
      <c r="N656" s="63"/>
      <c r="O656" s="63"/>
      <c r="P656" s="63"/>
      <c r="Q656" s="63"/>
      <c r="R656" s="63"/>
      <c r="S656" s="63"/>
      <c r="U656" s="71"/>
      <c r="V656" s="71"/>
      <c r="Z656" s="71"/>
      <c r="BW656" s="64"/>
      <c r="BX656" s="64"/>
      <c r="BY656" s="64"/>
      <c r="BZ656" s="66"/>
      <c r="CA656" s="64"/>
      <c r="CB656" s="64"/>
      <c r="CC656" s="64"/>
      <c r="CD656" s="64"/>
      <c r="CE656" s="64"/>
      <c r="CF656" s="64"/>
      <c r="CG656" s="64" t="str">
        <f t="shared" si="6"/>
        <v/>
      </c>
    </row>
    <row r="657">
      <c r="A657" s="74"/>
      <c r="B657" s="75"/>
      <c r="C657" s="76"/>
      <c r="F657" s="71"/>
      <c r="G657" s="77"/>
      <c r="J657" s="78"/>
      <c r="K657" s="63"/>
      <c r="L657" s="63"/>
      <c r="M657" s="63"/>
      <c r="N657" s="63"/>
      <c r="O657" s="63"/>
      <c r="P657" s="63"/>
      <c r="Q657" s="63"/>
      <c r="R657" s="63"/>
      <c r="S657" s="63"/>
      <c r="U657" s="71"/>
      <c r="V657" s="71"/>
      <c r="Z657" s="71"/>
      <c r="BW657" s="64"/>
      <c r="BX657" s="64"/>
      <c r="BY657" s="64"/>
      <c r="BZ657" s="66"/>
      <c r="CA657" s="64"/>
      <c r="CB657" s="64"/>
      <c r="CC657" s="64"/>
      <c r="CD657" s="64"/>
      <c r="CE657" s="64"/>
      <c r="CF657" s="64"/>
      <c r="CG657" s="64" t="str">
        <f t="shared" si="6"/>
        <v/>
      </c>
    </row>
    <row r="658">
      <c r="A658" s="74"/>
      <c r="B658" s="75"/>
      <c r="C658" s="76"/>
      <c r="F658" s="71"/>
      <c r="G658" s="77"/>
      <c r="J658" s="78"/>
      <c r="K658" s="63"/>
      <c r="L658" s="63"/>
      <c r="M658" s="63"/>
      <c r="N658" s="63"/>
      <c r="O658" s="63"/>
      <c r="P658" s="63"/>
      <c r="Q658" s="63"/>
      <c r="R658" s="63"/>
      <c r="S658" s="63"/>
      <c r="U658" s="71"/>
      <c r="V658" s="71"/>
      <c r="Z658" s="71"/>
      <c r="BW658" s="64"/>
      <c r="BX658" s="64"/>
      <c r="BY658" s="64"/>
      <c r="BZ658" s="66"/>
      <c r="CA658" s="64"/>
      <c r="CB658" s="64"/>
      <c r="CC658" s="64"/>
      <c r="CD658" s="64"/>
      <c r="CE658" s="64"/>
      <c r="CF658" s="64"/>
      <c r="CG658" s="64" t="str">
        <f t="shared" si="6"/>
        <v/>
      </c>
    </row>
    <row r="659">
      <c r="A659" s="74"/>
      <c r="B659" s="75"/>
      <c r="C659" s="76"/>
      <c r="F659" s="71"/>
      <c r="G659" s="77"/>
      <c r="J659" s="78"/>
      <c r="K659" s="63"/>
      <c r="L659" s="63"/>
      <c r="M659" s="63"/>
      <c r="N659" s="63"/>
      <c r="O659" s="63"/>
      <c r="P659" s="63"/>
      <c r="Q659" s="63"/>
      <c r="R659" s="63"/>
      <c r="S659" s="63"/>
      <c r="U659" s="71"/>
      <c r="V659" s="71"/>
      <c r="Z659" s="71"/>
      <c r="BW659" s="64"/>
      <c r="BX659" s="64"/>
      <c r="BY659" s="64"/>
      <c r="BZ659" s="66"/>
      <c r="CA659" s="64"/>
      <c r="CB659" s="64"/>
      <c r="CC659" s="64"/>
      <c r="CD659" s="64"/>
      <c r="CE659" s="64"/>
      <c r="CF659" s="64"/>
      <c r="CG659" s="64" t="str">
        <f t="shared" si="6"/>
        <v/>
      </c>
    </row>
    <row r="660">
      <c r="A660" s="74"/>
      <c r="B660" s="75"/>
      <c r="C660" s="76"/>
      <c r="F660" s="71"/>
      <c r="G660" s="77"/>
      <c r="J660" s="78"/>
      <c r="K660" s="63"/>
      <c r="L660" s="63"/>
      <c r="M660" s="63"/>
      <c r="N660" s="63"/>
      <c r="O660" s="63"/>
      <c r="P660" s="63"/>
      <c r="Q660" s="63"/>
      <c r="R660" s="63"/>
      <c r="S660" s="63"/>
      <c r="U660" s="71"/>
      <c r="V660" s="71"/>
      <c r="Z660" s="71"/>
      <c r="BW660" s="64"/>
      <c r="BX660" s="64"/>
      <c r="BY660" s="64"/>
      <c r="BZ660" s="66"/>
      <c r="CA660" s="64"/>
      <c r="CB660" s="64"/>
      <c r="CC660" s="64"/>
      <c r="CD660" s="64"/>
      <c r="CE660" s="64"/>
      <c r="CF660" s="64"/>
      <c r="CG660" s="64" t="str">
        <f t="shared" si="6"/>
        <v/>
      </c>
    </row>
    <row r="661">
      <c r="A661" s="74"/>
      <c r="B661" s="75"/>
      <c r="C661" s="76"/>
      <c r="F661" s="71"/>
      <c r="G661" s="77"/>
      <c r="J661" s="78"/>
      <c r="K661" s="63"/>
      <c r="L661" s="63"/>
      <c r="M661" s="63"/>
      <c r="N661" s="63"/>
      <c r="O661" s="63"/>
      <c r="P661" s="63"/>
      <c r="Q661" s="63"/>
      <c r="R661" s="63"/>
      <c r="S661" s="63"/>
      <c r="U661" s="71"/>
      <c r="V661" s="71"/>
      <c r="Z661" s="71"/>
      <c r="BW661" s="64"/>
      <c r="BX661" s="64"/>
      <c r="BY661" s="64"/>
      <c r="BZ661" s="66"/>
      <c r="CA661" s="64"/>
      <c r="CB661" s="64"/>
      <c r="CC661" s="64"/>
      <c r="CD661" s="64"/>
      <c r="CE661" s="64"/>
      <c r="CF661" s="64"/>
      <c r="CG661" s="64" t="str">
        <f t="shared" si="6"/>
        <v/>
      </c>
    </row>
    <row r="662">
      <c r="A662" s="74"/>
      <c r="B662" s="75"/>
      <c r="C662" s="76"/>
      <c r="F662" s="71"/>
      <c r="G662" s="77"/>
      <c r="J662" s="78"/>
      <c r="K662" s="63"/>
      <c r="L662" s="63"/>
      <c r="M662" s="63"/>
      <c r="N662" s="63"/>
      <c r="O662" s="63"/>
      <c r="P662" s="63"/>
      <c r="Q662" s="63"/>
      <c r="R662" s="63"/>
      <c r="S662" s="63"/>
      <c r="U662" s="71"/>
      <c r="V662" s="71"/>
      <c r="Z662" s="71"/>
      <c r="BW662" s="64"/>
      <c r="BX662" s="64"/>
      <c r="BY662" s="64"/>
      <c r="BZ662" s="66"/>
      <c r="CA662" s="64"/>
      <c r="CB662" s="64"/>
      <c r="CC662" s="64"/>
      <c r="CD662" s="64"/>
      <c r="CE662" s="64"/>
      <c r="CF662" s="64"/>
      <c r="CG662" s="64" t="str">
        <f t="shared" si="6"/>
        <v/>
      </c>
    </row>
    <row r="663">
      <c r="A663" s="74"/>
      <c r="B663" s="75"/>
      <c r="C663" s="76"/>
      <c r="F663" s="71"/>
      <c r="G663" s="77"/>
      <c r="J663" s="78"/>
      <c r="K663" s="63"/>
      <c r="L663" s="63"/>
      <c r="M663" s="63"/>
      <c r="N663" s="63"/>
      <c r="O663" s="63"/>
      <c r="P663" s="63"/>
      <c r="Q663" s="63"/>
      <c r="R663" s="63"/>
      <c r="S663" s="63"/>
      <c r="U663" s="71"/>
      <c r="V663" s="71"/>
      <c r="Z663" s="71"/>
      <c r="BW663" s="64"/>
      <c r="BX663" s="64"/>
      <c r="BY663" s="64"/>
      <c r="BZ663" s="66"/>
      <c r="CA663" s="64"/>
      <c r="CB663" s="64"/>
      <c r="CC663" s="64"/>
      <c r="CD663" s="64"/>
      <c r="CE663" s="64"/>
      <c r="CF663" s="64"/>
      <c r="CG663" s="64" t="str">
        <f t="shared" si="6"/>
        <v/>
      </c>
    </row>
    <row r="664">
      <c r="A664" s="74"/>
      <c r="B664" s="75"/>
      <c r="C664" s="76"/>
      <c r="F664" s="71"/>
      <c r="G664" s="77"/>
      <c r="J664" s="78"/>
      <c r="K664" s="63"/>
      <c r="L664" s="63"/>
      <c r="M664" s="63"/>
      <c r="N664" s="63"/>
      <c r="O664" s="63"/>
      <c r="P664" s="63"/>
      <c r="Q664" s="63"/>
      <c r="R664" s="63"/>
      <c r="S664" s="63"/>
      <c r="U664" s="71"/>
      <c r="V664" s="71"/>
      <c r="Z664" s="71"/>
      <c r="BW664" s="64"/>
      <c r="BX664" s="64"/>
      <c r="BY664" s="64"/>
      <c r="BZ664" s="66"/>
      <c r="CA664" s="64"/>
      <c r="CB664" s="64"/>
      <c r="CC664" s="64"/>
      <c r="CD664" s="64"/>
      <c r="CE664" s="64"/>
      <c r="CF664" s="64"/>
      <c r="CG664" s="64" t="str">
        <f t="shared" si="6"/>
        <v/>
      </c>
    </row>
    <row r="665">
      <c r="A665" s="74"/>
      <c r="B665" s="75"/>
      <c r="C665" s="76"/>
      <c r="F665" s="71"/>
      <c r="G665" s="77"/>
      <c r="J665" s="78"/>
      <c r="K665" s="63"/>
      <c r="L665" s="63"/>
      <c r="M665" s="63"/>
      <c r="N665" s="63"/>
      <c r="O665" s="63"/>
      <c r="P665" s="63"/>
      <c r="Q665" s="63"/>
      <c r="R665" s="63"/>
      <c r="S665" s="63"/>
      <c r="U665" s="71"/>
      <c r="V665" s="71"/>
      <c r="Z665" s="71"/>
      <c r="BW665" s="64"/>
      <c r="BX665" s="64"/>
      <c r="BY665" s="64"/>
      <c r="BZ665" s="66"/>
      <c r="CA665" s="64"/>
      <c r="CB665" s="64"/>
      <c r="CC665" s="64"/>
      <c r="CD665" s="64"/>
      <c r="CE665" s="64"/>
      <c r="CF665" s="64"/>
      <c r="CG665" s="64" t="str">
        <f t="shared" si="6"/>
        <v/>
      </c>
    </row>
    <row r="666">
      <c r="A666" s="74"/>
      <c r="B666" s="75"/>
      <c r="C666" s="76"/>
      <c r="F666" s="71"/>
      <c r="G666" s="77"/>
      <c r="J666" s="78"/>
      <c r="K666" s="63"/>
      <c r="L666" s="63"/>
      <c r="M666" s="63"/>
      <c r="N666" s="63"/>
      <c r="O666" s="63"/>
      <c r="P666" s="63"/>
      <c r="Q666" s="63"/>
      <c r="R666" s="63"/>
      <c r="S666" s="63"/>
      <c r="U666" s="71"/>
      <c r="V666" s="71"/>
      <c r="Z666" s="71"/>
      <c r="BW666" s="64"/>
      <c r="BX666" s="64"/>
      <c r="BY666" s="64"/>
      <c r="BZ666" s="66"/>
      <c r="CA666" s="64"/>
      <c r="CB666" s="64"/>
      <c r="CC666" s="64"/>
      <c r="CD666" s="64"/>
      <c r="CE666" s="64"/>
      <c r="CF666" s="64"/>
      <c r="CG666" s="64" t="str">
        <f t="shared" si="6"/>
        <v/>
      </c>
    </row>
    <row r="667">
      <c r="A667" s="74"/>
      <c r="B667" s="75"/>
      <c r="C667" s="76"/>
      <c r="F667" s="71"/>
      <c r="G667" s="77"/>
      <c r="J667" s="78"/>
      <c r="K667" s="63"/>
      <c r="L667" s="63"/>
      <c r="M667" s="63"/>
      <c r="N667" s="63"/>
      <c r="O667" s="63"/>
      <c r="P667" s="63"/>
      <c r="Q667" s="63"/>
      <c r="R667" s="63"/>
      <c r="S667" s="63"/>
      <c r="U667" s="71"/>
      <c r="V667" s="71"/>
      <c r="Z667" s="71"/>
      <c r="BW667" s="64"/>
      <c r="BX667" s="64"/>
      <c r="BY667" s="64"/>
      <c r="BZ667" s="66"/>
      <c r="CA667" s="64"/>
      <c r="CB667" s="64"/>
      <c r="CC667" s="64"/>
      <c r="CD667" s="64"/>
      <c r="CE667" s="64"/>
      <c r="CF667" s="64"/>
      <c r="CG667" s="64" t="str">
        <f t="shared" si="6"/>
        <v/>
      </c>
    </row>
    <row r="668">
      <c r="A668" s="74"/>
      <c r="B668" s="75"/>
      <c r="C668" s="76"/>
      <c r="F668" s="71"/>
      <c r="G668" s="77"/>
      <c r="J668" s="78"/>
      <c r="K668" s="63"/>
      <c r="L668" s="63"/>
      <c r="M668" s="63"/>
      <c r="N668" s="63"/>
      <c r="O668" s="63"/>
      <c r="P668" s="63"/>
      <c r="Q668" s="63"/>
      <c r="R668" s="63"/>
      <c r="S668" s="63"/>
      <c r="U668" s="71"/>
      <c r="V668" s="71"/>
      <c r="Z668" s="71"/>
      <c r="BW668" s="64"/>
      <c r="BX668" s="64"/>
      <c r="BY668" s="64"/>
      <c r="BZ668" s="66"/>
      <c r="CA668" s="64"/>
      <c r="CB668" s="64"/>
      <c r="CC668" s="64"/>
      <c r="CD668" s="64"/>
      <c r="CE668" s="64"/>
      <c r="CF668" s="64"/>
      <c r="CG668" s="64" t="str">
        <f t="shared" si="6"/>
        <v/>
      </c>
    </row>
    <row r="669">
      <c r="A669" s="74"/>
      <c r="B669" s="75"/>
      <c r="C669" s="76"/>
      <c r="F669" s="71"/>
      <c r="G669" s="77"/>
      <c r="J669" s="78"/>
      <c r="K669" s="63"/>
      <c r="L669" s="63"/>
      <c r="M669" s="63"/>
      <c r="N669" s="63"/>
      <c r="O669" s="63"/>
      <c r="P669" s="63"/>
      <c r="Q669" s="63"/>
      <c r="R669" s="63"/>
      <c r="S669" s="63"/>
      <c r="U669" s="71"/>
      <c r="V669" s="71"/>
      <c r="Z669" s="71"/>
      <c r="BW669" s="64"/>
      <c r="BX669" s="64"/>
      <c r="BY669" s="64"/>
      <c r="BZ669" s="66"/>
      <c r="CA669" s="64"/>
      <c r="CB669" s="64"/>
      <c r="CC669" s="64"/>
      <c r="CD669" s="64"/>
      <c r="CE669" s="64"/>
      <c r="CF669" s="64"/>
      <c r="CG669" s="64" t="str">
        <f t="shared" si="6"/>
        <v/>
      </c>
    </row>
    <row r="670">
      <c r="A670" s="74"/>
      <c r="B670" s="75"/>
      <c r="C670" s="76"/>
      <c r="F670" s="71"/>
      <c r="G670" s="77"/>
      <c r="J670" s="78"/>
      <c r="K670" s="63"/>
      <c r="L670" s="63"/>
      <c r="M670" s="63"/>
      <c r="N670" s="63"/>
      <c r="O670" s="63"/>
      <c r="P670" s="63"/>
      <c r="Q670" s="63"/>
      <c r="R670" s="63"/>
      <c r="S670" s="63"/>
      <c r="U670" s="71"/>
      <c r="V670" s="71"/>
      <c r="Z670" s="71"/>
      <c r="BW670" s="64"/>
      <c r="BX670" s="64"/>
      <c r="BY670" s="64"/>
      <c r="BZ670" s="66"/>
      <c r="CA670" s="64"/>
      <c r="CB670" s="64"/>
      <c r="CC670" s="64"/>
      <c r="CD670" s="64"/>
      <c r="CE670" s="64"/>
      <c r="CF670" s="64"/>
      <c r="CG670" s="64" t="str">
        <f t="shared" si="6"/>
        <v/>
      </c>
    </row>
    <row r="671">
      <c r="A671" s="74"/>
      <c r="B671" s="75"/>
      <c r="C671" s="76"/>
      <c r="F671" s="71"/>
      <c r="G671" s="77"/>
      <c r="J671" s="78"/>
      <c r="K671" s="63"/>
      <c r="L671" s="63"/>
      <c r="M671" s="63"/>
      <c r="N671" s="63"/>
      <c r="O671" s="63"/>
      <c r="P671" s="63"/>
      <c r="Q671" s="63"/>
      <c r="R671" s="63"/>
      <c r="S671" s="63"/>
      <c r="U671" s="71"/>
      <c r="V671" s="71"/>
      <c r="Z671" s="71"/>
      <c r="BW671" s="64"/>
      <c r="BX671" s="64"/>
      <c r="BY671" s="64"/>
      <c r="BZ671" s="66"/>
      <c r="CA671" s="64"/>
      <c r="CB671" s="64"/>
      <c r="CC671" s="64"/>
      <c r="CD671" s="64"/>
      <c r="CE671" s="64"/>
      <c r="CF671" s="64"/>
      <c r="CG671" s="64" t="str">
        <f t="shared" si="6"/>
        <v/>
      </c>
    </row>
    <row r="672">
      <c r="A672" s="74"/>
      <c r="B672" s="75"/>
      <c r="C672" s="76"/>
      <c r="F672" s="71"/>
      <c r="G672" s="77"/>
      <c r="J672" s="78"/>
      <c r="K672" s="63"/>
      <c r="L672" s="63"/>
      <c r="M672" s="63"/>
      <c r="N672" s="63"/>
      <c r="O672" s="63"/>
      <c r="P672" s="63"/>
      <c r="Q672" s="63"/>
      <c r="R672" s="63"/>
      <c r="S672" s="63"/>
      <c r="U672" s="71"/>
      <c r="V672" s="71"/>
      <c r="Z672" s="71"/>
      <c r="BW672" s="64"/>
      <c r="BX672" s="64"/>
      <c r="BY672" s="64"/>
      <c r="BZ672" s="66"/>
      <c r="CA672" s="64"/>
      <c r="CB672" s="64"/>
      <c r="CC672" s="64"/>
      <c r="CD672" s="64"/>
      <c r="CE672" s="64"/>
      <c r="CF672" s="64"/>
      <c r="CG672" s="64" t="str">
        <f t="shared" si="6"/>
        <v/>
      </c>
    </row>
    <row r="673">
      <c r="A673" s="74"/>
      <c r="B673" s="75"/>
      <c r="C673" s="76"/>
      <c r="F673" s="71"/>
      <c r="G673" s="77"/>
      <c r="J673" s="78"/>
      <c r="K673" s="63"/>
      <c r="L673" s="63"/>
      <c r="M673" s="63"/>
      <c r="N673" s="63"/>
      <c r="O673" s="63"/>
      <c r="P673" s="63"/>
      <c r="Q673" s="63"/>
      <c r="R673" s="63"/>
      <c r="S673" s="63"/>
      <c r="U673" s="71"/>
      <c r="V673" s="71"/>
      <c r="Z673" s="71"/>
      <c r="BW673" s="64"/>
      <c r="BX673" s="64"/>
      <c r="BY673" s="64"/>
      <c r="BZ673" s="66"/>
      <c r="CA673" s="64"/>
      <c r="CB673" s="64"/>
      <c r="CC673" s="64"/>
      <c r="CD673" s="64"/>
      <c r="CE673" s="64"/>
      <c r="CF673" s="64"/>
      <c r="CG673" s="64" t="str">
        <f t="shared" si="6"/>
        <v/>
      </c>
    </row>
    <row r="674">
      <c r="A674" s="74"/>
      <c r="B674" s="75"/>
      <c r="C674" s="76"/>
      <c r="F674" s="71"/>
      <c r="G674" s="77"/>
      <c r="J674" s="78"/>
      <c r="K674" s="63"/>
      <c r="L674" s="63"/>
      <c r="M674" s="63"/>
      <c r="N674" s="63"/>
      <c r="O674" s="63"/>
      <c r="P674" s="63"/>
      <c r="Q674" s="63"/>
      <c r="R674" s="63"/>
      <c r="S674" s="63"/>
      <c r="U674" s="71"/>
      <c r="V674" s="71"/>
      <c r="Z674" s="71"/>
      <c r="BW674" s="64"/>
      <c r="BX674" s="64"/>
      <c r="BY674" s="64"/>
      <c r="BZ674" s="66"/>
      <c r="CA674" s="64"/>
      <c r="CB674" s="64"/>
      <c r="CC674" s="64"/>
      <c r="CD674" s="64"/>
      <c r="CE674" s="64"/>
      <c r="CF674" s="64"/>
      <c r="CG674" s="64" t="str">
        <f t="shared" si="6"/>
        <v/>
      </c>
    </row>
    <row r="675">
      <c r="A675" s="74"/>
      <c r="B675" s="75"/>
      <c r="C675" s="76"/>
      <c r="F675" s="71"/>
      <c r="G675" s="77"/>
      <c r="J675" s="78"/>
      <c r="K675" s="63"/>
      <c r="L675" s="63"/>
      <c r="M675" s="63"/>
      <c r="N675" s="63"/>
      <c r="O675" s="63"/>
      <c r="P675" s="63"/>
      <c r="Q675" s="63"/>
      <c r="R675" s="63"/>
      <c r="S675" s="63"/>
      <c r="U675" s="71"/>
      <c r="V675" s="71"/>
      <c r="Z675" s="71"/>
      <c r="BW675" s="64"/>
      <c r="BX675" s="64"/>
      <c r="BY675" s="64"/>
      <c r="BZ675" s="66"/>
      <c r="CA675" s="64"/>
      <c r="CB675" s="64"/>
      <c r="CC675" s="64"/>
      <c r="CD675" s="64"/>
      <c r="CE675" s="64"/>
      <c r="CF675" s="64"/>
      <c r="CG675" s="64" t="str">
        <f t="shared" si="6"/>
        <v/>
      </c>
    </row>
    <row r="676">
      <c r="A676" s="74"/>
      <c r="B676" s="75"/>
      <c r="C676" s="76"/>
      <c r="F676" s="71"/>
      <c r="G676" s="77"/>
      <c r="J676" s="78"/>
      <c r="K676" s="63"/>
      <c r="L676" s="63"/>
      <c r="M676" s="63"/>
      <c r="N676" s="63"/>
      <c r="O676" s="63"/>
      <c r="P676" s="63"/>
      <c r="Q676" s="63"/>
      <c r="R676" s="63"/>
      <c r="S676" s="63"/>
      <c r="U676" s="71"/>
      <c r="V676" s="71"/>
      <c r="Z676" s="71"/>
      <c r="BW676" s="64"/>
      <c r="BX676" s="64"/>
      <c r="BY676" s="64"/>
      <c r="BZ676" s="66"/>
      <c r="CA676" s="64"/>
      <c r="CB676" s="64"/>
      <c r="CC676" s="64"/>
      <c r="CD676" s="64"/>
      <c r="CE676" s="64"/>
      <c r="CF676" s="64"/>
      <c r="CG676" s="64" t="str">
        <f t="shared" si="6"/>
        <v/>
      </c>
    </row>
    <row r="677">
      <c r="A677" s="74"/>
      <c r="B677" s="75"/>
      <c r="C677" s="76"/>
      <c r="F677" s="71"/>
      <c r="G677" s="77"/>
      <c r="J677" s="78"/>
      <c r="K677" s="63"/>
      <c r="L677" s="63"/>
      <c r="M677" s="63"/>
      <c r="N677" s="63"/>
      <c r="O677" s="63"/>
      <c r="P677" s="63"/>
      <c r="Q677" s="63"/>
      <c r="R677" s="63"/>
      <c r="S677" s="63"/>
      <c r="U677" s="71"/>
      <c r="V677" s="71"/>
      <c r="Z677" s="71"/>
      <c r="BW677" s="64"/>
      <c r="BX677" s="64"/>
      <c r="BY677" s="64"/>
      <c r="BZ677" s="66"/>
      <c r="CA677" s="64"/>
      <c r="CB677" s="64"/>
      <c r="CC677" s="64"/>
      <c r="CD677" s="64"/>
      <c r="CE677" s="64"/>
      <c r="CF677" s="64"/>
      <c r="CG677" s="64" t="str">
        <f t="shared" si="6"/>
        <v/>
      </c>
    </row>
    <row r="678">
      <c r="A678" s="74"/>
      <c r="B678" s="75"/>
      <c r="C678" s="76"/>
      <c r="F678" s="71"/>
      <c r="G678" s="77"/>
      <c r="J678" s="78"/>
      <c r="K678" s="63"/>
      <c r="L678" s="63"/>
      <c r="M678" s="63"/>
      <c r="N678" s="63"/>
      <c r="O678" s="63"/>
      <c r="P678" s="63"/>
      <c r="Q678" s="63"/>
      <c r="R678" s="63"/>
      <c r="S678" s="63"/>
      <c r="U678" s="71"/>
      <c r="V678" s="71"/>
      <c r="Z678" s="71"/>
      <c r="BW678" s="64"/>
      <c r="BX678" s="64"/>
      <c r="BY678" s="64"/>
      <c r="BZ678" s="66"/>
      <c r="CA678" s="64"/>
      <c r="CB678" s="64"/>
      <c r="CC678" s="64"/>
      <c r="CD678" s="64"/>
      <c r="CE678" s="64"/>
      <c r="CF678" s="64"/>
      <c r="CG678" s="64" t="str">
        <f t="shared" si="6"/>
        <v/>
      </c>
    </row>
    <row r="679">
      <c r="A679" s="74"/>
      <c r="B679" s="75"/>
      <c r="C679" s="76"/>
      <c r="F679" s="71"/>
      <c r="G679" s="77"/>
      <c r="J679" s="78"/>
      <c r="K679" s="63"/>
      <c r="L679" s="63"/>
      <c r="M679" s="63"/>
      <c r="N679" s="63"/>
      <c r="O679" s="63"/>
      <c r="P679" s="63"/>
      <c r="Q679" s="63"/>
      <c r="R679" s="63"/>
      <c r="S679" s="63"/>
      <c r="U679" s="71"/>
      <c r="V679" s="71"/>
      <c r="Z679" s="71"/>
      <c r="BW679" s="64"/>
      <c r="BX679" s="64"/>
      <c r="BY679" s="64"/>
      <c r="BZ679" s="66"/>
      <c r="CA679" s="64"/>
      <c r="CB679" s="64"/>
      <c r="CC679" s="64"/>
      <c r="CD679" s="64"/>
      <c r="CE679" s="64"/>
      <c r="CF679" s="64"/>
      <c r="CG679" s="64" t="str">
        <f t="shared" si="6"/>
        <v/>
      </c>
    </row>
    <row r="680">
      <c r="A680" s="74"/>
      <c r="B680" s="75"/>
      <c r="C680" s="76"/>
      <c r="F680" s="71"/>
      <c r="G680" s="77"/>
      <c r="J680" s="78"/>
      <c r="K680" s="63"/>
      <c r="L680" s="63"/>
      <c r="M680" s="63"/>
      <c r="N680" s="63"/>
      <c r="O680" s="63"/>
      <c r="P680" s="63"/>
      <c r="Q680" s="63"/>
      <c r="R680" s="63"/>
      <c r="S680" s="63"/>
      <c r="U680" s="71"/>
      <c r="V680" s="71"/>
      <c r="Z680" s="71"/>
      <c r="BW680" s="64"/>
      <c r="BX680" s="64"/>
      <c r="BY680" s="64"/>
      <c r="BZ680" s="66"/>
      <c r="CA680" s="64"/>
      <c r="CB680" s="64"/>
      <c r="CC680" s="64"/>
      <c r="CD680" s="64"/>
      <c r="CE680" s="64"/>
      <c r="CF680" s="64"/>
      <c r="CG680" s="64" t="str">
        <f t="shared" si="6"/>
        <v/>
      </c>
    </row>
    <row r="681">
      <c r="A681" s="74"/>
      <c r="B681" s="75"/>
      <c r="C681" s="76"/>
      <c r="F681" s="71"/>
      <c r="G681" s="77"/>
      <c r="J681" s="78"/>
      <c r="K681" s="63"/>
      <c r="L681" s="63"/>
      <c r="M681" s="63"/>
      <c r="N681" s="63"/>
      <c r="O681" s="63"/>
      <c r="P681" s="63"/>
      <c r="Q681" s="63"/>
      <c r="R681" s="63"/>
      <c r="S681" s="63"/>
      <c r="U681" s="71"/>
      <c r="V681" s="71"/>
      <c r="Z681" s="71"/>
      <c r="BW681" s="64"/>
      <c r="BX681" s="64"/>
      <c r="BY681" s="64"/>
      <c r="BZ681" s="66"/>
      <c r="CA681" s="64"/>
      <c r="CB681" s="64"/>
      <c r="CC681" s="64"/>
      <c r="CD681" s="64"/>
      <c r="CE681" s="64"/>
      <c r="CF681" s="64"/>
      <c r="CG681" s="64" t="str">
        <f t="shared" si="6"/>
        <v/>
      </c>
    </row>
    <row r="682">
      <c r="A682" s="74"/>
      <c r="B682" s="75"/>
      <c r="C682" s="76"/>
      <c r="F682" s="71"/>
      <c r="G682" s="77"/>
      <c r="J682" s="78"/>
      <c r="K682" s="63"/>
      <c r="L682" s="63"/>
      <c r="M682" s="63"/>
      <c r="N682" s="63"/>
      <c r="O682" s="63"/>
      <c r="P682" s="63"/>
      <c r="Q682" s="63"/>
      <c r="R682" s="63"/>
      <c r="S682" s="63"/>
      <c r="U682" s="71"/>
      <c r="V682" s="71"/>
      <c r="Z682" s="71"/>
      <c r="BW682" s="64"/>
      <c r="BX682" s="64"/>
      <c r="BY682" s="64"/>
      <c r="BZ682" s="66"/>
      <c r="CA682" s="64"/>
      <c r="CB682" s="64"/>
      <c r="CC682" s="64"/>
      <c r="CD682" s="64"/>
      <c r="CE682" s="64"/>
      <c r="CF682" s="64"/>
      <c r="CG682" s="64" t="str">
        <f t="shared" si="6"/>
        <v/>
      </c>
    </row>
    <row r="683">
      <c r="A683" s="74"/>
      <c r="B683" s="75"/>
      <c r="C683" s="76"/>
      <c r="F683" s="71"/>
      <c r="G683" s="77"/>
      <c r="J683" s="78"/>
      <c r="K683" s="63"/>
      <c r="L683" s="63"/>
      <c r="M683" s="63"/>
      <c r="N683" s="63"/>
      <c r="O683" s="63"/>
      <c r="P683" s="63"/>
      <c r="Q683" s="63"/>
      <c r="R683" s="63"/>
      <c r="S683" s="63"/>
      <c r="U683" s="71"/>
      <c r="V683" s="71"/>
      <c r="Z683" s="71"/>
      <c r="BW683" s="64"/>
      <c r="BX683" s="64"/>
      <c r="BY683" s="64"/>
      <c r="BZ683" s="66"/>
      <c r="CA683" s="64"/>
      <c r="CB683" s="64"/>
      <c r="CC683" s="64"/>
      <c r="CD683" s="64"/>
      <c r="CE683" s="64"/>
      <c r="CF683" s="64"/>
      <c r="CG683" s="64" t="str">
        <f t="shared" si="6"/>
        <v/>
      </c>
    </row>
    <row r="684">
      <c r="A684" s="74"/>
      <c r="B684" s="75"/>
      <c r="C684" s="76"/>
      <c r="F684" s="71"/>
      <c r="G684" s="77"/>
      <c r="J684" s="78"/>
      <c r="K684" s="63"/>
      <c r="L684" s="63"/>
      <c r="M684" s="63"/>
      <c r="N684" s="63"/>
      <c r="O684" s="63"/>
      <c r="P684" s="63"/>
      <c r="Q684" s="63"/>
      <c r="R684" s="63"/>
      <c r="S684" s="63"/>
      <c r="U684" s="71"/>
      <c r="V684" s="71"/>
      <c r="Z684" s="71"/>
      <c r="BW684" s="64"/>
      <c r="BX684" s="64"/>
      <c r="BY684" s="64"/>
      <c r="BZ684" s="66"/>
      <c r="CA684" s="64"/>
      <c r="CB684" s="64"/>
      <c r="CC684" s="64"/>
      <c r="CD684" s="64"/>
      <c r="CE684" s="64"/>
      <c r="CF684" s="64"/>
      <c r="CG684" s="64" t="str">
        <f t="shared" si="6"/>
        <v/>
      </c>
    </row>
    <row r="685">
      <c r="A685" s="74"/>
      <c r="B685" s="75"/>
      <c r="C685" s="76"/>
      <c r="F685" s="71"/>
      <c r="G685" s="77"/>
      <c r="J685" s="78"/>
      <c r="K685" s="63"/>
      <c r="L685" s="63"/>
      <c r="M685" s="63"/>
      <c r="N685" s="63"/>
      <c r="O685" s="63"/>
      <c r="P685" s="63"/>
      <c r="Q685" s="63"/>
      <c r="R685" s="63"/>
      <c r="S685" s="63"/>
      <c r="U685" s="71"/>
      <c r="V685" s="71"/>
      <c r="Z685" s="71"/>
      <c r="BW685" s="64"/>
      <c r="BX685" s="64"/>
      <c r="BY685" s="64"/>
      <c r="BZ685" s="66"/>
      <c r="CA685" s="64"/>
      <c r="CB685" s="64"/>
      <c r="CC685" s="64"/>
      <c r="CD685" s="64"/>
      <c r="CE685" s="64"/>
      <c r="CF685" s="64"/>
      <c r="CG685" s="64" t="str">
        <f t="shared" si="6"/>
        <v/>
      </c>
    </row>
    <row r="686">
      <c r="A686" s="74"/>
      <c r="B686" s="75"/>
      <c r="C686" s="76"/>
      <c r="F686" s="71"/>
      <c r="G686" s="77"/>
      <c r="J686" s="78"/>
      <c r="K686" s="63"/>
      <c r="L686" s="63"/>
      <c r="M686" s="63"/>
      <c r="N686" s="63"/>
      <c r="O686" s="63"/>
      <c r="P686" s="63"/>
      <c r="Q686" s="63"/>
      <c r="R686" s="63"/>
      <c r="S686" s="63"/>
      <c r="U686" s="71"/>
      <c r="V686" s="71"/>
      <c r="Z686" s="71"/>
      <c r="BW686" s="64"/>
      <c r="BX686" s="64"/>
      <c r="BY686" s="64"/>
      <c r="BZ686" s="66"/>
      <c r="CA686" s="64"/>
      <c r="CB686" s="64"/>
      <c r="CC686" s="64"/>
      <c r="CD686" s="64"/>
      <c r="CE686" s="64"/>
      <c r="CF686" s="64"/>
      <c r="CG686" s="64" t="str">
        <f t="shared" si="6"/>
        <v/>
      </c>
    </row>
    <row r="687">
      <c r="A687" s="74"/>
      <c r="B687" s="75"/>
      <c r="C687" s="76"/>
      <c r="F687" s="71"/>
      <c r="G687" s="77"/>
      <c r="J687" s="78"/>
      <c r="K687" s="63"/>
      <c r="L687" s="63"/>
      <c r="M687" s="63"/>
      <c r="N687" s="63"/>
      <c r="O687" s="63"/>
      <c r="P687" s="63"/>
      <c r="Q687" s="63"/>
      <c r="R687" s="63"/>
      <c r="S687" s="63"/>
      <c r="U687" s="71"/>
      <c r="V687" s="71"/>
      <c r="Z687" s="71"/>
      <c r="BW687" s="64"/>
      <c r="BX687" s="64"/>
      <c r="BY687" s="64"/>
      <c r="BZ687" s="66"/>
      <c r="CA687" s="64"/>
      <c r="CB687" s="64"/>
      <c r="CC687" s="64"/>
      <c r="CD687" s="64"/>
      <c r="CE687" s="64"/>
      <c r="CF687" s="64"/>
      <c r="CG687" s="64" t="str">
        <f t="shared" si="6"/>
        <v/>
      </c>
    </row>
    <row r="688">
      <c r="A688" s="74"/>
      <c r="B688" s="75"/>
      <c r="C688" s="76"/>
      <c r="F688" s="71"/>
      <c r="G688" s="77"/>
      <c r="J688" s="78"/>
      <c r="K688" s="63"/>
      <c r="L688" s="63"/>
      <c r="M688" s="63"/>
      <c r="N688" s="63"/>
      <c r="O688" s="63"/>
      <c r="P688" s="63"/>
      <c r="Q688" s="63"/>
      <c r="R688" s="63"/>
      <c r="S688" s="63"/>
      <c r="U688" s="71"/>
      <c r="V688" s="71"/>
      <c r="Z688" s="71"/>
      <c r="BW688" s="64"/>
      <c r="BX688" s="64"/>
      <c r="BY688" s="64"/>
      <c r="BZ688" s="66"/>
      <c r="CA688" s="64"/>
      <c r="CB688" s="64"/>
      <c r="CC688" s="64"/>
      <c r="CD688" s="64"/>
      <c r="CE688" s="64"/>
      <c r="CF688" s="64"/>
      <c r="CG688" s="64" t="str">
        <f t="shared" si="6"/>
        <v/>
      </c>
    </row>
    <row r="689">
      <c r="A689" s="74"/>
      <c r="B689" s="75"/>
      <c r="C689" s="76"/>
      <c r="F689" s="71"/>
      <c r="G689" s="77"/>
      <c r="J689" s="78"/>
      <c r="K689" s="63"/>
      <c r="L689" s="63"/>
      <c r="M689" s="63"/>
      <c r="N689" s="63"/>
      <c r="O689" s="63"/>
      <c r="P689" s="63"/>
      <c r="Q689" s="63"/>
      <c r="R689" s="63"/>
      <c r="S689" s="63"/>
      <c r="U689" s="71"/>
      <c r="V689" s="71"/>
      <c r="Z689" s="71"/>
      <c r="BW689" s="64"/>
      <c r="BX689" s="64"/>
      <c r="BY689" s="64"/>
      <c r="BZ689" s="66"/>
      <c r="CA689" s="64"/>
      <c r="CB689" s="64"/>
      <c r="CC689" s="64"/>
      <c r="CD689" s="64"/>
      <c r="CE689" s="64"/>
      <c r="CF689" s="64"/>
      <c r="CG689" s="64" t="str">
        <f t="shared" si="6"/>
        <v/>
      </c>
    </row>
    <row r="690">
      <c r="A690" s="74"/>
      <c r="B690" s="75"/>
      <c r="C690" s="76"/>
      <c r="F690" s="71"/>
      <c r="G690" s="77"/>
      <c r="J690" s="78"/>
      <c r="K690" s="63"/>
      <c r="L690" s="63"/>
      <c r="M690" s="63"/>
      <c r="N690" s="63"/>
      <c r="O690" s="63"/>
      <c r="P690" s="63"/>
      <c r="Q690" s="63"/>
      <c r="R690" s="63"/>
      <c r="S690" s="63"/>
      <c r="U690" s="71"/>
      <c r="V690" s="71"/>
      <c r="Z690" s="71"/>
      <c r="BW690" s="64"/>
      <c r="BX690" s="64"/>
      <c r="BY690" s="64"/>
      <c r="BZ690" s="66"/>
      <c r="CA690" s="64"/>
      <c r="CB690" s="64"/>
      <c r="CC690" s="64"/>
      <c r="CD690" s="64"/>
      <c r="CE690" s="64"/>
      <c r="CF690" s="64"/>
      <c r="CG690" s="64" t="str">
        <f t="shared" si="6"/>
        <v/>
      </c>
    </row>
    <row r="691">
      <c r="A691" s="74"/>
      <c r="B691" s="75"/>
      <c r="C691" s="76"/>
      <c r="F691" s="71"/>
      <c r="G691" s="77"/>
      <c r="J691" s="78"/>
      <c r="K691" s="63"/>
      <c r="L691" s="63"/>
      <c r="M691" s="63"/>
      <c r="N691" s="63"/>
      <c r="O691" s="63"/>
      <c r="P691" s="63"/>
      <c r="Q691" s="63"/>
      <c r="R691" s="63"/>
      <c r="S691" s="63"/>
      <c r="U691" s="71"/>
      <c r="V691" s="71"/>
      <c r="Z691" s="71"/>
      <c r="BW691" s="64"/>
      <c r="BX691" s="64"/>
      <c r="BY691" s="64"/>
      <c r="BZ691" s="66"/>
      <c r="CA691" s="64"/>
      <c r="CB691" s="64"/>
      <c r="CC691" s="64"/>
      <c r="CD691" s="64"/>
      <c r="CE691" s="64"/>
      <c r="CF691" s="64"/>
      <c r="CG691" s="64" t="str">
        <f t="shared" si="6"/>
        <v/>
      </c>
    </row>
    <row r="692">
      <c r="A692" s="74"/>
      <c r="B692" s="75"/>
      <c r="C692" s="76"/>
      <c r="F692" s="71"/>
      <c r="G692" s="77"/>
      <c r="J692" s="78"/>
      <c r="K692" s="63"/>
      <c r="L692" s="63"/>
      <c r="M692" s="63"/>
      <c r="N692" s="63"/>
      <c r="O692" s="63"/>
      <c r="P692" s="63"/>
      <c r="Q692" s="63"/>
      <c r="R692" s="63"/>
      <c r="S692" s="63"/>
      <c r="U692" s="71"/>
      <c r="V692" s="71"/>
      <c r="Z692" s="71"/>
      <c r="BW692" s="64"/>
      <c r="BX692" s="64"/>
      <c r="BY692" s="64"/>
      <c r="BZ692" s="66"/>
      <c r="CA692" s="64"/>
      <c r="CB692" s="64"/>
      <c r="CC692" s="64"/>
      <c r="CD692" s="64"/>
      <c r="CE692" s="64"/>
      <c r="CF692" s="64"/>
      <c r="CG692" s="64" t="str">
        <f t="shared" si="6"/>
        <v/>
      </c>
    </row>
    <row r="693">
      <c r="A693" s="74"/>
      <c r="B693" s="75"/>
      <c r="C693" s="76"/>
      <c r="F693" s="71"/>
      <c r="G693" s="77"/>
      <c r="J693" s="78"/>
      <c r="K693" s="63"/>
      <c r="L693" s="63"/>
      <c r="M693" s="63"/>
      <c r="N693" s="63"/>
      <c r="O693" s="63"/>
      <c r="P693" s="63"/>
      <c r="Q693" s="63"/>
      <c r="R693" s="63"/>
      <c r="S693" s="63"/>
      <c r="U693" s="71"/>
      <c r="V693" s="71"/>
      <c r="Z693" s="71"/>
      <c r="BW693" s="64"/>
      <c r="BX693" s="64"/>
      <c r="BY693" s="64"/>
      <c r="BZ693" s="66"/>
      <c r="CA693" s="64"/>
      <c r="CB693" s="64"/>
      <c r="CC693" s="64"/>
      <c r="CD693" s="64"/>
      <c r="CE693" s="64"/>
      <c r="CF693" s="64"/>
      <c r="CG693" s="64" t="str">
        <f t="shared" si="6"/>
        <v/>
      </c>
    </row>
    <row r="694">
      <c r="A694" s="74"/>
      <c r="B694" s="75"/>
      <c r="C694" s="76"/>
      <c r="F694" s="71"/>
      <c r="G694" s="77"/>
      <c r="J694" s="78"/>
      <c r="K694" s="63"/>
      <c r="L694" s="63"/>
      <c r="M694" s="63"/>
      <c r="N694" s="63"/>
      <c r="O694" s="63"/>
      <c r="P694" s="63"/>
      <c r="Q694" s="63"/>
      <c r="R694" s="63"/>
      <c r="S694" s="63"/>
      <c r="U694" s="71"/>
      <c r="V694" s="71"/>
      <c r="Z694" s="71"/>
      <c r="BW694" s="64"/>
      <c r="BX694" s="64"/>
      <c r="BY694" s="64"/>
      <c r="BZ694" s="66"/>
      <c r="CA694" s="64"/>
      <c r="CB694" s="64"/>
      <c r="CC694" s="64"/>
      <c r="CD694" s="64"/>
      <c r="CE694" s="64"/>
      <c r="CF694" s="64"/>
      <c r="CG694" s="64" t="str">
        <f t="shared" si="6"/>
        <v/>
      </c>
    </row>
    <row r="695">
      <c r="A695" s="74"/>
      <c r="B695" s="75"/>
      <c r="C695" s="76"/>
      <c r="F695" s="71"/>
      <c r="G695" s="77"/>
      <c r="J695" s="78"/>
      <c r="K695" s="63"/>
      <c r="L695" s="63"/>
      <c r="M695" s="63"/>
      <c r="N695" s="63"/>
      <c r="O695" s="63"/>
      <c r="P695" s="63"/>
      <c r="Q695" s="63"/>
      <c r="R695" s="63"/>
      <c r="S695" s="63"/>
      <c r="U695" s="71"/>
      <c r="V695" s="71"/>
      <c r="Z695" s="71"/>
      <c r="BW695" s="64"/>
      <c r="BX695" s="64"/>
      <c r="BY695" s="64"/>
      <c r="BZ695" s="66"/>
      <c r="CA695" s="64"/>
      <c r="CB695" s="64"/>
      <c r="CC695" s="64"/>
      <c r="CD695" s="64"/>
      <c r="CE695" s="64"/>
      <c r="CF695" s="64"/>
      <c r="CG695" s="64" t="str">
        <f t="shared" si="6"/>
        <v/>
      </c>
    </row>
    <row r="696">
      <c r="A696" s="74"/>
      <c r="B696" s="75"/>
      <c r="C696" s="76"/>
      <c r="F696" s="71"/>
      <c r="G696" s="77"/>
      <c r="J696" s="78"/>
      <c r="K696" s="63"/>
      <c r="L696" s="63"/>
      <c r="M696" s="63"/>
      <c r="N696" s="63"/>
      <c r="O696" s="63"/>
      <c r="P696" s="63"/>
      <c r="Q696" s="63"/>
      <c r="R696" s="63"/>
      <c r="S696" s="63"/>
      <c r="U696" s="71"/>
      <c r="V696" s="71"/>
      <c r="Z696" s="71"/>
      <c r="BW696" s="64"/>
      <c r="BX696" s="64"/>
      <c r="BY696" s="64"/>
      <c r="BZ696" s="66"/>
      <c r="CA696" s="64"/>
      <c r="CB696" s="64"/>
      <c r="CC696" s="64"/>
      <c r="CD696" s="64"/>
      <c r="CE696" s="64"/>
      <c r="CF696" s="64"/>
      <c r="CG696" s="64" t="str">
        <f t="shared" si="6"/>
        <v/>
      </c>
    </row>
    <row r="697">
      <c r="A697" s="74"/>
      <c r="B697" s="75"/>
      <c r="C697" s="76"/>
      <c r="F697" s="71"/>
      <c r="G697" s="77"/>
      <c r="J697" s="78"/>
      <c r="K697" s="63"/>
      <c r="L697" s="63"/>
      <c r="M697" s="63"/>
      <c r="N697" s="63"/>
      <c r="O697" s="63"/>
      <c r="P697" s="63"/>
      <c r="Q697" s="63"/>
      <c r="R697" s="63"/>
      <c r="S697" s="63"/>
      <c r="U697" s="71"/>
      <c r="V697" s="71"/>
      <c r="Z697" s="71"/>
      <c r="BW697" s="64"/>
      <c r="BX697" s="64"/>
      <c r="BY697" s="64"/>
      <c r="BZ697" s="66"/>
      <c r="CA697" s="64"/>
      <c r="CB697" s="64"/>
      <c r="CC697" s="64"/>
      <c r="CD697" s="64"/>
      <c r="CE697" s="64"/>
      <c r="CF697" s="64"/>
      <c r="CG697" s="64" t="str">
        <f t="shared" si="6"/>
        <v/>
      </c>
    </row>
    <row r="698">
      <c r="A698" s="74"/>
      <c r="B698" s="75"/>
      <c r="C698" s="76"/>
      <c r="F698" s="71"/>
      <c r="G698" s="77"/>
      <c r="J698" s="78"/>
      <c r="K698" s="63"/>
      <c r="L698" s="63"/>
      <c r="M698" s="63"/>
      <c r="N698" s="63"/>
      <c r="O698" s="63"/>
      <c r="P698" s="63"/>
      <c r="Q698" s="63"/>
      <c r="R698" s="63"/>
      <c r="S698" s="63"/>
      <c r="U698" s="71"/>
      <c r="V698" s="71"/>
      <c r="Z698" s="71"/>
      <c r="BW698" s="64"/>
      <c r="BX698" s="64"/>
      <c r="BY698" s="64"/>
      <c r="BZ698" s="66"/>
      <c r="CA698" s="64"/>
      <c r="CB698" s="64"/>
      <c r="CC698" s="64"/>
      <c r="CD698" s="64"/>
      <c r="CE698" s="64"/>
      <c r="CF698" s="64"/>
      <c r="CG698" s="64" t="str">
        <f t="shared" si="6"/>
        <v/>
      </c>
    </row>
    <row r="699">
      <c r="A699" s="74"/>
      <c r="B699" s="75"/>
      <c r="C699" s="76"/>
      <c r="F699" s="71"/>
      <c r="G699" s="77"/>
      <c r="J699" s="78"/>
      <c r="K699" s="63"/>
      <c r="L699" s="63"/>
      <c r="M699" s="63"/>
      <c r="N699" s="63"/>
      <c r="O699" s="63"/>
      <c r="P699" s="63"/>
      <c r="Q699" s="63"/>
      <c r="R699" s="63"/>
      <c r="S699" s="63"/>
      <c r="U699" s="71"/>
      <c r="V699" s="71"/>
      <c r="Z699" s="71"/>
      <c r="BW699" s="64"/>
      <c r="BX699" s="64"/>
      <c r="BY699" s="64"/>
      <c r="BZ699" s="66"/>
      <c r="CA699" s="64"/>
      <c r="CB699" s="64"/>
      <c r="CC699" s="64"/>
      <c r="CD699" s="64"/>
      <c r="CE699" s="64"/>
      <c r="CF699" s="64"/>
      <c r="CG699" s="64" t="str">
        <f t="shared" si="6"/>
        <v/>
      </c>
    </row>
    <row r="700">
      <c r="A700" s="74"/>
      <c r="B700" s="75"/>
      <c r="C700" s="76"/>
      <c r="F700" s="71"/>
      <c r="G700" s="77"/>
      <c r="J700" s="78"/>
      <c r="K700" s="63"/>
      <c r="L700" s="63"/>
      <c r="M700" s="63"/>
      <c r="N700" s="63"/>
      <c r="O700" s="63"/>
      <c r="P700" s="63"/>
      <c r="Q700" s="63"/>
      <c r="R700" s="63"/>
      <c r="S700" s="63"/>
      <c r="U700" s="71"/>
      <c r="V700" s="71"/>
      <c r="Z700" s="71"/>
      <c r="BW700" s="64"/>
      <c r="BX700" s="64"/>
      <c r="BY700" s="64"/>
      <c r="BZ700" s="66"/>
      <c r="CA700" s="64"/>
      <c r="CB700" s="64"/>
      <c r="CC700" s="64"/>
      <c r="CD700" s="64"/>
      <c r="CE700" s="64"/>
      <c r="CF700" s="64"/>
      <c r="CG700" s="64" t="str">
        <f t="shared" si="6"/>
        <v/>
      </c>
    </row>
    <row r="701">
      <c r="A701" s="74"/>
      <c r="B701" s="75"/>
      <c r="C701" s="76"/>
      <c r="F701" s="71"/>
      <c r="G701" s="77"/>
      <c r="J701" s="78"/>
      <c r="K701" s="63"/>
      <c r="L701" s="63"/>
      <c r="M701" s="63"/>
      <c r="N701" s="63"/>
      <c r="O701" s="63"/>
      <c r="P701" s="63"/>
      <c r="Q701" s="63"/>
      <c r="R701" s="63"/>
      <c r="S701" s="63"/>
      <c r="U701" s="71"/>
      <c r="V701" s="71"/>
      <c r="Z701" s="71"/>
      <c r="BW701" s="64"/>
      <c r="BX701" s="64"/>
      <c r="BY701" s="64"/>
      <c r="BZ701" s="66"/>
      <c r="CA701" s="64"/>
      <c r="CB701" s="64"/>
      <c r="CC701" s="64"/>
      <c r="CD701" s="64"/>
      <c r="CE701" s="64"/>
      <c r="CF701" s="64"/>
      <c r="CG701" s="64" t="str">
        <f t="shared" si="6"/>
        <v/>
      </c>
    </row>
    <row r="702">
      <c r="A702" s="74"/>
      <c r="B702" s="75"/>
      <c r="C702" s="76"/>
      <c r="F702" s="71"/>
      <c r="G702" s="77"/>
      <c r="J702" s="78"/>
      <c r="K702" s="63"/>
      <c r="L702" s="63"/>
      <c r="M702" s="63"/>
      <c r="N702" s="63"/>
      <c r="O702" s="63"/>
      <c r="P702" s="63"/>
      <c r="Q702" s="63"/>
      <c r="R702" s="63"/>
      <c r="S702" s="63"/>
      <c r="U702" s="71"/>
      <c r="V702" s="71"/>
      <c r="Z702" s="71"/>
      <c r="BW702" s="64"/>
      <c r="BX702" s="64"/>
      <c r="BY702" s="64"/>
      <c r="BZ702" s="66"/>
      <c r="CA702" s="64"/>
      <c r="CB702" s="64"/>
      <c r="CC702" s="64"/>
      <c r="CD702" s="64"/>
      <c r="CE702" s="64"/>
      <c r="CF702" s="64"/>
      <c r="CG702" s="64" t="str">
        <f t="shared" si="6"/>
        <v/>
      </c>
    </row>
    <row r="703">
      <c r="A703" s="74"/>
      <c r="B703" s="75"/>
      <c r="C703" s="76"/>
      <c r="F703" s="71"/>
      <c r="G703" s="77"/>
      <c r="J703" s="78"/>
      <c r="K703" s="63"/>
      <c r="L703" s="63"/>
      <c r="M703" s="63"/>
      <c r="N703" s="63"/>
      <c r="O703" s="63"/>
      <c r="P703" s="63"/>
      <c r="Q703" s="63"/>
      <c r="R703" s="63"/>
      <c r="S703" s="63"/>
      <c r="U703" s="71"/>
      <c r="V703" s="71"/>
      <c r="Z703" s="71"/>
      <c r="BW703" s="64"/>
      <c r="BX703" s="64"/>
      <c r="BY703" s="64"/>
      <c r="BZ703" s="66"/>
      <c r="CA703" s="64"/>
      <c r="CB703" s="64"/>
      <c r="CC703" s="64"/>
      <c r="CD703" s="64"/>
      <c r="CE703" s="64"/>
      <c r="CF703" s="64"/>
      <c r="CG703" s="64" t="str">
        <f t="shared" si="6"/>
        <v/>
      </c>
    </row>
    <row r="704">
      <c r="A704" s="74"/>
      <c r="B704" s="75"/>
      <c r="C704" s="76"/>
      <c r="F704" s="71"/>
      <c r="G704" s="77"/>
      <c r="J704" s="78"/>
      <c r="K704" s="63"/>
      <c r="L704" s="63"/>
      <c r="M704" s="63"/>
      <c r="N704" s="63"/>
      <c r="O704" s="63"/>
      <c r="P704" s="63"/>
      <c r="Q704" s="63"/>
      <c r="R704" s="63"/>
      <c r="S704" s="63"/>
      <c r="U704" s="71"/>
      <c r="V704" s="71"/>
      <c r="Z704" s="71"/>
      <c r="BW704" s="64"/>
      <c r="BX704" s="64"/>
      <c r="BY704" s="64"/>
      <c r="BZ704" s="66"/>
      <c r="CA704" s="64"/>
      <c r="CB704" s="64"/>
      <c r="CC704" s="64"/>
      <c r="CD704" s="64"/>
      <c r="CE704" s="64"/>
      <c r="CF704" s="64"/>
      <c r="CG704" s="64" t="str">
        <f t="shared" si="6"/>
        <v/>
      </c>
    </row>
    <row r="705">
      <c r="A705" s="74"/>
      <c r="B705" s="75"/>
      <c r="C705" s="76"/>
      <c r="F705" s="71"/>
      <c r="G705" s="77"/>
      <c r="J705" s="78"/>
      <c r="K705" s="63"/>
      <c r="L705" s="63"/>
      <c r="M705" s="63"/>
      <c r="N705" s="63"/>
      <c r="O705" s="63"/>
      <c r="P705" s="63"/>
      <c r="Q705" s="63"/>
      <c r="R705" s="63"/>
      <c r="S705" s="63"/>
      <c r="U705" s="71"/>
      <c r="V705" s="71"/>
      <c r="Z705" s="71"/>
      <c r="BW705" s="64"/>
      <c r="BX705" s="64"/>
      <c r="BY705" s="64"/>
      <c r="BZ705" s="66"/>
      <c r="CA705" s="64"/>
      <c r="CB705" s="64"/>
      <c r="CC705" s="64"/>
      <c r="CD705" s="64"/>
      <c r="CE705" s="64"/>
      <c r="CF705" s="64"/>
      <c r="CG705" s="64" t="str">
        <f t="shared" si="6"/>
        <v/>
      </c>
    </row>
    <row r="706">
      <c r="A706" s="74"/>
      <c r="B706" s="75"/>
      <c r="C706" s="76"/>
      <c r="F706" s="71"/>
      <c r="G706" s="77"/>
      <c r="J706" s="78"/>
      <c r="K706" s="63"/>
      <c r="L706" s="63"/>
      <c r="M706" s="63"/>
      <c r="N706" s="63"/>
      <c r="O706" s="63"/>
      <c r="P706" s="63"/>
      <c r="Q706" s="63"/>
      <c r="R706" s="63"/>
      <c r="S706" s="63"/>
      <c r="U706" s="71"/>
      <c r="V706" s="71"/>
      <c r="Z706" s="71"/>
      <c r="BW706" s="64"/>
      <c r="BX706" s="64"/>
      <c r="BY706" s="64"/>
      <c r="BZ706" s="66"/>
      <c r="CA706" s="64"/>
      <c r="CB706" s="64"/>
      <c r="CC706" s="64"/>
      <c r="CD706" s="64"/>
      <c r="CE706" s="64"/>
      <c r="CF706" s="64"/>
      <c r="CG706" s="64" t="str">
        <f t="shared" si="6"/>
        <v/>
      </c>
    </row>
    <row r="707">
      <c r="A707" s="74"/>
      <c r="B707" s="75"/>
      <c r="C707" s="76"/>
      <c r="F707" s="71"/>
      <c r="G707" s="77"/>
      <c r="J707" s="78"/>
      <c r="K707" s="63"/>
      <c r="L707" s="63"/>
      <c r="M707" s="63"/>
      <c r="N707" s="63"/>
      <c r="O707" s="63"/>
      <c r="P707" s="63"/>
      <c r="Q707" s="63"/>
      <c r="R707" s="63"/>
      <c r="S707" s="63"/>
      <c r="U707" s="71"/>
      <c r="V707" s="71"/>
      <c r="Z707" s="71"/>
      <c r="BW707" s="64"/>
      <c r="BX707" s="64"/>
      <c r="BY707" s="64"/>
      <c r="BZ707" s="66"/>
      <c r="CA707" s="64"/>
      <c r="CB707" s="64"/>
      <c r="CC707" s="64"/>
      <c r="CD707" s="64"/>
      <c r="CE707" s="64"/>
      <c r="CF707" s="64"/>
      <c r="CG707" s="64" t="str">
        <f t="shared" si="6"/>
        <v/>
      </c>
    </row>
    <row r="708">
      <c r="A708" s="74"/>
      <c r="B708" s="75"/>
      <c r="C708" s="76"/>
      <c r="F708" s="71"/>
      <c r="G708" s="77"/>
      <c r="J708" s="78"/>
      <c r="K708" s="63"/>
      <c r="L708" s="63"/>
      <c r="M708" s="63"/>
      <c r="N708" s="63"/>
      <c r="O708" s="63"/>
      <c r="P708" s="63"/>
      <c r="Q708" s="63"/>
      <c r="R708" s="63"/>
      <c r="S708" s="63"/>
      <c r="U708" s="71"/>
      <c r="V708" s="71"/>
      <c r="Z708" s="71"/>
      <c r="BW708" s="64"/>
      <c r="BX708" s="64"/>
      <c r="BY708" s="64"/>
      <c r="BZ708" s="66"/>
      <c r="CA708" s="64"/>
      <c r="CB708" s="64"/>
      <c r="CC708" s="64"/>
      <c r="CD708" s="64"/>
      <c r="CE708" s="64"/>
      <c r="CF708" s="64"/>
      <c r="CG708" s="64" t="str">
        <f t="shared" si="6"/>
        <v/>
      </c>
    </row>
    <row r="709">
      <c r="A709" s="74"/>
      <c r="B709" s="75"/>
      <c r="C709" s="76"/>
      <c r="F709" s="71"/>
      <c r="G709" s="77"/>
      <c r="J709" s="78"/>
      <c r="K709" s="63"/>
      <c r="L709" s="63"/>
      <c r="M709" s="63"/>
      <c r="N709" s="63"/>
      <c r="O709" s="63"/>
      <c r="P709" s="63"/>
      <c r="Q709" s="63"/>
      <c r="R709" s="63"/>
      <c r="S709" s="63"/>
      <c r="U709" s="71"/>
      <c r="V709" s="71"/>
      <c r="Z709" s="71"/>
      <c r="BW709" s="64"/>
      <c r="BX709" s="64"/>
      <c r="BY709" s="64"/>
      <c r="BZ709" s="66"/>
      <c r="CA709" s="64"/>
      <c r="CB709" s="64"/>
      <c r="CC709" s="64"/>
      <c r="CD709" s="64"/>
      <c r="CE709" s="64"/>
      <c r="CF709" s="64"/>
      <c r="CG709" s="64" t="str">
        <f t="shared" si="6"/>
        <v/>
      </c>
    </row>
    <row r="710">
      <c r="A710" s="74"/>
      <c r="B710" s="75"/>
      <c r="C710" s="76"/>
      <c r="F710" s="71"/>
      <c r="G710" s="77"/>
      <c r="J710" s="78"/>
      <c r="K710" s="63"/>
      <c r="L710" s="63"/>
      <c r="M710" s="63"/>
      <c r="N710" s="63"/>
      <c r="O710" s="63"/>
      <c r="P710" s="63"/>
      <c r="Q710" s="63"/>
      <c r="R710" s="63"/>
      <c r="S710" s="63"/>
      <c r="U710" s="71"/>
      <c r="V710" s="71"/>
      <c r="Z710" s="71"/>
      <c r="BW710" s="64"/>
      <c r="BX710" s="64"/>
      <c r="BY710" s="64"/>
      <c r="BZ710" s="66"/>
      <c r="CA710" s="64"/>
      <c r="CB710" s="64"/>
      <c r="CC710" s="64"/>
      <c r="CD710" s="64"/>
      <c r="CE710" s="64"/>
      <c r="CF710" s="64"/>
      <c r="CG710" s="64" t="str">
        <f t="shared" si="6"/>
        <v/>
      </c>
    </row>
    <row r="711">
      <c r="A711" s="74"/>
      <c r="B711" s="75"/>
      <c r="C711" s="76"/>
      <c r="F711" s="71"/>
      <c r="G711" s="77"/>
      <c r="J711" s="78"/>
      <c r="K711" s="63"/>
      <c r="L711" s="63"/>
      <c r="M711" s="63"/>
      <c r="N711" s="63"/>
      <c r="O711" s="63"/>
      <c r="P711" s="63"/>
      <c r="Q711" s="63"/>
      <c r="R711" s="63"/>
      <c r="S711" s="63"/>
      <c r="U711" s="71"/>
      <c r="V711" s="71"/>
      <c r="Z711" s="71"/>
      <c r="BW711" s="64"/>
      <c r="BX711" s="64"/>
      <c r="BY711" s="64"/>
      <c r="BZ711" s="66"/>
      <c r="CA711" s="64"/>
      <c r="CB711" s="64"/>
      <c r="CC711" s="64"/>
      <c r="CD711" s="64"/>
      <c r="CE711" s="64"/>
      <c r="CF711" s="64"/>
      <c r="CG711" s="64" t="str">
        <f t="shared" si="6"/>
        <v/>
      </c>
    </row>
    <row r="712">
      <c r="A712" s="74"/>
      <c r="B712" s="75"/>
      <c r="C712" s="76"/>
      <c r="F712" s="71"/>
      <c r="G712" s="77"/>
      <c r="J712" s="78"/>
      <c r="K712" s="63"/>
      <c r="L712" s="63"/>
      <c r="M712" s="63"/>
      <c r="N712" s="63"/>
      <c r="O712" s="63"/>
      <c r="P712" s="63"/>
      <c r="Q712" s="63"/>
      <c r="R712" s="63"/>
      <c r="S712" s="63"/>
      <c r="U712" s="71"/>
      <c r="V712" s="71"/>
      <c r="Z712" s="71"/>
      <c r="BW712" s="64"/>
      <c r="BX712" s="64"/>
      <c r="BY712" s="64"/>
      <c r="BZ712" s="66"/>
      <c r="CA712" s="64"/>
      <c r="CB712" s="64"/>
      <c r="CC712" s="64"/>
      <c r="CD712" s="64"/>
      <c r="CE712" s="64"/>
      <c r="CF712" s="64"/>
      <c r="CG712" s="64" t="str">
        <f t="shared" si="6"/>
        <v/>
      </c>
    </row>
    <row r="713">
      <c r="A713" s="74"/>
      <c r="B713" s="75"/>
      <c r="C713" s="76"/>
      <c r="F713" s="71"/>
      <c r="G713" s="77"/>
      <c r="J713" s="78"/>
      <c r="K713" s="63"/>
      <c r="L713" s="63"/>
      <c r="M713" s="63"/>
      <c r="N713" s="63"/>
      <c r="O713" s="63"/>
      <c r="P713" s="63"/>
      <c r="Q713" s="63"/>
      <c r="R713" s="63"/>
      <c r="S713" s="63"/>
      <c r="U713" s="71"/>
      <c r="V713" s="71"/>
      <c r="Z713" s="71"/>
      <c r="BW713" s="64"/>
      <c r="BX713" s="64"/>
      <c r="BY713" s="64"/>
      <c r="BZ713" s="66"/>
      <c r="CA713" s="64"/>
      <c r="CB713" s="64"/>
      <c r="CC713" s="64"/>
      <c r="CD713" s="64"/>
      <c r="CE713" s="64"/>
      <c r="CF713" s="64"/>
      <c r="CG713" s="64" t="str">
        <f t="shared" si="6"/>
        <v/>
      </c>
    </row>
    <row r="714">
      <c r="A714" s="74"/>
      <c r="B714" s="75"/>
      <c r="C714" s="76"/>
      <c r="F714" s="71"/>
      <c r="G714" s="77"/>
      <c r="J714" s="78"/>
      <c r="K714" s="63"/>
      <c r="L714" s="63"/>
      <c r="M714" s="63"/>
      <c r="N714" s="63"/>
      <c r="O714" s="63"/>
      <c r="P714" s="63"/>
      <c r="Q714" s="63"/>
      <c r="R714" s="63"/>
      <c r="S714" s="63"/>
      <c r="U714" s="71"/>
      <c r="V714" s="71"/>
      <c r="Z714" s="71"/>
      <c r="BW714" s="64"/>
      <c r="BX714" s="64"/>
      <c r="BY714" s="64"/>
      <c r="BZ714" s="66"/>
      <c r="CA714" s="64"/>
      <c r="CB714" s="64"/>
      <c r="CC714" s="64"/>
      <c r="CD714" s="64"/>
      <c r="CE714" s="64"/>
      <c r="CF714" s="64"/>
      <c r="CG714" s="64" t="str">
        <f t="shared" si="6"/>
        <v/>
      </c>
    </row>
    <row r="715">
      <c r="A715" s="74"/>
      <c r="B715" s="75"/>
      <c r="C715" s="76"/>
      <c r="F715" s="71"/>
      <c r="G715" s="77"/>
      <c r="J715" s="78"/>
      <c r="K715" s="63"/>
      <c r="L715" s="63"/>
      <c r="M715" s="63"/>
      <c r="N715" s="63"/>
      <c r="O715" s="63"/>
      <c r="P715" s="63"/>
      <c r="Q715" s="63"/>
      <c r="R715" s="63"/>
      <c r="S715" s="63"/>
      <c r="U715" s="71"/>
      <c r="V715" s="71"/>
      <c r="Z715" s="71"/>
      <c r="BW715" s="64"/>
      <c r="BX715" s="64"/>
      <c r="BY715" s="64"/>
      <c r="BZ715" s="66"/>
      <c r="CA715" s="64"/>
      <c r="CB715" s="64"/>
      <c r="CC715" s="64"/>
      <c r="CD715" s="64"/>
      <c r="CE715" s="64"/>
      <c r="CF715" s="64"/>
      <c r="CG715" s="64" t="str">
        <f t="shared" si="6"/>
        <v/>
      </c>
    </row>
    <row r="716">
      <c r="A716" s="74"/>
      <c r="B716" s="75"/>
      <c r="C716" s="76"/>
      <c r="F716" s="71"/>
      <c r="G716" s="77"/>
      <c r="J716" s="78"/>
      <c r="K716" s="63"/>
      <c r="L716" s="63"/>
      <c r="M716" s="63"/>
      <c r="N716" s="63"/>
      <c r="O716" s="63"/>
      <c r="P716" s="63"/>
      <c r="Q716" s="63"/>
      <c r="R716" s="63"/>
      <c r="S716" s="63"/>
      <c r="U716" s="71"/>
      <c r="V716" s="71"/>
      <c r="Z716" s="71"/>
      <c r="BW716" s="64"/>
      <c r="BX716" s="64"/>
      <c r="BY716" s="64"/>
      <c r="BZ716" s="66"/>
      <c r="CA716" s="64"/>
      <c r="CB716" s="64"/>
      <c r="CC716" s="64"/>
      <c r="CD716" s="64"/>
      <c r="CE716" s="64"/>
      <c r="CF716" s="64"/>
      <c r="CG716" s="64" t="str">
        <f t="shared" si="6"/>
        <v/>
      </c>
    </row>
    <row r="717">
      <c r="A717" s="74"/>
      <c r="B717" s="75"/>
      <c r="C717" s="76"/>
      <c r="F717" s="71"/>
      <c r="G717" s="77"/>
      <c r="J717" s="78"/>
      <c r="K717" s="63"/>
      <c r="L717" s="63"/>
      <c r="M717" s="63"/>
      <c r="N717" s="63"/>
      <c r="O717" s="63"/>
      <c r="P717" s="63"/>
      <c r="Q717" s="63"/>
      <c r="R717" s="63"/>
      <c r="S717" s="63"/>
      <c r="U717" s="71"/>
      <c r="V717" s="71"/>
      <c r="Z717" s="71"/>
      <c r="BW717" s="64"/>
      <c r="BX717" s="64"/>
      <c r="BY717" s="64"/>
      <c r="BZ717" s="66"/>
      <c r="CA717" s="64"/>
      <c r="CB717" s="64"/>
      <c r="CC717" s="64"/>
      <c r="CD717" s="64"/>
      <c r="CE717" s="64"/>
      <c r="CF717" s="64"/>
      <c r="CG717" s="64" t="str">
        <f t="shared" si="6"/>
        <v/>
      </c>
    </row>
    <row r="718">
      <c r="A718" s="74"/>
      <c r="B718" s="75"/>
      <c r="C718" s="76"/>
      <c r="F718" s="71"/>
      <c r="G718" s="77"/>
      <c r="J718" s="78"/>
      <c r="K718" s="63"/>
      <c r="L718" s="63"/>
      <c r="M718" s="63"/>
      <c r="N718" s="63"/>
      <c r="O718" s="63"/>
      <c r="P718" s="63"/>
      <c r="Q718" s="63"/>
      <c r="R718" s="63"/>
      <c r="S718" s="63"/>
      <c r="U718" s="71"/>
      <c r="V718" s="71"/>
      <c r="Z718" s="71"/>
      <c r="BW718" s="64"/>
      <c r="BX718" s="64"/>
      <c r="BY718" s="64"/>
      <c r="BZ718" s="66"/>
      <c r="CA718" s="64"/>
      <c r="CB718" s="64"/>
      <c r="CC718" s="64"/>
      <c r="CD718" s="64"/>
      <c r="CE718" s="64"/>
      <c r="CF718" s="64"/>
      <c r="CG718" s="64" t="str">
        <f t="shared" si="6"/>
        <v/>
      </c>
    </row>
    <row r="719">
      <c r="A719" s="74"/>
      <c r="B719" s="75"/>
      <c r="C719" s="76"/>
      <c r="F719" s="71"/>
      <c r="G719" s="77"/>
      <c r="J719" s="78"/>
      <c r="K719" s="63"/>
      <c r="L719" s="63"/>
      <c r="M719" s="63"/>
      <c r="N719" s="63"/>
      <c r="O719" s="63"/>
      <c r="P719" s="63"/>
      <c r="Q719" s="63"/>
      <c r="R719" s="63"/>
      <c r="S719" s="63"/>
      <c r="U719" s="71"/>
      <c r="V719" s="71"/>
      <c r="Z719" s="71"/>
      <c r="BW719" s="64"/>
      <c r="BX719" s="64"/>
      <c r="BY719" s="64"/>
      <c r="BZ719" s="66"/>
      <c r="CA719" s="64"/>
      <c r="CB719" s="64"/>
      <c r="CC719" s="64"/>
      <c r="CD719" s="64"/>
      <c r="CE719" s="64"/>
      <c r="CF719" s="64"/>
      <c r="CG719" s="64" t="str">
        <f t="shared" si="6"/>
        <v/>
      </c>
    </row>
    <row r="720">
      <c r="A720" s="74"/>
      <c r="B720" s="75"/>
      <c r="C720" s="76"/>
      <c r="F720" s="71"/>
      <c r="G720" s="77"/>
      <c r="J720" s="78"/>
      <c r="K720" s="63"/>
      <c r="L720" s="63"/>
      <c r="M720" s="63"/>
      <c r="N720" s="63"/>
      <c r="O720" s="63"/>
      <c r="P720" s="63"/>
      <c r="Q720" s="63"/>
      <c r="R720" s="63"/>
      <c r="S720" s="63"/>
      <c r="U720" s="71"/>
      <c r="V720" s="71"/>
      <c r="Z720" s="71"/>
      <c r="BW720" s="64"/>
      <c r="BX720" s="64"/>
      <c r="BY720" s="64"/>
      <c r="BZ720" s="66"/>
      <c r="CA720" s="64"/>
      <c r="CB720" s="64"/>
      <c r="CC720" s="64"/>
      <c r="CD720" s="64"/>
      <c r="CE720" s="64"/>
      <c r="CF720" s="64"/>
      <c r="CG720" s="64" t="str">
        <f t="shared" si="6"/>
        <v/>
      </c>
    </row>
    <row r="721">
      <c r="A721" s="74"/>
      <c r="B721" s="75"/>
      <c r="C721" s="76"/>
      <c r="F721" s="71"/>
      <c r="G721" s="77"/>
      <c r="J721" s="78"/>
      <c r="K721" s="63"/>
      <c r="L721" s="63"/>
      <c r="M721" s="63"/>
      <c r="N721" s="63"/>
      <c r="O721" s="63"/>
      <c r="P721" s="63"/>
      <c r="Q721" s="63"/>
      <c r="R721" s="63"/>
      <c r="S721" s="63"/>
      <c r="U721" s="71"/>
      <c r="V721" s="71"/>
      <c r="Z721" s="71"/>
      <c r="BW721" s="64"/>
      <c r="BX721" s="64"/>
      <c r="BY721" s="64"/>
      <c r="BZ721" s="66"/>
      <c r="CA721" s="64"/>
      <c r="CB721" s="64"/>
      <c r="CC721" s="64"/>
      <c r="CD721" s="64"/>
      <c r="CE721" s="64"/>
      <c r="CF721" s="64"/>
      <c r="CG721" s="64" t="str">
        <f t="shared" si="6"/>
        <v/>
      </c>
    </row>
    <row r="722">
      <c r="A722" s="74"/>
      <c r="B722" s="75"/>
      <c r="C722" s="76"/>
      <c r="F722" s="71"/>
      <c r="G722" s="77"/>
      <c r="J722" s="78"/>
      <c r="K722" s="63"/>
      <c r="L722" s="63"/>
      <c r="M722" s="63"/>
      <c r="N722" s="63"/>
      <c r="O722" s="63"/>
      <c r="P722" s="63"/>
      <c r="Q722" s="63"/>
      <c r="R722" s="63"/>
      <c r="S722" s="63"/>
      <c r="U722" s="71"/>
      <c r="V722" s="71"/>
      <c r="Z722" s="71"/>
      <c r="BW722" s="64"/>
      <c r="BX722" s="64"/>
      <c r="BY722" s="64"/>
      <c r="BZ722" s="66"/>
      <c r="CA722" s="64"/>
      <c r="CB722" s="64"/>
      <c r="CC722" s="64"/>
      <c r="CD722" s="64"/>
      <c r="CE722" s="64"/>
      <c r="CF722" s="64"/>
      <c r="CG722" s="64" t="str">
        <f t="shared" si="6"/>
        <v/>
      </c>
    </row>
    <row r="723">
      <c r="A723" s="74"/>
      <c r="B723" s="75"/>
      <c r="C723" s="76"/>
      <c r="F723" s="71"/>
      <c r="G723" s="77"/>
      <c r="J723" s="78"/>
      <c r="K723" s="63"/>
      <c r="L723" s="63"/>
      <c r="M723" s="63"/>
      <c r="N723" s="63"/>
      <c r="O723" s="63"/>
      <c r="P723" s="63"/>
      <c r="Q723" s="63"/>
      <c r="R723" s="63"/>
      <c r="S723" s="63"/>
      <c r="U723" s="71"/>
      <c r="V723" s="71"/>
      <c r="Z723" s="71"/>
      <c r="BW723" s="64"/>
      <c r="BX723" s="64"/>
      <c r="BY723" s="64"/>
      <c r="BZ723" s="66"/>
      <c r="CA723" s="64"/>
      <c r="CB723" s="64"/>
      <c r="CC723" s="64"/>
      <c r="CD723" s="64"/>
      <c r="CE723" s="64"/>
      <c r="CF723" s="64"/>
      <c r="CG723" s="64" t="str">
        <f t="shared" si="6"/>
        <v/>
      </c>
    </row>
    <row r="724">
      <c r="A724" s="74"/>
      <c r="B724" s="75"/>
      <c r="C724" s="76"/>
      <c r="F724" s="71"/>
      <c r="G724" s="77"/>
      <c r="J724" s="78"/>
      <c r="K724" s="63"/>
      <c r="L724" s="63"/>
      <c r="M724" s="63"/>
      <c r="N724" s="63"/>
      <c r="O724" s="63"/>
      <c r="P724" s="63"/>
      <c r="Q724" s="63"/>
      <c r="R724" s="63"/>
      <c r="S724" s="63"/>
      <c r="U724" s="71"/>
      <c r="V724" s="71"/>
      <c r="Z724" s="71"/>
      <c r="BW724" s="64"/>
      <c r="BX724" s="64"/>
      <c r="BY724" s="64"/>
      <c r="BZ724" s="66"/>
      <c r="CA724" s="64"/>
      <c r="CB724" s="64"/>
      <c r="CC724" s="64"/>
      <c r="CD724" s="64"/>
      <c r="CE724" s="64"/>
      <c r="CF724" s="64"/>
      <c r="CG724" s="64" t="str">
        <f t="shared" si="6"/>
        <v/>
      </c>
    </row>
    <row r="725">
      <c r="A725" s="74"/>
      <c r="B725" s="75"/>
      <c r="C725" s="76"/>
      <c r="F725" s="71"/>
      <c r="G725" s="77"/>
      <c r="J725" s="78"/>
      <c r="K725" s="63"/>
      <c r="L725" s="63"/>
      <c r="M725" s="63"/>
      <c r="N725" s="63"/>
      <c r="O725" s="63"/>
      <c r="P725" s="63"/>
      <c r="Q725" s="63"/>
      <c r="R725" s="63"/>
      <c r="S725" s="63"/>
      <c r="U725" s="71"/>
      <c r="V725" s="71"/>
      <c r="Z725" s="71"/>
      <c r="BW725" s="64"/>
      <c r="BX725" s="64"/>
      <c r="BY725" s="64"/>
      <c r="BZ725" s="66"/>
      <c r="CA725" s="64"/>
      <c r="CB725" s="64"/>
      <c r="CC725" s="64"/>
      <c r="CD725" s="64"/>
      <c r="CE725" s="64"/>
      <c r="CF725" s="64"/>
      <c r="CG725" s="64" t="str">
        <f t="shared" si="6"/>
        <v/>
      </c>
    </row>
    <row r="726">
      <c r="A726" s="74"/>
      <c r="B726" s="75"/>
      <c r="C726" s="76"/>
      <c r="F726" s="71"/>
      <c r="G726" s="77"/>
      <c r="J726" s="78"/>
      <c r="K726" s="63"/>
      <c r="L726" s="63"/>
      <c r="M726" s="63"/>
      <c r="N726" s="63"/>
      <c r="O726" s="63"/>
      <c r="P726" s="63"/>
      <c r="Q726" s="63"/>
      <c r="R726" s="63"/>
      <c r="S726" s="63"/>
      <c r="U726" s="71"/>
      <c r="V726" s="71"/>
      <c r="Z726" s="71"/>
      <c r="BW726" s="64"/>
      <c r="BX726" s="64"/>
      <c r="BY726" s="64"/>
      <c r="BZ726" s="66"/>
      <c r="CA726" s="64"/>
      <c r="CB726" s="64"/>
      <c r="CC726" s="64"/>
      <c r="CD726" s="64"/>
      <c r="CE726" s="64"/>
      <c r="CF726" s="64"/>
      <c r="CG726" s="64" t="str">
        <f t="shared" si="6"/>
        <v/>
      </c>
    </row>
    <row r="727">
      <c r="A727" s="74"/>
      <c r="B727" s="75"/>
      <c r="C727" s="76"/>
      <c r="F727" s="71"/>
      <c r="G727" s="77"/>
      <c r="J727" s="78"/>
      <c r="K727" s="63"/>
      <c r="L727" s="63"/>
      <c r="M727" s="63"/>
      <c r="N727" s="63"/>
      <c r="O727" s="63"/>
      <c r="P727" s="63"/>
      <c r="Q727" s="63"/>
      <c r="R727" s="63"/>
      <c r="S727" s="63"/>
      <c r="U727" s="71"/>
      <c r="V727" s="71"/>
      <c r="Z727" s="71"/>
      <c r="BW727" s="64"/>
      <c r="BX727" s="64"/>
      <c r="BY727" s="64"/>
      <c r="BZ727" s="66"/>
      <c r="CA727" s="64"/>
      <c r="CB727" s="64"/>
      <c r="CC727" s="64"/>
      <c r="CD727" s="64"/>
      <c r="CE727" s="64"/>
      <c r="CF727" s="64"/>
      <c r="CG727" s="64" t="str">
        <f t="shared" si="6"/>
        <v/>
      </c>
    </row>
    <row r="728">
      <c r="A728" s="74"/>
      <c r="B728" s="75"/>
      <c r="C728" s="76"/>
      <c r="F728" s="71"/>
      <c r="G728" s="77"/>
      <c r="J728" s="78"/>
      <c r="K728" s="63"/>
      <c r="L728" s="63"/>
      <c r="M728" s="63"/>
      <c r="N728" s="63"/>
      <c r="O728" s="63"/>
      <c r="P728" s="63"/>
      <c r="Q728" s="63"/>
      <c r="R728" s="63"/>
      <c r="S728" s="63"/>
      <c r="U728" s="71"/>
      <c r="V728" s="71"/>
      <c r="Z728" s="71"/>
      <c r="BW728" s="64"/>
      <c r="BX728" s="64"/>
      <c r="BY728" s="64"/>
      <c r="BZ728" s="66"/>
      <c r="CA728" s="64"/>
      <c r="CB728" s="64"/>
      <c r="CC728" s="64"/>
      <c r="CD728" s="64"/>
      <c r="CE728" s="64"/>
      <c r="CF728" s="64"/>
      <c r="CG728" s="64" t="str">
        <f t="shared" si="6"/>
        <v/>
      </c>
    </row>
    <row r="729">
      <c r="A729" s="74"/>
      <c r="B729" s="75"/>
      <c r="C729" s="76"/>
      <c r="F729" s="71"/>
      <c r="G729" s="77"/>
      <c r="J729" s="78"/>
      <c r="K729" s="63"/>
      <c r="L729" s="63"/>
      <c r="M729" s="63"/>
      <c r="N729" s="63"/>
      <c r="O729" s="63"/>
      <c r="P729" s="63"/>
      <c r="Q729" s="63"/>
      <c r="R729" s="63"/>
      <c r="S729" s="63"/>
      <c r="U729" s="71"/>
      <c r="V729" s="71"/>
      <c r="Z729" s="71"/>
      <c r="BW729" s="64"/>
      <c r="BX729" s="64"/>
      <c r="BY729" s="64"/>
      <c r="BZ729" s="66"/>
      <c r="CA729" s="64"/>
      <c r="CB729" s="64"/>
      <c r="CC729" s="64"/>
      <c r="CD729" s="64"/>
      <c r="CE729" s="64"/>
      <c r="CF729" s="64"/>
      <c r="CG729" s="64" t="str">
        <f t="shared" si="6"/>
        <v/>
      </c>
    </row>
    <row r="730">
      <c r="A730" s="74"/>
      <c r="B730" s="75"/>
      <c r="C730" s="76"/>
      <c r="F730" s="71"/>
      <c r="G730" s="77"/>
      <c r="J730" s="78"/>
      <c r="K730" s="63"/>
      <c r="L730" s="63"/>
      <c r="M730" s="63"/>
      <c r="N730" s="63"/>
      <c r="O730" s="63"/>
      <c r="P730" s="63"/>
      <c r="Q730" s="63"/>
      <c r="R730" s="63"/>
      <c r="S730" s="63"/>
      <c r="U730" s="71"/>
      <c r="V730" s="71"/>
      <c r="Z730" s="71"/>
      <c r="BW730" s="64"/>
      <c r="BX730" s="64"/>
      <c r="BY730" s="64"/>
      <c r="BZ730" s="66"/>
      <c r="CA730" s="64"/>
      <c r="CB730" s="64"/>
      <c r="CC730" s="64"/>
      <c r="CD730" s="64"/>
      <c r="CE730" s="64"/>
      <c r="CF730" s="64"/>
      <c r="CG730" s="64" t="str">
        <f t="shared" si="6"/>
        <v/>
      </c>
    </row>
    <row r="731">
      <c r="A731" s="74"/>
      <c r="B731" s="75"/>
      <c r="C731" s="76"/>
      <c r="F731" s="71"/>
      <c r="G731" s="77"/>
      <c r="J731" s="78"/>
      <c r="K731" s="63"/>
      <c r="L731" s="63"/>
      <c r="M731" s="63"/>
      <c r="N731" s="63"/>
      <c r="O731" s="63"/>
      <c r="P731" s="63"/>
      <c r="Q731" s="63"/>
      <c r="R731" s="63"/>
      <c r="S731" s="63"/>
      <c r="U731" s="71"/>
      <c r="V731" s="71"/>
      <c r="Z731" s="71"/>
      <c r="BW731" s="64"/>
      <c r="BX731" s="64"/>
      <c r="BY731" s="64"/>
      <c r="BZ731" s="66"/>
      <c r="CA731" s="64"/>
      <c r="CB731" s="64"/>
      <c r="CC731" s="64"/>
      <c r="CD731" s="64"/>
      <c r="CE731" s="64"/>
      <c r="CF731" s="64"/>
      <c r="CG731" s="64" t="str">
        <f t="shared" si="6"/>
        <v/>
      </c>
    </row>
    <row r="732">
      <c r="A732" s="74"/>
      <c r="B732" s="75"/>
      <c r="C732" s="76"/>
      <c r="F732" s="71"/>
      <c r="G732" s="77"/>
      <c r="J732" s="78"/>
      <c r="K732" s="63"/>
      <c r="L732" s="63"/>
      <c r="M732" s="63"/>
      <c r="N732" s="63"/>
      <c r="O732" s="63"/>
      <c r="P732" s="63"/>
      <c r="Q732" s="63"/>
      <c r="R732" s="63"/>
      <c r="S732" s="63"/>
      <c r="U732" s="71"/>
      <c r="V732" s="71"/>
      <c r="Z732" s="71"/>
      <c r="BW732" s="64"/>
      <c r="BX732" s="64"/>
      <c r="BY732" s="64"/>
      <c r="BZ732" s="66"/>
      <c r="CA732" s="64"/>
      <c r="CB732" s="64"/>
      <c r="CC732" s="64"/>
      <c r="CD732" s="64"/>
      <c r="CE732" s="64"/>
      <c r="CF732" s="64"/>
      <c r="CG732" s="64" t="str">
        <f t="shared" si="6"/>
        <v/>
      </c>
    </row>
    <row r="733">
      <c r="A733" s="74"/>
      <c r="B733" s="75"/>
      <c r="C733" s="76"/>
      <c r="F733" s="71"/>
      <c r="G733" s="77"/>
      <c r="J733" s="78"/>
      <c r="K733" s="63"/>
      <c r="L733" s="63"/>
      <c r="M733" s="63"/>
      <c r="N733" s="63"/>
      <c r="O733" s="63"/>
      <c r="P733" s="63"/>
      <c r="Q733" s="63"/>
      <c r="R733" s="63"/>
      <c r="S733" s="63"/>
      <c r="U733" s="71"/>
      <c r="V733" s="71"/>
      <c r="Z733" s="71"/>
      <c r="BW733" s="64"/>
      <c r="BX733" s="64"/>
      <c r="BY733" s="64"/>
      <c r="BZ733" s="66"/>
      <c r="CA733" s="64"/>
      <c r="CB733" s="64"/>
      <c r="CC733" s="64"/>
      <c r="CD733" s="64"/>
      <c r="CE733" s="64"/>
      <c r="CF733" s="64"/>
      <c r="CG733" s="64" t="str">
        <f t="shared" si="6"/>
        <v/>
      </c>
    </row>
    <row r="734">
      <c r="A734" s="74"/>
      <c r="B734" s="75"/>
      <c r="C734" s="76"/>
      <c r="F734" s="71"/>
      <c r="G734" s="77"/>
      <c r="J734" s="78"/>
      <c r="K734" s="63"/>
      <c r="L734" s="63"/>
      <c r="M734" s="63"/>
      <c r="N734" s="63"/>
      <c r="O734" s="63"/>
      <c r="P734" s="63"/>
      <c r="Q734" s="63"/>
      <c r="R734" s="63"/>
      <c r="S734" s="63"/>
      <c r="U734" s="71"/>
      <c r="V734" s="71"/>
      <c r="Z734" s="71"/>
      <c r="BW734" s="64"/>
      <c r="BX734" s="64"/>
      <c r="BY734" s="64"/>
      <c r="BZ734" s="66"/>
      <c r="CA734" s="64"/>
      <c r="CB734" s="64"/>
      <c r="CC734" s="64"/>
      <c r="CD734" s="64"/>
      <c r="CE734" s="64"/>
      <c r="CF734" s="64"/>
      <c r="CG734" s="64" t="str">
        <f t="shared" si="6"/>
        <v/>
      </c>
    </row>
    <row r="735">
      <c r="A735" s="74"/>
      <c r="B735" s="75"/>
      <c r="C735" s="76"/>
      <c r="F735" s="71"/>
      <c r="G735" s="77"/>
      <c r="J735" s="78"/>
      <c r="K735" s="63"/>
      <c r="L735" s="63"/>
      <c r="M735" s="63"/>
      <c r="N735" s="63"/>
      <c r="O735" s="63"/>
      <c r="P735" s="63"/>
      <c r="Q735" s="63"/>
      <c r="R735" s="63"/>
      <c r="S735" s="63"/>
      <c r="U735" s="71"/>
      <c r="V735" s="71"/>
      <c r="Z735" s="71"/>
      <c r="BW735" s="64"/>
      <c r="BX735" s="64"/>
      <c r="BY735" s="64"/>
      <c r="BZ735" s="66"/>
      <c r="CA735" s="64"/>
      <c r="CB735" s="64"/>
      <c r="CC735" s="64"/>
      <c r="CD735" s="64"/>
      <c r="CE735" s="64"/>
      <c r="CF735" s="64"/>
      <c r="CG735" s="64" t="str">
        <f t="shared" si="6"/>
        <v/>
      </c>
    </row>
    <row r="736">
      <c r="A736" s="74"/>
      <c r="B736" s="75"/>
      <c r="C736" s="76"/>
      <c r="F736" s="71"/>
      <c r="G736" s="77"/>
      <c r="J736" s="78"/>
      <c r="K736" s="63"/>
      <c r="L736" s="63"/>
      <c r="M736" s="63"/>
      <c r="N736" s="63"/>
      <c r="O736" s="63"/>
      <c r="P736" s="63"/>
      <c r="Q736" s="63"/>
      <c r="R736" s="63"/>
      <c r="S736" s="63"/>
      <c r="U736" s="71"/>
      <c r="V736" s="71"/>
      <c r="Z736" s="71"/>
      <c r="BW736" s="64"/>
      <c r="BX736" s="64"/>
      <c r="BY736" s="64"/>
      <c r="BZ736" s="66"/>
      <c r="CA736" s="64"/>
      <c r="CB736" s="64"/>
      <c r="CC736" s="64"/>
      <c r="CD736" s="64"/>
      <c r="CE736" s="64"/>
      <c r="CF736" s="64"/>
      <c r="CG736" s="64" t="str">
        <f t="shared" si="6"/>
        <v/>
      </c>
    </row>
    <row r="737">
      <c r="A737" s="74"/>
      <c r="B737" s="75"/>
      <c r="C737" s="76"/>
      <c r="F737" s="71"/>
      <c r="G737" s="77"/>
      <c r="J737" s="78"/>
      <c r="K737" s="63"/>
      <c r="L737" s="63"/>
      <c r="M737" s="63"/>
      <c r="N737" s="63"/>
      <c r="O737" s="63"/>
      <c r="P737" s="63"/>
      <c r="Q737" s="63"/>
      <c r="R737" s="63"/>
      <c r="S737" s="63"/>
      <c r="U737" s="71"/>
      <c r="V737" s="71"/>
      <c r="Z737" s="71"/>
      <c r="BW737" s="64"/>
      <c r="BX737" s="64"/>
      <c r="BY737" s="64"/>
      <c r="BZ737" s="66"/>
      <c r="CA737" s="64"/>
      <c r="CB737" s="64"/>
      <c r="CC737" s="64"/>
      <c r="CD737" s="64"/>
      <c r="CE737" s="64"/>
      <c r="CF737" s="64"/>
      <c r="CG737" s="64" t="str">
        <f t="shared" si="6"/>
        <v/>
      </c>
    </row>
    <row r="738">
      <c r="A738" s="74"/>
      <c r="B738" s="75"/>
      <c r="C738" s="76"/>
      <c r="F738" s="71"/>
      <c r="G738" s="77"/>
      <c r="J738" s="78"/>
      <c r="K738" s="63"/>
      <c r="L738" s="63"/>
      <c r="M738" s="63"/>
      <c r="N738" s="63"/>
      <c r="O738" s="63"/>
      <c r="P738" s="63"/>
      <c r="Q738" s="63"/>
      <c r="R738" s="63"/>
      <c r="S738" s="63"/>
      <c r="U738" s="71"/>
      <c r="V738" s="71"/>
      <c r="Z738" s="71"/>
      <c r="BW738" s="64"/>
      <c r="BX738" s="64"/>
      <c r="BY738" s="64"/>
      <c r="BZ738" s="66"/>
      <c r="CA738" s="64"/>
      <c r="CB738" s="64"/>
      <c r="CC738" s="64"/>
      <c r="CD738" s="64"/>
      <c r="CE738" s="64"/>
      <c r="CF738" s="64"/>
      <c r="CG738" s="64" t="str">
        <f t="shared" si="6"/>
        <v/>
      </c>
    </row>
    <row r="739">
      <c r="A739" s="74"/>
      <c r="B739" s="75"/>
      <c r="C739" s="76"/>
      <c r="F739" s="71"/>
      <c r="G739" s="77"/>
      <c r="J739" s="78"/>
      <c r="K739" s="63"/>
      <c r="L739" s="63"/>
      <c r="M739" s="63"/>
      <c r="N739" s="63"/>
      <c r="O739" s="63"/>
      <c r="P739" s="63"/>
      <c r="Q739" s="63"/>
      <c r="R739" s="63"/>
      <c r="S739" s="63"/>
      <c r="U739" s="71"/>
      <c r="V739" s="71"/>
      <c r="Z739" s="71"/>
      <c r="BW739" s="64"/>
      <c r="BX739" s="64"/>
      <c r="BY739" s="64"/>
      <c r="BZ739" s="66"/>
      <c r="CA739" s="64"/>
      <c r="CB739" s="64"/>
      <c r="CC739" s="64"/>
      <c r="CD739" s="64"/>
      <c r="CE739" s="64"/>
      <c r="CF739" s="64"/>
      <c r="CG739" s="64" t="str">
        <f t="shared" si="6"/>
        <v/>
      </c>
    </row>
    <row r="740">
      <c r="A740" s="74"/>
      <c r="B740" s="75"/>
      <c r="C740" s="76"/>
      <c r="F740" s="71"/>
      <c r="G740" s="77"/>
      <c r="J740" s="78"/>
      <c r="K740" s="63"/>
      <c r="L740" s="63"/>
      <c r="M740" s="63"/>
      <c r="N740" s="63"/>
      <c r="O740" s="63"/>
      <c r="P740" s="63"/>
      <c r="Q740" s="63"/>
      <c r="R740" s="63"/>
      <c r="S740" s="63"/>
      <c r="U740" s="71"/>
      <c r="V740" s="71"/>
      <c r="Z740" s="71"/>
      <c r="BW740" s="64"/>
      <c r="BX740" s="64"/>
      <c r="BY740" s="64"/>
      <c r="BZ740" s="66"/>
      <c r="CA740" s="64"/>
      <c r="CB740" s="64"/>
      <c r="CC740" s="64"/>
      <c r="CD740" s="64"/>
      <c r="CE740" s="64"/>
      <c r="CF740" s="64"/>
      <c r="CG740" s="64" t="str">
        <f t="shared" si="6"/>
        <v/>
      </c>
    </row>
    <row r="741">
      <c r="A741" s="74"/>
      <c r="B741" s="75"/>
      <c r="C741" s="76"/>
      <c r="F741" s="71"/>
      <c r="G741" s="77"/>
      <c r="J741" s="78"/>
      <c r="K741" s="63"/>
      <c r="L741" s="63"/>
      <c r="M741" s="63"/>
      <c r="N741" s="63"/>
      <c r="O741" s="63"/>
      <c r="P741" s="63"/>
      <c r="Q741" s="63"/>
      <c r="R741" s="63"/>
      <c r="S741" s="63"/>
      <c r="U741" s="71"/>
      <c r="V741" s="71"/>
      <c r="Z741" s="71"/>
      <c r="BW741" s="64"/>
      <c r="BX741" s="64"/>
      <c r="BY741" s="64"/>
      <c r="BZ741" s="66"/>
      <c r="CA741" s="64"/>
      <c r="CB741" s="64"/>
      <c r="CC741" s="64"/>
      <c r="CD741" s="64"/>
      <c r="CE741" s="64"/>
      <c r="CF741" s="64"/>
      <c r="CG741" s="64" t="str">
        <f t="shared" si="6"/>
        <v/>
      </c>
    </row>
    <row r="742">
      <c r="A742" s="74"/>
      <c r="B742" s="75"/>
      <c r="C742" s="76"/>
      <c r="F742" s="71"/>
      <c r="G742" s="77"/>
      <c r="J742" s="78"/>
      <c r="K742" s="63"/>
      <c r="L742" s="63"/>
      <c r="M742" s="63"/>
      <c r="N742" s="63"/>
      <c r="O742" s="63"/>
      <c r="P742" s="63"/>
      <c r="Q742" s="63"/>
      <c r="R742" s="63"/>
      <c r="S742" s="63"/>
      <c r="U742" s="71"/>
      <c r="V742" s="71"/>
      <c r="Z742" s="71"/>
      <c r="BW742" s="64"/>
      <c r="BX742" s="64"/>
      <c r="BY742" s="64"/>
      <c r="BZ742" s="66"/>
      <c r="CA742" s="64"/>
      <c r="CB742" s="64"/>
      <c r="CC742" s="64"/>
      <c r="CD742" s="64"/>
      <c r="CE742" s="64"/>
      <c r="CF742" s="64"/>
      <c r="CG742" s="64" t="str">
        <f t="shared" si="6"/>
        <v/>
      </c>
    </row>
    <row r="743">
      <c r="A743" s="74"/>
      <c r="B743" s="75"/>
      <c r="C743" s="76"/>
      <c r="F743" s="71"/>
      <c r="G743" s="77"/>
      <c r="J743" s="78"/>
      <c r="K743" s="63"/>
      <c r="L743" s="63"/>
      <c r="M743" s="63"/>
      <c r="N743" s="63"/>
      <c r="O743" s="63"/>
      <c r="P743" s="63"/>
      <c r="Q743" s="63"/>
      <c r="R743" s="63"/>
      <c r="S743" s="63"/>
      <c r="U743" s="71"/>
      <c r="V743" s="71"/>
      <c r="Z743" s="71"/>
      <c r="BW743" s="64"/>
      <c r="BX743" s="64"/>
      <c r="BY743" s="64"/>
      <c r="BZ743" s="66"/>
      <c r="CA743" s="64"/>
      <c r="CB743" s="64"/>
      <c r="CC743" s="64"/>
      <c r="CD743" s="64"/>
      <c r="CE743" s="64"/>
      <c r="CF743" s="64"/>
      <c r="CG743" s="64" t="str">
        <f t="shared" si="6"/>
        <v/>
      </c>
    </row>
    <row r="744">
      <c r="A744" s="74"/>
      <c r="B744" s="75"/>
      <c r="C744" s="76"/>
      <c r="F744" s="71"/>
      <c r="G744" s="77"/>
      <c r="J744" s="78"/>
      <c r="K744" s="63"/>
      <c r="L744" s="63"/>
      <c r="M744" s="63"/>
      <c r="N744" s="63"/>
      <c r="O744" s="63"/>
      <c r="P744" s="63"/>
      <c r="Q744" s="63"/>
      <c r="R744" s="63"/>
      <c r="S744" s="63"/>
      <c r="U744" s="71"/>
      <c r="V744" s="71"/>
      <c r="Z744" s="71"/>
      <c r="BW744" s="64"/>
      <c r="BX744" s="64"/>
      <c r="BY744" s="64"/>
      <c r="BZ744" s="66"/>
      <c r="CA744" s="64"/>
      <c r="CB744" s="64"/>
      <c r="CC744" s="64"/>
      <c r="CD744" s="64"/>
      <c r="CE744" s="64"/>
      <c r="CF744" s="64"/>
      <c r="CG744" s="64" t="str">
        <f t="shared" si="6"/>
        <v/>
      </c>
    </row>
    <row r="745">
      <c r="A745" s="74"/>
      <c r="B745" s="75"/>
      <c r="C745" s="76"/>
      <c r="F745" s="71"/>
      <c r="G745" s="77"/>
      <c r="J745" s="78"/>
      <c r="K745" s="63"/>
      <c r="L745" s="63"/>
      <c r="M745" s="63"/>
      <c r="N745" s="63"/>
      <c r="O745" s="63"/>
      <c r="P745" s="63"/>
      <c r="Q745" s="63"/>
      <c r="R745" s="63"/>
      <c r="S745" s="63"/>
      <c r="U745" s="71"/>
      <c r="V745" s="71"/>
      <c r="Z745" s="71"/>
      <c r="BW745" s="64"/>
      <c r="BX745" s="64"/>
      <c r="BY745" s="64"/>
      <c r="BZ745" s="66"/>
      <c r="CA745" s="64"/>
      <c r="CB745" s="64"/>
      <c r="CC745" s="64"/>
      <c r="CD745" s="64"/>
      <c r="CE745" s="64"/>
      <c r="CF745" s="64"/>
      <c r="CG745" s="64" t="str">
        <f t="shared" si="6"/>
        <v/>
      </c>
    </row>
    <row r="746">
      <c r="A746" s="74"/>
      <c r="B746" s="75"/>
      <c r="C746" s="76"/>
      <c r="F746" s="71"/>
      <c r="G746" s="77"/>
      <c r="J746" s="78"/>
      <c r="K746" s="63"/>
      <c r="L746" s="63"/>
      <c r="M746" s="63"/>
      <c r="N746" s="63"/>
      <c r="O746" s="63"/>
      <c r="P746" s="63"/>
      <c r="Q746" s="63"/>
      <c r="R746" s="63"/>
      <c r="S746" s="63"/>
      <c r="U746" s="71"/>
      <c r="V746" s="71"/>
      <c r="Z746" s="71"/>
      <c r="BW746" s="64"/>
      <c r="BX746" s="64"/>
      <c r="BY746" s="64"/>
      <c r="BZ746" s="66"/>
      <c r="CA746" s="64"/>
      <c r="CB746" s="64"/>
      <c r="CC746" s="64"/>
      <c r="CD746" s="64"/>
      <c r="CE746" s="64"/>
      <c r="CF746" s="64"/>
      <c r="CG746" s="64" t="str">
        <f t="shared" si="6"/>
        <v/>
      </c>
    </row>
    <row r="747">
      <c r="A747" s="74"/>
      <c r="B747" s="75"/>
      <c r="C747" s="76"/>
      <c r="F747" s="71"/>
      <c r="G747" s="77"/>
      <c r="J747" s="78"/>
      <c r="K747" s="63"/>
      <c r="L747" s="63"/>
      <c r="M747" s="63"/>
      <c r="N747" s="63"/>
      <c r="O747" s="63"/>
      <c r="P747" s="63"/>
      <c r="Q747" s="63"/>
      <c r="R747" s="63"/>
      <c r="S747" s="63"/>
      <c r="U747" s="71"/>
      <c r="V747" s="71"/>
      <c r="Z747" s="71"/>
      <c r="BW747" s="64"/>
      <c r="BX747" s="64"/>
      <c r="BY747" s="64"/>
      <c r="BZ747" s="66"/>
      <c r="CA747" s="64"/>
      <c r="CB747" s="64"/>
      <c r="CC747" s="64"/>
      <c r="CD747" s="64"/>
      <c r="CE747" s="64"/>
      <c r="CF747" s="64"/>
      <c r="CG747" s="64" t="str">
        <f t="shared" si="6"/>
        <v/>
      </c>
    </row>
    <row r="748">
      <c r="A748" s="74"/>
      <c r="B748" s="75"/>
      <c r="C748" s="76"/>
      <c r="F748" s="71"/>
      <c r="G748" s="77"/>
      <c r="J748" s="78"/>
      <c r="K748" s="63"/>
      <c r="L748" s="63"/>
      <c r="M748" s="63"/>
      <c r="N748" s="63"/>
      <c r="O748" s="63"/>
      <c r="P748" s="63"/>
      <c r="Q748" s="63"/>
      <c r="R748" s="63"/>
      <c r="S748" s="63"/>
      <c r="U748" s="71"/>
      <c r="V748" s="71"/>
      <c r="Z748" s="71"/>
      <c r="BW748" s="64"/>
      <c r="BX748" s="64"/>
      <c r="BY748" s="64"/>
      <c r="BZ748" s="66"/>
      <c r="CA748" s="64"/>
      <c r="CB748" s="64"/>
      <c r="CC748" s="64"/>
      <c r="CD748" s="64"/>
      <c r="CE748" s="64"/>
      <c r="CF748" s="64"/>
      <c r="CG748" s="64" t="str">
        <f t="shared" si="6"/>
        <v/>
      </c>
    </row>
    <row r="749">
      <c r="A749" s="74"/>
      <c r="B749" s="75"/>
      <c r="C749" s="76"/>
      <c r="F749" s="71"/>
      <c r="G749" s="77"/>
      <c r="J749" s="78"/>
      <c r="K749" s="63"/>
      <c r="L749" s="63"/>
      <c r="M749" s="63"/>
      <c r="N749" s="63"/>
      <c r="O749" s="63"/>
      <c r="P749" s="63"/>
      <c r="Q749" s="63"/>
      <c r="R749" s="63"/>
      <c r="S749" s="63"/>
      <c r="U749" s="71"/>
      <c r="V749" s="71"/>
      <c r="Z749" s="71"/>
      <c r="BW749" s="64"/>
      <c r="BX749" s="64"/>
      <c r="BY749" s="64"/>
      <c r="BZ749" s="66"/>
      <c r="CA749" s="64"/>
      <c r="CB749" s="64"/>
      <c r="CC749" s="64"/>
      <c r="CD749" s="64"/>
      <c r="CE749" s="64"/>
      <c r="CF749" s="64"/>
      <c r="CG749" s="64" t="str">
        <f t="shared" si="6"/>
        <v/>
      </c>
    </row>
    <row r="750">
      <c r="A750" s="74"/>
      <c r="B750" s="75"/>
      <c r="C750" s="76"/>
      <c r="F750" s="71"/>
      <c r="G750" s="77"/>
      <c r="J750" s="78"/>
      <c r="K750" s="63"/>
      <c r="L750" s="63"/>
      <c r="M750" s="63"/>
      <c r="N750" s="63"/>
      <c r="O750" s="63"/>
      <c r="P750" s="63"/>
      <c r="Q750" s="63"/>
      <c r="R750" s="63"/>
      <c r="S750" s="63"/>
      <c r="U750" s="71"/>
      <c r="V750" s="71"/>
      <c r="Z750" s="71"/>
      <c r="BW750" s="64"/>
      <c r="BX750" s="64"/>
      <c r="BY750" s="64"/>
      <c r="BZ750" s="66"/>
      <c r="CA750" s="64"/>
      <c r="CB750" s="64"/>
      <c r="CC750" s="64"/>
      <c r="CD750" s="64"/>
      <c r="CE750" s="64"/>
      <c r="CF750" s="64"/>
      <c r="CG750" s="64" t="str">
        <f t="shared" si="6"/>
        <v/>
      </c>
    </row>
    <row r="751">
      <c r="A751" s="74"/>
      <c r="B751" s="75"/>
      <c r="C751" s="76"/>
      <c r="F751" s="71"/>
      <c r="G751" s="77"/>
      <c r="J751" s="78"/>
      <c r="K751" s="63"/>
      <c r="L751" s="63"/>
      <c r="M751" s="63"/>
      <c r="N751" s="63"/>
      <c r="O751" s="63"/>
      <c r="P751" s="63"/>
      <c r="Q751" s="63"/>
      <c r="R751" s="63"/>
      <c r="S751" s="63"/>
      <c r="U751" s="71"/>
      <c r="V751" s="71"/>
      <c r="Z751" s="71"/>
      <c r="BW751" s="64"/>
      <c r="BX751" s="64"/>
      <c r="BY751" s="64"/>
      <c r="BZ751" s="66"/>
      <c r="CA751" s="64"/>
      <c r="CB751" s="64"/>
      <c r="CC751" s="64"/>
      <c r="CD751" s="64"/>
      <c r="CE751" s="64"/>
      <c r="CF751" s="64"/>
      <c r="CG751" s="64" t="str">
        <f t="shared" si="6"/>
        <v/>
      </c>
    </row>
    <row r="752">
      <c r="A752" s="74"/>
      <c r="B752" s="75"/>
      <c r="C752" s="76"/>
      <c r="F752" s="71"/>
      <c r="G752" s="77"/>
      <c r="J752" s="78"/>
      <c r="K752" s="63"/>
      <c r="L752" s="63"/>
      <c r="M752" s="63"/>
      <c r="N752" s="63"/>
      <c r="O752" s="63"/>
      <c r="P752" s="63"/>
      <c r="Q752" s="63"/>
      <c r="R752" s="63"/>
      <c r="S752" s="63"/>
      <c r="U752" s="71"/>
      <c r="V752" s="71"/>
      <c r="Z752" s="71"/>
      <c r="BW752" s="64"/>
      <c r="BX752" s="64"/>
      <c r="BY752" s="64"/>
      <c r="BZ752" s="66"/>
      <c r="CA752" s="64"/>
      <c r="CB752" s="64"/>
      <c r="CC752" s="64"/>
      <c r="CD752" s="64"/>
      <c r="CE752" s="64"/>
      <c r="CF752" s="64"/>
      <c r="CG752" s="64" t="str">
        <f t="shared" si="6"/>
        <v/>
      </c>
    </row>
    <row r="753">
      <c r="A753" s="74"/>
      <c r="B753" s="75"/>
      <c r="C753" s="76"/>
      <c r="F753" s="71"/>
      <c r="G753" s="77"/>
      <c r="J753" s="78"/>
      <c r="K753" s="63"/>
      <c r="L753" s="63"/>
      <c r="M753" s="63"/>
      <c r="N753" s="63"/>
      <c r="O753" s="63"/>
      <c r="P753" s="63"/>
      <c r="Q753" s="63"/>
      <c r="R753" s="63"/>
      <c r="S753" s="63"/>
      <c r="U753" s="71"/>
      <c r="V753" s="71"/>
      <c r="Z753" s="71"/>
      <c r="BW753" s="64"/>
      <c r="BX753" s="64"/>
      <c r="BY753" s="64"/>
      <c r="BZ753" s="66"/>
      <c r="CA753" s="64"/>
      <c r="CB753" s="64"/>
      <c r="CC753" s="64"/>
      <c r="CD753" s="64"/>
      <c r="CE753" s="64"/>
      <c r="CF753" s="64"/>
      <c r="CG753" s="64" t="str">
        <f t="shared" si="6"/>
        <v/>
      </c>
    </row>
    <row r="754">
      <c r="A754" s="74"/>
      <c r="B754" s="75"/>
      <c r="C754" s="76"/>
      <c r="F754" s="71"/>
      <c r="G754" s="77"/>
      <c r="J754" s="78"/>
      <c r="K754" s="63"/>
      <c r="L754" s="63"/>
      <c r="M754" s="63"/>
      <c r="N754" s="63"/>
      <c r="O754" s="63"/>
      <c r="P754" s="63"/>
      <c r="Q754" s="63"/>
      <c r="R754" s="63"/>
      <c r="S754" s="63"/>
      <c r="U754" s="71"/>
      <c r="V754" s="71"/>
      <c r="Z754" s="71"/>
      <c r="BW754" s="64"/>
      <c r="BX754" s="64"/>
      <c r="BY754" s="64"/>
      <c r="BZ754" s="66"/>
      <c r="CA754" s="64"/>
      <c r="CB754" s="64"/>
      <c r="CC754" s="64"/>
      <c r="CD754" s="64"/>
      <c r="CE754" s="64"/>
      <c r="CF754" s="64"/>
      <c r="CG754" s="64" t="str">
        <f t="shared" si="6"/>
        <v/>
      </c>
    </row>
    <row r="755">
      <c r="A755" s="74"/>
      <c r="B755" s="75"/>
      <c r="C755" s="76"/>
      <c r="F755" s="71"/>
      <c r="G755" s="77"/>
      <c r="J755" s="78"/>
      <c r="K755" s="63"/>
      <c r="L755" s="63"/>
      <c r="M755" s="63"/>
      <c r="N755" s="63"/>
      <c r="O755" s="63"/>
      <c r="P755" s="63"/>
      <c r="Q755" s="63"/>
      <c r="R755" s="63"/>
      <c r="S755" s="63"/>
      <c r="U755" s="71"/>
      <c r="V755" s="71"/>
      <c r="Z755" s="71"/>
      <c r="BW755" s="64"/>
      <c r="BX755" s="64"/>
      <c r="BY755" s="64"/>
      <c r="BZ755" s="66"/>
      <c r="CA755" s="64"/>
      <c r="CB755" s="64"/>
      <c r="CC755" s="64"/>
      <c r="CD755" s="64"/>
      <c r="CE755" s="64"/>
      <c r="CF755" s="64"/>
      <c r="CG755" s="64" t="str">
        <f t="shared" si="6"/>
        <v/>
      </c>
    </row>
    <row r="756">
      <c r="A756" s="74"/>
      <c r="B756" s="75"/>
      <c r="C756" s="76"/>
      <c r="F756" s="71"/>
      <c r="G756" s="77"/>
      <c r="J756" s="78"/>
      <c r="K756" s="63"/>
      <c r="L756" s="63"/>
      <c r="M756" s="63"/>
      <c r="N756" s="63"/>
      <c r="O756" s="63"/>
      <c r="P756" s="63"/>
      <c r="Q756" s="63"/>
      <c r="R756" s="63"/>
      <c r="S756" s="63"/>
      <c r="U756" s="71"/>
      <c r="V756" s="71"/>
      <c r="Z756" s="71"/>
      <c r="BW756" s="64"/>
      <c r="BX756" s="64"/>
      <c r="BY756" s="64"/>
      <c r="BZ756" s="66"/>
      <c r="CA756" s="64"/>
      <c r="CB756" s="64"/>
      <c r="CC756" s="64"/>
      <c r="CD756" s="64"/>
      <c r="CE756" s="64"/>
      <c r="CF756" s="64"/>
      <c r="CG756" s="64" t="str">
        <f t="shared" si="6"/>
        <v/>
      </c>
    </row>
    <row r="757">
      <c r="A757" s="74"/>
      <c r="B757" s="75"/>
      <c r="C757" s="76"/>
      <c r="F757" s="71"/>
      <c r="G757" s="77"/>
      <c r="J757" s="78"/>
      <c r="K757" s="63"/>
      <c r="L757" s="63"/>
      <c r="M757" s="63"/>
      <c r="N757" s="63"/>
      <c r="O757" s="63"/>
      <c r="P757" s="63"/>
      <c r="Q757" s="63"/>
      <c r="R757" s="63"/>
      <c r="S757" s="63"/>
      <c r="U757" s="71"/>
      <c r="V757" s="71"/>
      <c r="Z757" s="71"/>
      <c r="BW757" s="64"/>
      <c r="BX757" s="64"/>
      <c r="BY757" s="64"/>
      <c r="BZ757" s="66"/>
      <c r="CA757" s="64"/>
      <c r="CB757" s="64"/>
      <c r="CC757" s="64"/>
      <c r="CD757" s="64"/>
      <c r="CE757" s="64"/>
      <c r="CF757" s="64"/>
      <c r="CG757" s="64" t="str">
        <f t="shared" si="6"/>
        <v/>
      </c>
    </row>
    <row r="758">
      <c r="A758" s="74"/>
      <c r="B758" s="75"/>
      <c r="C758" s="76"/>
      <c r="F758" s="71"/>
      <c r="G758" s="77"/>
      <c r="J758" s="78"/>
      <c r="K758" s="63"/>
      <c r="L758" s="63"/>
      <c r="M758" s="63"/>
      <c r="N758" s="63"/>
      <c r="O758" s="63"/>
      <c r="P758" s="63"/>
      <c r="Q758" s="63"/>
      <c r="R758" s="63"/>
      <c r="S758" s="63"/>
      <c r="U758" s="71"/>
      <c r="V758" s="71"/>
      <c r="Z758" s="71"/>
      <c r="BW758" s="64"/>
      <c r="BX758" s="64"/>
      <c r="BY758" s="64"/>
      <c r="BZ758" s="66"/>
      <c r="CA758" s="64"/>
      <c r="CB758" s="64"/>
      <c r="CC758" s="64"/>
      <c r="CD758" s="64"/>
      <c r="CE758" s="64"/>
      <c r="CF758" s="64"/>
      <c r="CG758" s="64" t="str">
        <f t="shared" si="6"/>
        <v/>
      </c>
    </row>
    <row r="759">
      <c r="A759" s="74"/>
      <c r="B759" s="75"/>
      <c r="C759" s="76"/>
      <c r="F759" s="71"/>
      <c r="G759" s="77"/>
      <c r="J759" s="78"/>
      <c r="K759" s="63"/>
      <c r="L759" s="63"/>
      <c r="M759" s="63"/>
      <c r="N759" s="63"/>
      <c r="O759" s="63"/>
      <c r="P759" s="63"/>
      <c r="Q759" s="63"/>
      <c r="R759" s="63"/>
      <c r="S759" s="63"/>
      <c r="U759" s="71"/>
      <c r="V759" s="71"/>
      <c r="Z759" s="71"/>
      <c r="BW759" s="64"/>
      <c r="BX759" s="64"/>
      <c r="BY759" s="64"/>
      <c r="BZ759" s="66"/>
      <c r="CA759" s="64"/>
      <c r="CB759" s="64"/>
      <c r="CC759" s="64"/>
      <c r="CD759" s="64"/>
      <c r="CE759" s="64"/>
      <c r="CF759" s="64"/>
      <c r="CG759" s="64" t="str">
        <f t="shared" si="6"/>
        <v/>
      </c>
    </row>
    <row r="760">
      <c r="A760" s="74"/>
      <c r="B760" s="75"/>
      <c r="C760" s="76"/>
      <c r="F760" s="71"/>
      <c r="G760" s="77"/>
      <c r="J760" s="78"/>
      <c r="K760" s="63"/>
      <c r="L760" s="63"/>
      <c r="M760" s="63"/>
      <c r="N760" s="63"/>
      <c r="O760" s="63"/>
      <c r="P760" s="63"/>
      <c r="Q760" s="63"/>
      <c r="R760" s="63"/>
      <c r="S760" s="63"/>
      <c r="U760" s="71"/>
      <c r="V760" s="71"/>
      <c r="Z760" s="71"/>
      <c r="BW760" s="64"/>
      <c r="BX760" s="64"/>
      <c r="BY760" s="64"/>
      <c r="BZ760" s="66"/>
      <c r="CA760" s="64"/>
      <c r="CB760" s="64"/>
      <c r="CC760" s="64"/>
      <c r="CD760" s="64"/>
      <c r="CE760" s="64"/>
      <c r="CF760" s="64"/>
      <c r="CG760" s="64" t="str">
        <f t="shared" si="6"/>
        <v/>
      </c>
    </row>
    <row r="761">
      <c r="A761" s="74"/>
      <c r="B761" s="75"/>
      <c r="C761" s="76"/>
      <c r="F761" s="71"/>
      <c r="G761" s="77"/>
      <c r="J761" s="78"/>
      <c r="K761" s="63"/>
      <c r="L761" s="63"/>
      <c r="M761" s="63"/>
      <c r="N761" s="63"/>
      <c r="O761" s="63"/>
      <c r="P761" s="63"/>
      <c r="Q761" s="63"/>
      <c r="R761" s="63"/>
      <c r="S761" s="63"/>
      <c r="U761" s="71"/>
      <c r="V761" s="71"/>
      <c r="Z761" s="71"/>
      <c r="BW761" s="64"/>
      <c r="BX761" s="64"/>
      <c r="BY761" s="64"/>
      <c r="BZ761" s="66"/>
      <c r="CA761" s="64"/>
      <c r="CB761" s="64"/>
      <c r="CC761" s="64"/>
      <c r="CD761" s="64"/>
      <c r="CE761" s="64"/>
      <c r="CF761" s="64"/>
      <c r="CG761" s="64" t="str">
        <f t="shared" si="6"/>
        <v/>
      </c>
    </row>
    <row r="762">
      <c r="A762" s="74"/>
      <c r="B762" s="75"/>
      <c r="C762" s="76"/>
      <c r="F762" s="71"/>
      <c r="G762" s="77"/>
      <c r="J762" s="78"/>
      <c r="K762" s="63"/>
      <c r="L762" s="63"/>
      <c r="M762" s="63"/>
      <c r="N762" s="63"/>
      <c r="O762" s="63"/>
      <c r="P762" s="63"/>
      <c r="Q762" s="63"/>
      <c r="R762" s="63"/>
      <c r="S762" s="63"/>
      <c r="U762" s="71"/>
      <c r="V762" s="71"/>
      <c r="Z762" s="71"/>
      <c r="BW762" s="64"/>
      <c r="BX762" s="64"/>
      <c r="BY762" s="64"/>
      <c r="BZ762" s="66"/>
      <c r="CA762" s="64"/>
      <c r="CB762" s="64"/>
      <c r="CC762" s="64"/>
      <c r="CD762" s="64"/>
      <c r="CE762" s="64"/>
      <c r="CF762" s="64"/>
      <c r="CG762" s="64" t="str">
        <f t="shared" si="6"/>
        <v/>
      </c>
    </row>
    <row r="763">
      <c r="A763" s="74"/>
      <c r="B763" s="75"/>
      <c r="C763" s="76"/>
      <c r="F763" s="71"/>
      <c r="G763" s="77"/>
      <c r="J763" s="78"/>
      <c r="K763" s="63"/>
      <c r="L763" s="63"/>
      <c r="M763" s="63"/>
      <c r="N763" s="63"/>
      <c r="O763" s="63"/>
      <c r="P763" s="63"/>
      <c r="Q763" s="63"/>
      <c r="R763" s="63"/>
      <c r="S763" s="63"/>
      <c r="U763" s="71"/>
      <c r="V763" s="71"/>
      <c r="Z763" s="71"/>
      <c r="BW763" s="64"/>
      <c r="BX763" s="64"/>
      <c r="BY763" s="64"/>
      <c r="BZ763" s="66"/>
      <c r="CA763" s="64"/>
      <c r="CB763" s="64"/>
      <c r="CC763" s="64"/>
      <c r="CD763" s="64"/>
      <c r="CE763" s="64"/>
      <c r="CF763" s="64"/>
      <c r="CG763" s="64" t="str">
        <f t="shared" si="6"/>
        <v/>
      </c>
    </row>
    <row r="764">
      <c r="A764" s="74"/>
      <c r="B764" s="75"/>
      <c r="C764" s="76"/>
      <c r="F764" s="71"/>
      <c r="G764" s="77"/>
      <c r="J764" s="78"/>
      <c r="K764" s="63"/>
      <c r="L764" s="63"/>
      <c r="M764" s="63"/>
      <c r="N764" s="63"/>
      <c r="O764" s="63"/>
      <c r="P764" s="63"/>
      <c r="Q764" s="63"/>
      <c r="R764" s="63"/>
      <c r="S764" s="63"/>
      <c r="U764" s="71"/>
      <c r="V764" s="71"/>
      <c r="Z764" s="71"/>
      <c r="BW764" s="64"/>
      <c r="BX764" s="64"/>
      <c r="BY764" s="64"/>
      <c r="BZ764" s="66"/>
      <c r="CA764" s="64"/>
      <c r="CB764" s="64"/>
      <c r="CC764" s="64"/>
      <c r="CD764" s="64"/>
      <c r="CE764" s="64"/>
      <c r="CF764" s="64"/>
      <c r="CG764" s="64" t="str">
        <f t="shared" si="6"/>
        <v/>
      </c>
    </row>
    <row r="765">
      <c r="A765" s="74"/>
      <c r="B765" s="75"/>
      <c r="C765" s="76"/>
      <c r="F765" s="71"/>
      <c r="G765" s="77"/>
      <c r="J765" s="78"/>
      <c r="K765" s="63"/>
      <c r="L765" s="63"/>
      <c r="M765" s="63"/>
      <c r="N765" s="63"/>
      <c r="O765" s="63"/>
      <c r="P765" s="63"/>
      <c r="Q765" s="63"/>
      <c r="R765" s="63"/>
      <c r="S765" s="63"/>
      <c r="U765" s="71"/>
      <c r="V765" s="71"/>
      <c r="Z765" s="71"/>
      <c r="BW765" s="64"/>
      <c r="BX765" s="64"/>
      <c r="BY765" s="64"/>
      <c r="BZ765" s="66"/>
      <c r="CA765" s="64"/>
      <c r="CB765" s="64"/>
      <c r="CC765" s="64"/>
      <c r="CD765" s="64"/>
      <c r="CE765" s="64"/>
      <c r="CF765" s="64"/>
      <c r="CG765" s="64" t="str">
        <f t="shared" si="6"/>
        <v/>
      </c>
    </row>
    <row r="766">
      <c r="A766" s="74"/>
      <c r="B766" s="75"/>
      <c r="C766" s="76"/>
      <c r="F766" s="71"/>
      <c r="G766" s="77"/>
      <c r="J766" s="78"/>
      <c r="K766" s="63"/>
      <c r="L766" s="63"/>
      <c r="M766" s="63"/>
      <c r="N766" s="63"/>
      <c r="O766" s="63"/>
      <c r="P766" s="63"/>
      <c r="Q766" s="63"/>
      <c r="R766" s="63"/>
      <c r="S766" s="63"/>
      <c r="U766" s="71"/>
      <c r="V766" s="71"/>
      <c r="Z766" s="71"/>
      <c r="BW766" s="64"/>
      <c r="BX766" s="64"/>
      <c r="BY766" s="64"/>
      <c r="BZ766" s="66"/>
      <c r="CA766" s="64"/>
      <c r="CB766" s="64"/>
      <c r="CC766" s="64"/>
      <c r="CD766" s="64"/>
      <c r="CE766" s="64"/>
      <c r="CF766" s="64"/>
      <c r="CG766" s="64" t="str">
        <f t="shared" si="6"/>
        <v/>
      </c>
    </row>
    <row r="767">
      <c r="A767" s="74"/>
      <c r="B767" s="75"/>
      <c r="C767" s="76"/>
      <c r="F767" s="71"/>
      <c r="G767" s="77"/>
      <c r="J767" s="78"/>
      <c r="K767" s="63"/>
      <c r="L767" s="63"/>
      <c r="M767" s="63"/>
      <c r="N767" s="63"/>
      <c r="O767" s="63"/>
      <c r="P767" s="63"/>
      <c r="Q767" s="63"/>
      <c r="R767" s="63"/>
      <c r="S767" s="63"/>
      <c r="U767" s="71"/>
      <c r="V767" s="71"/>
      <c r="Z767" s="71"/>
      <c r="BW767" s="64"/>
      <c r="BX767" s="64"/>
      <c r="BY767" s="64"/>
      <c r="BZ767" s="66"/>
      <c r="CA767" s="64"/>
      <c r="CB767" s="64"/>
      <c r="CC767" s="64"/>
      <c r="CD767" s="64"/>
      <c r="CE767" s="64"/>
      <c r="CF767" s="64"/>
      <c r="CG767" s="64" t="str">
        <f t="shared" si="6"/>
        <v/>
      </c>
    </row>
    <row r="768">
      <c r="A768" s="74"/>
      <c r="B768" s="75"/>
      <c r="C768" s="76"/>
      <c r="F768" s="71"/>
      <c r="G768" s="77"/>
      <c r="J768" s="78"/>
      <c r="K768" s="63"/>
      <c r="L768" s="63"/>
      <c r="M768" s="63"/>
      <c r="N768" s="63"/>
      <c r="O768" s="63"/>
      <c r="P768" s="63"/>
      <c r="Q768" s="63"/>
      <c r="R768" s="63"/>
      <c r="S768" s="63"/>
      <c r="U768" s="71"/>
      <c r="V768" s="71"/>
      <c r="Z768" s="71"/>
      <c r="BW768" s="64"/>
      <c r="BX768" s="64"/>
      <c r="BY768" s="64"/>
      <c r="BZ768" s="66"/>
      <c r="CA768" s="64"/>
      <c r="CB768" s="64"/>
      <c r="CC768" s="64"/>
      <c r="CD768" s="64"/>
      <c r="CE768" s="64"/>
      <c r="CF768" s="64"/>
      <c r="CG768" s="64" t="str">
        <f t="shared" si="6"/>
        <v/>
      </c>
    </row>
    <row r="769">
      <c r="A769" s="74"/>
      <c r="B769" s="75"/>
      <c r="C769" s="76"/>
      <c r="F769" s="71"/>
      <c r="G769" s="77"/>
      <c r="J769" s="78"/>
      <c r="K769" s="63"/>
      <c r="L769" s="63"/>
      <c r="M769" s="63"/>
      <c r="N769" s="63"/>
      <c r="O769" s="63"/>
      <c r="P769" s="63"/>
      <c r="Q769" s="63"/>
      <c r="R769" s="63"/>
      <c r="S769" s="63"/>
      <c r="U769" s="71"/>
      <c r="V769" s="71"/>
      <c r="Z769" s="71"/>
      <c r="BW769" s="64"/>
      <c r="BX769" s="64"/>
      <c r="BY769" s="64"/>
      <c r="BZ769" s="66"/>
      <c r="CA769" s="64"/>
      <c r="CB769" s="64"/>
      <c r="CC769" s="64"/>
      <c r="CD769" s="64"/>
      <c r="CE769" s="64"/>
      <c r="CF769" s="64"/>
      <c r="CG769" s="64" t="str">
        <f t="shared" si="6"/>
        <v/>
      </c>
    </row>
    <row r="770">
      <c r="A770" s="74"/>
      <c r="B770" s="75"/>
      <c r="C770" s="76"/>
      <c r="F770" s="71"/>
      <c r="G770" s="77"/>
      <c r="J770" s="78"/>
      <c r="K770" s="63"/>
      <c r="L770" s="63"/>
      <c r="M770" s="63"/>
      <c r="N770" s="63"/>
      <c r="O770" s="63"/>
      <c r="P770" s="63"/>
      <c r="Q770" s="63"/>
      <c r="R770" s="63"/>
      <c r="S770" s="63"/>
      <c r="U770" s="71"/>
      <c r="V770" s="71"/>
      <c r="Z770" s="71"/>
      <c r="BW770" s="64"/>
      <c r="BX770" s="64"/>
      <c r="BY770" s="64"/>
      <c r="BZ770" s="66"/>
      <c r="CA770" s="64"/>
      <c r="CB770" s="64"/>
      <c r="CC770" s="64"/>
      <c r="CD770" s="64"/>
      <c r="CE770" s="64"/>
      <c r="CF770" s="64"/>
      <c r="CG770" s="64" t="str">
        <f t="shared" si="6"/>
        <v/>
      </c>
    </row>
    <row r="771">
      <c r="A771" s="74"/>
      <c r="B771" s="75"/>
      <c r="C771" s="76"/>
      <c r="F771" s="71"/>
      <c r="G771" s="77"/>
      <c r="J771" s="78"/>
      <c r="K771" s="63"/>
      <c r="L771" s="63"/>
      <c r="M771" s="63"/>
      <c r="N771" s="63"/>
      <c r="O771" s="63"/>
      <c r="P771" s="63"/>
      <c r="Q771" s="63"/>
      <c r="R771" s="63"/>
      <c r="S771" s="63"/>
      <c r="U771" s="71"/>
      <c r="V771" s="71"/>
      <c r="Z771" s="71"/>
      <c r="BW771" s="64"/>
      <c r="BX771" s="64"/>
      <c r="BY771" s="64"/>
      <c r="BZ771" s="66"/>
      <c r="CA771" s="64"/>
      <c r="CB771" s="64"/>
      <c r="CC771" s="64"/>
      <c r="CD771" s="64"/>
      <c r="CE771" s="64"/>
      <c r="CF771" s="64"/>
      <c r="CG771" s="64" t="str">
        <f t="shared" si="6"/>
        <v/>
      </c>
    </row>
    <row r="772">
      <c r="A772" s="74"/>
      <c r="B772" s="75"/>
      <c r="C772" s="76"/>
      <c r="F772" s="71"/>
      <c r="G772" s="77"/>
      <c r="J772" s="78"/>
      <c r="K772" s="63"/>
      <c r="L772" s="63"/>
      <c r="M772" s="63"/>
      <c r="N772" s="63"/>
      <c r="O772" s="63"/>
      <c r="P772" s="63"/>
      <c r="Q772" s="63"/>
      <c r="R772" s="63"/>
      <c r="S772" s="63"/>
      <c r="U772" s="71"/>
      <c r="V772" s="71"/>
      <c r="Z772" s="71"/>
      <c r="BW772" s="64"/>
      <c r="BX772" s="64"/>
      <c r="BY772" s="64"/>
      <c r="BZ772" s="66"/>
      <c r="CA772" s="64"/>
      <c r="CB772" s="64"/>
      <c r="CC772" s="64"/>
      <c r="CD772" s="64"/>
      <c r="CE772" s="64"/>
      <c r="CF772" s="64"/>
      <c r="CG772" s="64" t="str">
        <f t="shared" si="6"/>
        <v/>
      </c>
    </row>
    <row r="773">
      <c r="A773" s="74"/>
      <c r="B773" s="75"/>
      <c r="C773" s="76"/>
      <c r="F773" s="71"/>
      <c r="G773" s="77"/>
      <c r="J773" s="78"/>
      <c r="K773" s="63"/>
      <c r="L773" s="63"/>
      <c r="M773" s="63"/>
      <c r="N773" s="63"/>
      <c r="O773" s="63"/>
      <c r="P773" s="63"/>
      <c r="Q773" s="63"/>
      <c r="R773" s="63"/>
      <c r="S773" s="63"/>
      <c r="U773" s="71"/>
      <c r="V773" s="71"/>
      <c r="Z773" s="71"/>
      <c r="BW773" s="64"/>
      <c r="BX773" s="64"/>
      <c r="BY773" s="64"/>
      <c r="BZ773" s="66"/>
      <c r="CA773" s="64"/>
      <c r="CB773" s="64"/>
      <c r="CC773" s="64"/>
      <c r="CD773" s="64"/>
      <c r="CE773" s="64"/>
      <c r="CF773" s="64"/>
      <c r="CG773" s="64" t="str">
        <f t="shared" si="6"/>
        <v/>
      </c>
    </row>
    <row r="774">
      <c r="A774" s="74"/>
      <c r="B774" s="75"/>
      <c r="C774" s="76"/>
      <c r="F774" s="71"/>
      <c r="G774" s="77"/>
      <c r="J774" s="78"/>
      <c r="K774" s="63"/>
      <c r="L774" s="63"/>
      <c r="M774" s="63"/>
      <c r="N774" s="63"/>
      <c r="O774" s="63"/>
      <c r="P774" s="63"/>
      <c r="Q774" s="63"/>
      <c r="R774" s="63"/>
      <c r="S774" s="63"/>
      <c r="U774" s="71"/>
      <c r="V774" s="71"/>
      <c r="Z774" s="71"/>
      <c r="BW774" s="64"/>
      <c r="BX774" s="64"/>
      <c r="BY774" s="64"/>
      <c r="BZ774" s="66"/>
      <c r="CA774" s="64"/>
      <c r="CB774" s="64"/>
      <c r="CC774" s="64"/>
      <c r="CD774" s="64"/>
      <c r="CE774" s="64"/>
      <c r="CF774" s="64"/>
      <c r="CG774" s="64" t="str">
        <f t="shared" si="6"/>
        <v/>
      </c>
    </row>
    <row r="775">
      <c r="A775" s="74"/>
      <c r="B775" s="75"/>
      <c r="C775" s="76"/>
      <c r="F775" s="71"/>
      <c r="G775" s="77"/>
      <c r="J775" s="78"/>
      <c r="K775" s="63"/>
      <c r="L775" s="63"/>
      <c r="M775" s="63"/>
      <c r="N775" s="63"/>
      <c r="O775" s="63"/>
      <c r="P775" s="63"/>
      <c r="Q775" s="63"/>
      <c r="R775" s="63"/>
      <c r="S775" s="63"/>
      <c r="U775" s="71"/>
      <c r="V775" s="71"/>
      <c r="Z775" s="71"/>
      <c r="BW775" s="64"/>
      <c r="BX775" s="64"/>
      <c r="BY775" s="64"/>
      <c r="BZ775" s="66"/>
      <c r="CA775" s="64"/>
      <c r="CB775" s="64"/>
      <c r="CC775" s="64"/>
      <c r="CD775" s="64"/>
      <c r="CE775" s="64"/>
      <c r="CF775" s="64"/>
      <c r="CG775" s="64" t="str">
        <f t="shared" si="6"/>
        <v/>
      </c>
    </row>
    <row r="776">
      <c r="A776" s="74"/>
      <c r="B776" s="75"/>
      <c r="C776" s="76"/>
      <c r="F776" s="71"/>
      <c r="G776" s="77"/>
      <c r="J776" s="78"/>
      <c r="K776" s="63"/>
      <c r="L776" s="63"/>
      <c r="M776" s="63"/>
      <c r="N776" s="63"/>
      <c r="O776" s="63"/>
      <c r="P776" s="63"/>
      <c r="Q776" s="63"/>
      <c r="R776" s="63"/>
      <c r="S776" s="63"/>
      <c r="U776" s="71"/>
      <c r="V776" s="71"/>
      <c r="Z776" s="71"/>
      <c r="BW776" s="64"/>
      <c r="BX776" s="64"/>
      <c r="BY776" s="64"/>
      <c r="BZ776" s="66"/>
      <c r="CA776" s="64"/>
      <c r="CB776" s="64"/>
      <c r="CC776" s="64"/>
      <c r="CD776" s="64"/>
      <c r="CE776" s="64"/>
      <c r="CF776" s="64"/>
      <c r="CG776" s="64" t="str">
        <f t="shared" si="6"/>
        <v/>
      </c>
    </row>
    <row r="777">
      <c r="A777" s="74"/>
      <c r="B777" s="75"/>
      <c r="C777" s="76"/>
      <c r="F777" s="71"/>
      <c r="G777" s="77"/>
      <c r="J777" s="78"/>
      <c r="K777" s="63"/>
      <c r="L777" s="63"/>
      <c r="M777" s="63"/>
      <c r="N777" s="63"/>
      <c r="O777" s="63"/>
      <c r="P777" s="63"/>
      <c r="Q777" s="63"/>
      <c r="R777" s="63"/>
      <c r="S777" s="63"/>
      <c r="U777" s="71"/>
      <c r="V777" s="71"/>
      <c r="Z777" s="71"/>
      <c r="BW777" s="64"/>
      <c r="BX777" s="64"/>
      <c r="BY777" s="64"/>
      <c r="BZ777" s="66"/>
      <c r="CA777" s="64"/>
      <c r="CB777" s="64"/>
      <c r="CC777" s="64"/>
      <c r="CD777" s="64"/>
      <c r="CE777" s="64"/>
      <c r="CF777" s="64"/>
      <c r="CG777" s="64" t="str">
        <f t="shared" si="6"/>
        <v/>
      </c>
    </row>
    <row r="778">
      <c r="A778" s="74"/>
      <c r="B778" s="75"/>
      <c r="C778" s="76"/>
      <c r="F778" s="71"/>
      <c r="G778" s="77"/>
      <c r="J778" s="78"/>
      <c r="K778" s="63"/>
      <c r="L778" s="63"/>
      <c r="M778" s="63"/>
      <c r="N778" s="63"/>
      <c r="O778" s="63"/>
      <c r="P778" s="63"/>
      <c r="Q778" s="63"/>
      <c r="R778" s="63"/>
      <c r="S778" s="63"/>
      <c r="U778" s="71"/>
      <c r="V778" s="71"/>
      <c r="Z778" s="71"/>
      <c r="BW778" s="64"/>
      <c r="BX778" s="64"/>
      <c r="BY778" s="64"/>
      <c r="BZ778" s="66"/>
      <c r="CA778" s="64"/>
      <c r="CB778" s="64"/>
      <c r="CC778" s="64"/>
      <c r="CD778" s="64"/>
      <c r="CE778" s="64"/>
      <c r="CF778" s="64"/>
      <c r="CG778" s="64" t="str">
        <f t="shared" si="6"/>
        <v/>
      </c>
    </row>
    <row r="779">
      <c r="A779" s="74"/>
      <c r="B779" s="75"/>
      <c r="C779" s="76"/>
      <c r="F779" s="71"/>
      <c r="G779" s="77"/>
      <c r="J779" s="78"/>
      <c r="K779" s="63"/>
      <c r="L779" s="63"/>
      <c r="M779" s="63"/>
      <c r="N779" s="63"/>
      <c r="O779" s="63"/>
      <c r="P779" s="63"/>
      <c r="Q779" s="63"/>
      <c r="R779" s="63"/>
      <c r="S779" s="63"/>
      <c r="U779" s="71"/>
      <c r="V779" s="71"/>
      <c r="Z779" s="71"/>
      <c r="BW779" s="64"/>
      <c r="BX779" s="64"/>
      <c r="BY779" s="64"/>
      <c r="BZ779" s="66"/>
      <c r="CA779" s="64"/>
      <c r="CB779" s="64"/>
      <c r="CC779" s="64"/>
      <c r="CD779" s="64"/>
      <c r="CE779" s="64"/>
      <c r="CF779" s="64"/>
      <c r="CG779" s="64" t="str">
        <f t="shared" si="6"/>
        <v/>
      </c>
    </row>
    <row r="780">
      <c r="A780" s="74"/>
      <c r="B780" s="75"/>
      <c r="C780" s="76"/>
      <c r="F780" s="71"/>
      <c r="G780" s="77"/>
      <c r="J780" s="78"/>
      <c r="K780" s="63"/>
      <c r="L780" s="63"/>
      <c r="M780" s="63"/>
      <c r="N780" s="63"/>
      <c r="O780" s="63"/>
      <c r="P780" s="63"/>
      <c r="Q780" s="63"/>
      <c r="R780" s="63"/>
      <c r="S780" s="63"/>
      <c r="U780" s="71"/>
      <c r="V780" s="71"/>
      <c r="Z780" s="71"/>
      <c r="BW780" s="64"/>
      <c r="BX780" s="64"/>
      <c r="BY780" s="64"/>
      <c r="BZ780" s="66"/>
      <c r="CA780" s="64"/>
      <c r="CB780" s="64"/>
      <c r="CC780" s="64"/>
      <c r="CD780" s="64"/>
      <c r="CE780" s="64"/>
      <c r="CF780" s="64"/>
      <c r="CG780" s="64" t="str">
        <f t="shared" si="6"/>
        <v/>
      </c>
    </row>
    <row r="781">
      <c r="A781" s="74"/>
      <c r="B781" s="75"/>
      <c r="C781" s="76"/>
      <c r="F781" s="71"/>
      <c r="G781" s="77"/>
      <c r="J781" s="78"/>
      <c r="K781" s="63"/>
      <c r="L781" s="63"/>
      <c r="M781" s="63"/>
      <c r="N781" s="63"/>
      <c r="O781" s="63"/>
      <c r="P781" s="63"/>
      <c r="Q781" s="63"/>
      <c r="R781" s="63"/>
      <c r="S781" s="63"/>
      <c r="U781" s="71"/>
      <c r="V781" s="71"/>
      <c r="Z781" s="71"/>
      <c r="BW781" s="64"/>
      <c r="BX781" s="64"/>
      <c r="BY781" s="64"/>
      <c r="BZ781" s="66"/>
      <c r="CA781" s="64"/>
      <c r="CB781" s="64"/>
      <c r="CC781" s="64"/>
      <c r="CD781" s="64"/>
      <c r="CE781" s="64"/>
      <c r="CF781" s="64"/>
      <c r="CG781" s="64" t="str">
        <f t="shared" si="6"/>
        <v/>
      </c>
    </row>
    <row r="782">
      <c r="A782" s="74"/>
      <c r="B782" s="75"/>
      <c r="C782" s="76"/>
      <c r="F782" s="71"/>
      <c r="G782" s="77"/>
      <c r="J782" s="78"/>
      <c r="K782" s="63"/>
      <c r="L782" s="63"/>
      <c r="M782" s="63"/>
      <c r="N782" s="63"/>
      <c r="O782" s="63"/>
      <c r="P782" s="63"/>
      <c r="Q782" s="63"/>
      <c r="R782" s="63"/>
      <c r="S782" s="63"/>
      <c r="U782" s="71"/>
      <c r="V782" s="71"/>
      <c r="Z782" s="71"/>
      <c r="BW782" s="64"/>
      <c r="BX782" s="64"/>
      <c r="BY782" s="64"/>
      <c r="BZ782" s="66"/>
      <c r="CA782" s="64"/>
      <c r="CB782" s="64"/>
      <c r="CC782" s="64"/>
      <c r="CD782" s="64"/>
      <c r="CE782" s="64"/>
      <c r="CF782" s="64"/>
      <c r="CG782" s="64" t="str">
        <f t="shared" si="6"/>
        <v/>
      </c>
    </row>
    <row r="783">
      <c r="A783" s="74"/>
      <c r="B783" s="75"/>
      <c r="C783" s="76"/>
      <c r="F783" s="71"/>
      <c r="G783" s="77"/>
      <c r="J783" s="78"/>
      <c r="K783" s="63"/>
      <c r="L783" s="63"/>
      <c r="M783" s="63"/>
      <c r="N783" s="63"/>
      <c r="O783" s="63"/>
      <c r="P783" s="63"/>
      <c r="Q783" s="63"/>
      <c r="R783" s="63"/>
      <c r="S783" s="63"/>
      <c r="U783" s="71"/>
      <c r="V783" s="71"/>
      <c r="Z783" s="71"/>
      <c r="BW783" s="64"/>
      <c r="BX783" s="64"/>
      <c r="BY783" s="64"/>
      <c r="BZ783" s="66"/>
      <c r="CA783" s="64"/>
      <c r="CB783" s="64"/>
      <c r="CC783" s="64"/>
      <c r="CD783" s="64"/>
      <c r="CE783" s="64"/>
      <c r="CF783" s="64"/>
      <c r="CG783" s="64" t="str">
        <f t="shared" si="6"/>
        <v/>
      </c>
    </row>
    <row r="784">
      <c r="A784" s="74"/>
      <c r="B784" s="75"/>
      <c r="C784" s="76"/>
      <c r="F784" s="71"/>
      <c r="G784" s="77"/>
      <c r="J784" s="78"/>
      <c r="K784" s="63"/>
      <c r="L784" s="63"/>
      <c r="M784" s="63"/>
      <c r="N784" s="63"/>
      <c r="O784" s="63"/>
      <c r="P784" s="63"/>
      <c r="Q784" s="63"/>
      <c r="R784" s="63"/>
      <c r="S784" s="63"/>
      <c r="U784" s="71"/>
      <c r="V784" s="71"/>
      <c r="Z784" s="71"/>
      <c r="BW784" s="64"/>
      <c r="BX784" s="64"/>
      <c r="BY784" s="64"/>
      <c r="BZ784" s="66"/>
      <c r="CA784" s="64"/>
      <c r="CB784" s="64"/>
      <c r="CC784" s="64"/>
      <c r="CD784" s="64"/>
      <c r="CE784" s="64"/>
      <c r="CF784" s="64"/>
      <c r="CG784" s="64" t="str">
        <f t="shared" si="6"/>
        <v/>
      </c>
    </row>
    <row r="785">
      <c r="A785" s="74"/>
      <c r="B785" s="75"/>
      <c r="C785" s="76"/>
      <c r="F785" s="71"/>
      <c r="G785" s="77"/>
      <c r="J785" s="78"/>
      <c r="K785" s="63"/>
      <c r="L785" s="63"/>
      <c r="M785" s="63"/>
      <c r="N785" s="63"/>
      <c r="O785" s="63"/>
      <c r="P785" s="63"/>
      <c r="Q785" s="63"/>
      <c r="R785" s="63"/>
      <c r="S785" s="63"/>
      <c r="U785" s="71"/>
      <c r="V785" s="71"/>
      <c r="Z785" s="71"/>
      <c r="BW785" s="64"/>
      <c r="BX785" s="64"/>
      <c r="BY785" s="64"/>
      <c r="BZ785" s="66"/>
      <c r="CA785" s="64"/>
      <c r="CB785" s="64"/>
      <c r="CC785" s="64"/>
      <c r="CD785" s="64"/>
      <c r="CE785" s="64"/>
      <c r="CF785" s="64"/>
      <c r="CG785" s="64" t="str">
        <f t="shared" si="6"/>
        <v/>
      </c>
    </row>
    <row r="786">
      <c r="A786" s="74"/>
      <c r="B786" s="75"/>
      <c r="C786" s="76"/>
      <c r="F786" s="71"/>
      <c r="G786" s="77"/>
      <c r="J786" s="78"/>
      <c r="K786" s="63"/>
      <c r="L786" s="63"/>
      <c r="M786" s="63"/>
      <c r="N786" s="63"/>
      <c r="O786" s="63"/>
      <c r="P786" s="63"/>
      <c r="Q786" s="63"/>
      <c r="R786" s="63"/>
      <c r="S786" s="63"/>
      <c r="U786" s="71"/>
      <c r="V786" s="71"/>
      <c r="Z786" s="71"/>
      <c r="BW786" s="64"/>
      <c r="BX786" s="64"/>
      <c r="BY786" s="64"/>
      <c r="BZ786" s="66"/>
      <c r="CA786" s="64"/>
      <c r="CB786" s="64"/>
      <c r="CC786" s="64"/>
      <c r="CD786" s="64"/>
      <c r="CE786" s="64"/>
      <c r="CF786" s="64"/>
      <c r="CG786" s="64" t="str">
        <f t="shared" si="6"/>
        <v/>
      </c>
    </row>
    <row r="787">
      <c r="A787" s="74"/>
      <c r="B787" s="75"/>
      <c r="C787" s="76"/>
      <c r="F787" s="71"/>
      <c r="G787" s="77"/>
      <c r="J787" s="78"/>
      <c r="K787" s="63"/>
      <c r="L787" s="63"/>
      <c r="M787" s="63"/>
      <c r="N787" s="63"/>
      <c r="O787" s="63"/>
      <c r="P787" s="63"/>
      <c r="Q787" s="63"/>
      <c r="R787" s="63"/>
      <c r="S787" s="63"/>
      <c r="U787" s="71"/>
      <c r="V787" s="71"/>
      <c r="Z787" s="71"/>
      <c r="BW787" s="64"/>
      <c r="BX787" s="64"/>
      <c r="BY787" s="64"/>
      <c r="BZ787" s="66"/>
      <c r="CA787" s="64"/>
      <c r="CB787" s="64"/>
      <c r="CC787" s="64"/>
      <c r="CD787" s="64"/>
      <c r="CE787" s="64"/>
      <c r="CF787" s="64"/>
      <c r="CG787" s="64" t="str">
        <f t="shared" si="6"/>
        <v/>
      </c>
    </row>
    <row r="788">
      <c r="A788" s="74"/>
      <c r="B788" s="75"/>
      <c r="C788" s="76"/>
      <c r="F788" s="71"/>
      <c r="G788" s="77"/>
      <c r="J788" s="78"/>
      <c r="K788" s="63"/>
      <c r="L788" s="63"/>
      <c r="M788" s="63"/>
      <c r="N788" s="63"/>
      <c r="O788" s="63"/>
      <c r="P788" s="63"/>
      <c r="Q788" s="63"/>
      <c r="R788" s="63"/>
      <c r="S788" s="63"/>
      <c r="U788" s="71"/>
      <c r="V788" s="71"/>
      <c r="Z788" s="71"/>
      <c r="BW788" s="64"/>
      <c r="BX788" s="64"/>
      <c r="BY788" s="64"/>
      <c r="BZ788" s="66"/>
      <c r="CA788" s="64"/>
      <c r="CB788" s="64"/>
      <c r="CC788" s="64"/>
      <c r="CD788" s="64"/>
      <c r="CE788" s="64"/>
      <c r="CF788" s="64"/>
      <c r="CG788" s="64" t="str">
        <f t="shared" si="6"/>
        <v/>
      </c>
    </row>
    <row r="789">
      <c r="A789" s="74"/>
      <c r="B789" s="75"/>
      <c r="C789" s="76"/>
      <c r="F789" s="71"/>
      <c r="G789" s="77"/>
      <c r="J789" s="78"/>
      <c r="K789" s="63"/>
      <c r="L789" s="63"/>
      <c r="M789" s="63"/>
      <c r="N789" s="63"/>
      <c r="O789" s="63"/>
      <c r="P789" s="63"/>
      <c r="Q789" s="63"/>
      <c r="R789" s="63"/>
      <c r="S789" s="63"/>
      <c r="U789" s="71"/>
      <c r="V789" s="71"/>
      <c r="Z789" s="71"/>
      <c r="BW789" s="64"/>
      <c r="BX789" s="64"/>
      <c r="BY789" s="64"/>
      <c r="BZ789" s="66"/>
      <c r="CA789" s="64"/>
      <c r="CB789" s="64"/>
      <c r="CC789" s="64"/>
      <c r="CD789" s="64"/>
      <c r="CE789" s="64"/>
      <c r="CF789" s="64"/>
      <c r="CG789" s="64" t="str">
        <f t="shared" si="6"/>
        <v/>
      </c>
    </row>
    <row r="790">
      <c r="A790" s="74"/>
      <c r="B790" s="75"/>
      <c r="C790" s="76"/>
      <c r="F790" s="71"/>
      <c r="G790" s="77"/>
      <c r="J790" s="78"/>
      <c r="K790" s="63"/>
      <c r="L790" s="63"/>
      <c r="M790" s="63"/>
      <c r="N790" s="63"/>
      <c r="O790" s="63"/>
      <c r="P790" s="63"/>
      <c r="Q790" s="63"/>
      <c r="R790" s="63"/>
      <c r="S790" s="63"/>
      <c r="U790" s="71"/>
      <c r="V790" s="71"/>
      <c r="Z790" s="71"/>
      <c r="BW790" s="64"/>
      <c r="BX790" s="64"/>
      <c r="BY790" s="64"/>
      <c r="BZ790" s="66"/>
      <c r="CA790" s="64"/>
      <c r="CB790" s="64"/>
      <c r="CC790" s="64"/>
      <c r="CD790" s="64"/>
      <c r="CE790" s="64"/>
      <c r="CF790" s="64"/>
      <c r="CG790" s="64" t="str">
        <f t="shared" si="6"/>
        <v/>
      </c>
    </row>
    <row r="791">
      <c r="A791" s="74"/>
      <c r="B791" s="75"/>
      <c r="C791" s="76"/>
      <c r="F791" s="71"/>
      <c r="G791" s="77"/>
      <c r="J791" s="78"/>
      <c r="K791" s="63"/>
      <c r="L791" s="63"/>
      <c r="M791" s="63"/>
      <c r="N791" s="63"/>
      <c r="O791" s="63"/>
      <c r="P791" s="63"/>
      <c r="Q791" s="63"/>
      <c r="R791" s="63"/>
      <c r="S791" s="63"/>
      <c r="U791" s="71"/>
      <c r="V791" s="71"/>
      <c r="Z791" s="71"/>
      <c r="BW791" s="64"/>
      <c r="BX791" s="64"/>
      <c r="BY791" s="64"/>
      <c r="BZ791" s="66"/>
      <c r="CA791" s="64"/>
      <c r="CB791" s="64"/>
      <c r="CC791" s="64"/>
      <c r="CD791" s="64"/>
      <c r="CE791" s="64"/>
      <c r="CF791" s="64"/>
      <c r="CG791" s="64" t="str">
        <f t="shared" si="6"/>
        <v/>
      </c>
    </row>
    <row r="792">
      <c r="A792" s="74"/>
      <c r="B792" s="75"/>
      <c r="C792" s="76"/>
      <c r="F792" s="71"/>
      <c r="G792" s="77"/>
      <c r="J792" s="78"/>
      <c r="K792" s="63"/>
      <c r="L792" s="63"/>
      <c r="M792" s="63"/>
      <c r="N792" s="63"/>
      <c r="O792" s="63"/>
      <c r="P792" s="63"/>
      <c r="Q792" s="63"/>
      <c r="R792" s="63"/>
      <c r="S792" s="63"/>
      <c r="U792" s="71"/>
      <c r="V792" s="71"/>
      <c r="Z792" s="71"/>
      <c r="BW792" s="64"/>
      <c r="BX792" s="64"/>
      <c r="BY792" s="64"/>
      <c r="BZ792" s="66"/>
      <c r="CA792" s="64"/>
      <c r="CB792" s="64"/>
      <c r="CC792" s="64"/>
      <c r="CD792" s="64"/>
      <c r="CE792" s="64"/>
      <c r="CF792" s="64"/>
      <c r="CG792" s="64" t="str">
        <f t="shared" si="6"/>
        <v/>
      </c>
    </row>
    <row r="793">
      <c r="A793" s="74"/>
      <c r="B793" s="75"/>
      <c r="C793" s="76"/>
      <c r="F793" s="71"/>
      <c r="G793" s="77"/>
      <c r="J793" s="78"/>
      <c r="K793" s="63"/>
      <c r="L793" s="63"/>
      <c r="M793" s="63"/>
      <c r="N793" s="63"/>
      <c r="O793" s="63"/>
      <c r="P793" s="63"/>
      <c r="Q793" s="63"/>
      <c r="R793" s="63"/>
      <c r="S793" s="63"/>
      <c r="U793" s="71"/>
      <c r="V793" s="71"/>
      <c r="Z793" s="71"/>
      <c r="BW793" s="64"/>
      <c r="BX793" s="64"/>
      <c r="BY793" s="64"/>
      <c r="BZ793" s="66"/>
      <c r="CA793" s="64"/>
      <c r="CB793" s="64"/>
      <c r="CC793" s="64"/>
      <c r="CD793" s="64"/>
      <c r="CE793" s="64"/>
      <c r="CF793" s="64"/>
      <c r="CG793" s="64" t="str">
        <f t="shared" si="6"/>
        <v/>
      </c>
    </row>
    <row r="794">
      <c r="A794" s="74"/>
      <c r="B794" s="75"/>
      <c r="C794" s="76"/>
      <c r="F794" s="71"/>
      <c r="G794" s="77"/>
      <c r="J794" s="78"/>
      <c r="K794" s="63"/>
      <c r="L794" s="63"/>
      <c r="M794" s="63"/>
      <c r="N794" s="63"/>
      <c r="O794" s="63"/>
      <c r="P794" s="63"/>
      <c r="Q794" s="63"/>
      <c r="R794" s="63"/>
      <c r="S794" s="63"/>
      <c r="U794" s="71"/>
      <c r="V794" s="71"/>
      <c r="Z794" s="71"/>
      <c r="BW794" s="64"/>
      <c r="BX794" s="64"/>
      <c r="BY794" s="64"/>
      <c r="BZ794" s="66"/>
      <c r="CA794" s="64"/>
      <c r="CB794" s="64"/>
      <c r="CC794" s="64"/>
      <c r="CD794" s="64"/>
      <c r="CE794" s="64"/>
      <c r="CF794" s="64"/>
      <c r="CG794" s="64" t="str">
        <f t="shared" si="6"/>
        <v/>
      </c>
    </row>
    <row r="795">
      <c r="A795" s="74"/>
      <c r="B795" s="75"/>
      <c r="C795" s="76"/>
      <c r="F795" s="71"/>
      <c r="G795" s="77"/>
      <c r="J795" s="78"/>
      <c r="K795" s="63"/>
      <c r="L795" s="63"/>
      <c r="M795" s="63"/>
      <c r="N795" s="63"/>
      <c r="O795" s="63"/>
      <c r="P795" s="63"/>
      <c r="Q795" s="63"/>
      <c r="R795" s="63"/>
      <c r="S795" s="63"/>
      <c r="U795" s="71"/>
      <c r="V795" s="71"/>
      <c r="Z795" s="71"/>
      <c r="BW795" s="64"/>
      <c r="BX795" s="64"/>
      <c r="BY795" s="64"/>
      <c r="BZ795" s="66"/>
      <c r="CA795" s="64"/>
      <c r="CB795" s="64"/>
      <c r="CC795" s="64"/>
      <c r="CD795" s="64"/>
      <c r="CE795" s="64"/>
      <c r="CF795" s="64"/>
      <c r="CG795" s="64" t="str">
        <f t="shared" si="6"/>
        <v/>
      </c>
    </row>
    <row r="796">
      <c r="A796" s="74"/>
      <c r="B796" s="75"/>
      <c r="C796" s="76"/>
      <c r="F796" s="71"/>
      <c r="G796" s="77"/>
      <c r="J796" s="78"/>
      <c r="K796" s="63"/>
      <c r="L796" s="63"/>
      <c r="M796" s="63"/>
      <c r="N796" s="63"/>
      <c r="O796" s="63"/>
      <c r="P796" s="63"/>
      <c r="Q796" s="63"/>
      <c r="R796" s="63"/>
      <c r="S796" s="63"/>
      <c r="U796" s="71"/>
      <c r="V796" s="71"/>
      <c r="Z796" s="71"/>
      <c r="BW796" s="64"/>
      <c r="BX796" s="64"/>
      <c r="BY796" s="64"/>
      <c r="BZ796" s="66"/>
      <c r="CA796" s="64"/>
      <c r="CB796" s="64"/>
      <c r="CC796" s="64"/>
      <c r="CD796" s="64"/>
      <c r="CE796" s="64"/>
      <c r="CF796" s="64"/>
      <c r="CG796" s="64" t="str">
        <f t="shared" si="6"/>
        <v/>
      </c>
    </row>
    <row r="797">
      <c r="A797" s="74"/>
      <c r="B797" s="75"/>
      <c r="C797" s="76"/>
      <c r="F797" s="71"/>
      <c r="G797" s="77"/>
      <c r="J797" s="78"/>
      <c r="K797" s="63"/>
      <c r="L797" s="63"/>
      <c r="M797" s="63"/>
      <c r="N797" s="63"/>
      <c r="O797" s="63"/>
      <c r="P797" s="63"/>
      <c r="Q797" s="63"/>
      <c r="R797" s="63"/>
      <c r="S797" s="63"/>
      <c r="U797" s="71"/>
      <c r="V797" s="71"/>
      <c r="Z797" s="71"/>
      <c r="BW797" s="64"/>
      <c r="BX797" s="64"/>
      <c r="BY797" s="64"/>
      <c r="BZ797" s="66"/>
      <c r="CA797" s="64"/>
      <c r="CB797" s="64"/>
      <c r="CC797" s="64"/>
      <c r="CD797" s="64"/>
      <c r="CE797" s="64"/>
      <c r="CF797" s="64"/>
      <c r="CG797" s="64" t="str">
        <f t="shared" si="6"/>
        <v/>
      </c>
    </row>
    <row r="798">
      <c r="A798" s="74"/>
      <c r="B798" s="75"/>
      <c r="C798" s="76"/>
      <c r="F798" s="71"/>
      <c r="G798" s="77"/>
      <c r="J798" s="78"/>
      <c r="K798" s="63"/>
      <c r="L798" s="63"/>
      <c r="M798" s="63"/>
      <c r="N798" s="63"/>
      <c r="O798" s="63"/>
      <c r="P798" s="63"/>
      <c r="Q798" s="63"/>
      <c r="R798" s="63"/>
      <c r="S798" s="63"/>
      <c r="U798" s="71"/>
      <c r="V798" s="71"/>
      <c r="Z798" s="71"/>
      <c r="BW798" s="64"/>
      <c r="BX798" s="64"/>
      <c r="BY798" s="64"/>
      <c r="BZ798" s="66"/>
      <c r="CA798" s="64"/>
      <c r="CB798" s="64"/>
      <c r="CC798" s="64"/>
      <c r="CD798" s="64"/>
      <c r="CE798" s="64"/>
      <c r="CF798" s="64"/>
      <c r="CG798" s="64" t="str">
        <f t="shared" si="6"/>
        <v/>
      </c>
    </row>
    <row r="799">
      <c r="A799" s="74"/>
      <c r="B799" s="75"/>
      <c r="C799" s="76"/>
      <c r="F799" s="71"/>
      <c r="G799" s="77"/>
      <c r="J799" s="78"/>
      <c r="K799" s="63"/>
      <c r="L799" s="63"/>
      <c r="M799" s="63"/>
      <c r="N799" s="63"/>
      <c r="O799" s="63"/>
      <c r="P799" s="63"/>
      <c r="Q799" s="63"/>
      <c r="R799" s="63"/>
      <c r="S799" s="63"/>
      <c r="U799" s="71"/>
      <c r="V799" s="71"/>
      <c r="Z799" s="71"/>
      <c r="BW799" s="64"/>
      <c r="BX799" s="64"/>
      <c r="BY799" s="64"/>
      <c r="BZ799" s="66"/>
      <c r="CA799" s="64"/>
      <c r="CB799" s="64"/>
      <c r="CC799" s="64"/>
      <c r="CD799" s="64"/>
      <c r="CE799" s="64"/>
      <c r="CF799" s="64"/>
      <c r="CG799" s="64" t="str">
        <f t="shared" si="6"/>
        <v/>
      </c>
    </row>
    <row r="800">
      <c r="A800" s="74"/>
      <c r="B800" s="75"/>
      <c r="C800" s="76"/>
      <c r="F800" s="71"/>
      <c r="G800" s="77"/>
      <c r="J800" s="78"/>
      <c r="K800" s="63"/>
      <c r="L800" s="63"/>
      <c r="M800" s="63"/>
      <c r="N800" s="63"/>
      <c r="O800" s="63"/>
      <c r="P800" s="63"/>
      <c r="Q800" s="63"/>
      <c r="R800" s="63"/>
      <c r="S800" s="63"/>
      <c r="U800" s="71"/>
      <c r="V800" s="71"/>
      <c r="Z800" s="71"/>
      <c r="BW800" s="64"/>
      <c r="BX800" s="64"/>
      <c r="BY800" s="64"/>
      <c r="BZ800" s="66"/>
      <c r="CA800" s="64"/>
      <c r="CB800" s="64"/>
      <c r="CC800" s="64"/>
      <c r="CD800" s="64"/>
      <c r="CE800" s="64"/>
      <c r="CF800" s="64"/>
      <c r="CG800" s="64" t="str">
        <f t="shared" si="6"/>
        <v/>
      </c>
    </row>
    <row r="801">
      <c r="A801" s="74"/>
      <c r="B801" s="75"/>
      <c r="C801" s="76"/>
      <c r="F801" s="71"/>
      <c r="G801" s="77"/>
      <c r="J801" s="78"/>
      <c r="K801" s="63"/>
      <c r="L801" s="63"/>
      <c r="M801" s="63"/>
      <c r="N801" s="63"/>
      <c r="O801" s="63"/>
      <c r="P801" s="63"/>
      <c r="Q801" s="63"/>
      <c r="R801" s="63"/>
      <c r="S801" s="63"/>
      <c r="U801" s="71"/>
      <c r="V801" s="71"/>
      <c r="Z801" s="71"/>
      <c r="BW801" s="64"/>
      <c r="BX801" s="64"/>
      <c r="BY801" s="64"/>
      <c r="BZ801" s="66"/>
      <c r="CA801" s="64"/>
      <c r="CB801" s="64"/>
      <c r="CC801" s="64"/>
      <c r="CD801" s="64"/>
      <c r="CE801" s="64"/>
      <c r="CF801" s="64"/>
      <c r="CG801" s="64" t="str">
        <f t="shared" si="6"/>
        <v/>
      </c>
    </row>
    <row r="802">
      <c r="A802" s="74"/>
      <c r="B802" s="75"/>
      <c r="C802" s="76"/>
      <c r="F802" s="71"/>
      <c r="G802" s="77"/>
      <c r="J802" s="78"/>
      <c r="K802" s="63"/>
      <c r="L802" s="63"/>
      <c r="M802" s="63"/>
      <c r="N802" s="63"/>
      <c r="O802" s="63"/>
      <c r="P802" s="63"/>
      <c r="Q802" s="63"/>
      <c r="R802" s="63"/>
      <c r="S802" s="63"/>
      <c r="U802" s="71"/>
      <c r="V802" s="71"/>
      <c r="Z802" s="71"/>
      <c r="BW802" s="64"/>
      <c r="BX802" s="64"/>
      <c r="BY802" s="64"/>
      <c r="BZ802" s="66"/>
      <c r="CA802" s="64"/>
      <c r="CB802" s="64"/>
      <c r="CC802" s="64"/>
      <c r="CD802" s="64"/>
      <c r="CE802" s="64"/>
      <c r="CF802" s="64"/>
      <c r="CG802" s="64" t="str">
        <f t="shared" si="6"/>
        <v/>
      </c>
    </row>
    <row r="803">
      <c r="A803" s="74"/>
      <c r="B803" s="75"/>
      <c r="C803" s="76"/>
      <c r="F803" s="71"/>
      <c r="G803" s="77"/>
      <c r="J803" s="78"/>
      <c r="K803" s="63"/>
      <c r="L803" s="63"/>
      <c r="M803" s="63"/>
      <c r="N803" s="63"/>
      <c r="O803" s="63"/>
      <c r="P803" s="63"/>
      <c r="Q803" s="63"/>
      <c r="R803" s="63"/>
      <c r="S803" s="63"/>
      <c r="U803" s="71"/>
      <c r="V803" s="71"/>
      <c r="Z803" s="71"/>
      <c r="BW803" s="64"/>
      <c r="BX803" s="64"/>
      <c r="BY803" s="64"/>
      <c r="BZ803" s="66"/>
      <c r="CA803" s="64"/>
      <c r="CB803" s="64"/>
      <c r="CC803" s="64"/>
      <c r="CD803" s="64"/>
      <c r="CE803" s="64"/>
      <c r="CF803" s="64"/>
      <c r="CG803" s="64" t="str">
        <f t="shared" si="6"/>
        <v/>
      </c>
    </row>
    <row r="804">
      <c r="A804" s="74"/>
      <c r="B804" s="75"/>
      <c r="C804" s="76"/>
      <c r="F804" s="71"/>
      <c r="G804" s="77"/>
      <c r="J804" s="78"/>
      <c r="K804" s="63"/>
      <c r="L804" s="63"/>
      <c r="M804" s="63"/>
      <c r="N804" s="63"/>
      <c r="O804" s="63"/>
      <c r="P804" s="63"/>
      <c r="Q804" s="63"/>
      <c r="R804" s="63"/>
      <c r="S804" s="63"/>
      <c r="U804" s="71"/>
      <c r="V804" s="71"/>
      <c r="Z804" s="71"/>
      <c r="BW804" s="64"/>
      <c r="BX804" s="64"/>
      <c r="BY804" s="64"/>
      <c r="BZ804" s="66"/>
      <c r="CA804" s="64"/>
      <c r="CB804" s="64"/>
      <c r="CC804" s="64"/>
      <c r="CD804" s="64"/>
      <c r="CE804" s="64"/>
      <c r="CF804" s="64"/>
      <c r="CG804" s="64" t="str">
        <f t="shared" si="6"/>
        <v/>
      </c>
    </row>
    <row r="805">
      <c r="A805" s="74"/>
      <c r="B805" s="75"/>
      <c r="C805" s="76"/>
      <c r="F805" s="71"/>
      <c r="G805" s="77"/>
      <c r="J805" s="78"/>
      <c r="K805" s="63"/>
      <c r="L805" s="63"/>
      <c r="M805" s="63"/>
      <c r="N805" s="63"/>
      <c r="O805" s="63"/>
      <c r="P805" s="63"/>
      <c r="Q805" s="63"/>
      <c r="R805" s="63"/>
      <c r="S805" s="63"/>
      <c r="U805" s="71"/>
      <c r="V805" s="71"/>
      <c r="Z805" s="71"/>
      <c r="BW805" s="64"/>
      <c r="BX805" s="64"/>
      <c r="BY805" s="64"/>
      <c r="BZ805" s="66"/>
      <c r="CA805" s="64"/>
      <c r="CB805" s="64"/>
      <c r="CC805" s="64"/>
      <c r="CD805" s="64"/>
      <c r="CE805" s="64"/>
      <c r="CF805" s="64"/>
      <c r="CG805" s="64" t="str">
        <f t="shared" si="6"/>
        <v/>
      </c>
    </row>
    <row r="806">
      <c r="A806" s="74"/>
      <c r="B806" s="75"/>
      <c r="C806" s="76"/>
      <c r="F806" s="71"/>
      <c r="G806" s="77"/>
      <c r="J806" s="78"/>
      <c r="K806" s="63"/>
      <c r="L806" s="63"/>
      <c r="M806" s="63"/>
      <c r="N806" s="63"/>
      <c r="O806" s="63"/>
      <c r="P806" s="63"/>
      <c r="Q806" s="63"/>
      <c r="R806" s="63"/>
      <c r="S806" s="63"/>
      <c r="U806" s="71"/>
      <c r="V806" s="71"/>
      <c r="Z806" s="71"/>
      <c r="BW806" s="64"/>
      <c r="BX806" s="64"/>
      <c r="BY806" s="64"/>
      <c r="BZ806" s="66"/>
      <c r="CA806" s="64"/>
      <c r="CB806" s="64"/>
      <c r="CC806" s="64"/>
      <c r="CD806" s="64"/>
      <c r="CE806" s="64"/>
      <c r="CF806" s="64"/>
      <c r="CG806" s="64" t="str">
        <f t="shared" si="6"/>
        <v/>
      </c>
    </row>
    <row r="807">
      <c r="A807" s="74"/>
      <c r="B807" s="75"/>
      <c r="C807" s="76"/>
      <c r="F807" s="71"/>
      <c r="G807" s="77"/>
      <c r="J807" s="78"/>
      <c r="K807" s="63"/>
      <c r="L807" s="63"/>
      <c r="M807" s="63"/>
      <c r="N807" s="63"/>
      <c r="O807" s="63"/>
      <c r="P807" s="63"/>
      <c r="Q807" s="63"/>
      <c r="R807" s="63"/>
      <c r="S807" s="63"/>
      <c r="U807" s="71"/>
      <c r="V807" s="71"/>
      <c r="Z807" s="71"/>
      <c r="BW807" s="64"/>
      <c r="BX807" s="64"/>
      <c r="BY807" s="64"/>
      <c r="BZ807" s="66"/>
      <c r="CA807" s="64"/>
      <c r="CB807" s="64"/>
      <c r="CC807" s="64"/>
      <c r="CD807" s="64"/>
      <c r="CE807" s="64"/>
      <c r="CF807" s="64"/>
      <c r="CG807" s="64" t="str">
        <f t="shared" si="6"/>
        <v/>
      </c>
    </row>
    <row r="808">
      <c r="A808" s="74"/>
      <c r="B808" s="75"/>
      <c r="C808" s="76"/>
      <c r="F808" s="71"/>
      <c r="G808" s="77"/>
      <c r="J808" s="78"/>
      <c r="K808" s="63"/>
      <c r="L808" s="63"/>
      <c r="M808" s="63"/>
      <c r="N808" s="63"/>
      <c r="O808" s="63"/>
      <c r="P808" s="63"/>
      <c r="Q808" s="63"/>
      <c r="R808" s="63"/>
      <c r="S808" s="63"/>
      <c r="U808" s="71"/>
      <c r="V808" s="71"/>
      <c r="Z808" s="71"/>
      <c r="BW808" s="64"/>
      <c r="BX808" s="64"/>
      <c r="BY808" s="64"/>
      <c r="BZ808" s="66"/>
      <c r="CA808" s="64"/>
      <c r="CB808" s="64"/>
      <c r="CC808" s="64"/>
      <c r="CD808" s="64"/>
      <c r="CE808" s="64"/>
      <c r="CF808" s="64"/>
      <c r="CG808" s="64" t="str">
        <f t="shared" si="6"/>
        <v/>
      </c>
    </row>
    <row r="809">
      <c r="A809" s="74"/>
      <c r="B809" s="75"/>
      <c r="C809" s="76"/>
      <c r="F809" s="71"/>
      <c r="G809" s="77"/>
      <c r="J809" s="78"/>
      <c r="K809" s="63"/>
      <c r="L809" s="63"/>
      <c r="M809" s="63"/>
      <c r="N809" s="63"/>
      <c r="O809" s="63"/>
      <c r="P809" s="63"/>
      <c r="Q809" s="63"/>
      <c r="R809" s="63"/>
      <c r="S809" s="63"/>
      <c r="U809" s="71"/>
      <c r="V809" s="71"/>
      <c r="Z809" s="71"/>
      <c r="BW809" s="64"/>
      <c r="BX809" s="64"/>
      <c r="BY809" s="64"/>
      <c r="BZ809" s="66"/>
      <c r="CA809" s="64"/>
      <c r="CB809" s="64"/>
      <c r="CC809" s="64"/>
      <c r="CD809" s="64"/>
      <c r="CE809" s="64"/>
      <c r="CF809" s="64"/>
      <c r="CG809" s="64" t="str">
        <f t="shared" si="6"/>
        <v/>
      </c>
    </row>
    <row r="810">
      <c r="A810" s="74"/>
      <c r="B810" s="75"/>
      <c r="C810" s="76"/>
      <c r="F810" s="71"/>
      <c r="G810" s="77"/>
      <c r="J810" s="78"/>
      <c r="K810" s="63"/>
      <c r="L810" s="63"/>
      <c r="M810" s="63"/>
      <c r="N810" s="63"/>
      <c r="O810" s="63"/>
      <c r="P810" s="63"/>
      <c r="Q810" s="63"/>
      <c r="R810" s="63"/>
      <c r="S810" s="63"/>
      <c r="U810" s="71"/>
      <c r="V810" s="71"/>
      <c r="Z810" s="71"/>
      <c r="BW810" s="64"/>
      <c r="BX810" s="64"/>
      <c r="BY810" s="64"/>
      <c r="BZ810" s="66"/>
      <c r="CA810" s="64"/>
      <c r="CB810" s="64"/>
      <c r="CC810" s="64"/>
      <c r="CD810" s="64"/>
      <c r="CE810" s="64"/>
      <c r="CF810" s="64"/>
      <c r="CG810" s="64" t="str">
        <f t="shared" si="6"/>
        <v/>
      </c>
    </row>
    <row r="811">
      <c r="A811" s="74"/>
      <c r="B811" s="75"/>
      <c r="C811" s="76"/>
      <c r="F811" s="71"/>
      <c r="G811" s="77"/>
      <c r="J811" s="78"/>
      <c r="K811" s="63"/>
      <c r="L811" s="63"/>
      <c r="M811" s="63"/>
      <c r="N811" s="63"/>
      <c r="O811" s="63"/>
      <c r="P811" s="63"/>
      <c r="Q811" s="63"/>
      <c r="R811" s="63"/>
      <c r="S811" s="63"/>
      <c r="U811" s="71"/>
      <c r="V811" s="71"/>
      <c r="Z811" s="71"/>
      <c r="BW811" s="64"/>
      <c r="BX811" s="64"/>
      <c r="BY811" s="64"/>
      <c r="BZ811" s="66"/>
      <c r="CA811" s="64"/>
      <c r="CB811" s="64"/>
      <c r="CC811" s="64"/>
      <c r="CD811" s="64"/>
      <c r="CE811" s="64"/>
      <c r="CF811" s="64"/>
      <c r="CG811" s="64" t="str">
        <f t="shared" si="6"/>
        <v/>
      </c>
    </row>
    <row r="812">
      <c r="A812" s="74"/>
      <c r="B812" s="75"/>
      <c r="C812" s="76"/>
      <c r="F812" s="71"/>
      <c r="G812" s="77"/>
      <c r="J812" s="78"/>
      <c r="K812" s="63"/>
      <c r="L812" s="63"/>
      <c r="M812" s="63"/>
      <c r="N812" s="63"/>
      <c r="O812" s="63"/>
      <c r="P812" s="63"/>
      <c r="Q812" s="63"/>
      <c r="R812" s="63"/>
      <c r="S812" s="63"/>
      <c r="U812" s="71"/>
      <c r="V812" s="71"/>
      <c r="Z812" s="71"/>
      <c r="BW812" s="64"/>
      <c r="BX812" s="64"/>
      <c r="BY812" s="64"/>
      <c r="BZ812" s="66"/>
      <c r="CA812" s="64"/>
      <c r="CB812" s="64"/>
      <c r="CC812" s="64"/>
      <c r="CD812" s="64"/>
      <c r="CE812" s="64"/>
      <c r="CF812" s="64"/>
      <c r="CG812" s="64" t="str">
        <f t="shared" si="6"/>
        <v/>
      </c>
    </row>
    <row r="813">
      <c r="A813" s="74"/>
      <c r="B813" s="75"/>
      <c r="C813" s="76"/>
      <c r="F813" s="71"/>
      <c r="G813" s="77"/>
      <c r="J813" s="78"/>
      <c r="K813" s="63"/>
      <c r="L813" s="63"/>
      <c r="M813" s="63"/>
      <c r="N813" s="63"/>
      <c r="O813" s="63"/>
      <c r="P813" s="63"/>
      <c r="Q813" s="63"/>
      <c r="R813" s="63"/>
      <c r="S813" s="63"/>
      <c r="U813" s="71"/>
      <c r="V813" s="71"/>
      <c r="Z813" s="71"/>
      <c r="BW813" s="64"/>
      <c r="BX813" s="64"/>
      <c r="BY813" s="64"/>
      <c r="BZ813" s="66"/>
      <c r="CA813" s="64"/>
      <c r="CB813" s="64"/>
      <c r="CC813" s="64"/>
      <c r="CD813" s="64"/>
      <c r="CE813" s="64"/>
      <c r="CF813" s="64"/>
      <c r="CG813" s="64" t="str">
        <f t="shared" si="6"/>
        <v/>
      </c>
    </row>
    <row r="814">
      <c r="A814" s="74"/>
      <c r="B814" s="75"/>
      <c r="C814" s="76"/>
      <c r="F814" s="71"/>
      <c r="G814" s="77"/>
      <c r="J814" s="78"/>
      <c r="K814" s="63"/>
      <c r="L814" s="63"/>
      <c r="M814" s="63"/>
      <c r="N814" s="63"/>
      <c r="O814" s="63"/>
      <c r="P814" s="63"/>
      <c r="Q814" s="63"/>
      <c r="R814" s="63"/>
      <c r="S814" s="63"/>
      <c r="U814" s="71"/>
      <c r="V814" s="71"/>
      <c r="Z814" s="71"/>
      <c r="BW814" s="64"/>
      <c r="BX814" s="64"/>
      <c r="BY814" s="64"/>
      <c r="BZ814" s="66"/>
      <c r="CA814" s="64"/>
      <c r="CB814" s="64"/>
      <c r="CC814" s="64"/>
      <c r="CD814" s="64"/>
      <c r="CE814" s="64"/>
      <c r="CF814" s="64"/>
      <c r="CG814" s="64" t="str">
        <f t="shared" si="6"/>
        <v/>
      </c>
    </row>
    <row r="815">
      <c r="A815" s="74"/>
      <c r="B815" s="75"/>
      <c r="C815" s="76"/>
      <c r="F815" s="71"/>
      <c r="G815" s="77"/>
      <c r="J815" s="78"/>
      <c r="K815" s="63"/>
      <c r="L815" s="63"/>
      <c r="M815" s="63"/>
      <c r="N815" s="63"/>
      <c r="O815" s="63"/>
      <c r="P815" s="63"/>
      <c r="Q815" s="63"/>
      <c r="R815" s="63"/>
      <c r="S815" s="63"/>
      <c r="U815" s="71"/>
      <c r="V815" s="71"/>
      <c r="Z815" s="71"/>
      <c r="BW815" s="64"/>
      <c r="BX815" s="64"/>
      <c r="BY815" s="64"/>
      <c r="BZ815" s="66"/>
      <c r="CA815" s="64"/>
      <c r="CB815" s="64"/>
      <c r="CC815" s="64"/>
      <c r="CD815" s="64"/>
      <c r="CE815" s="64"/>
      <c r="CF815" s="64"/>
      <c r="CG815" s="64" t="str">
        <f t="shared" si="6"/>
        <v/>
      </c>
    </row>
    <row r="816">
      <c r="A816" s="74"/>
      <c r="B816" s="75"/>
      <c r="C816" s="76"/>
      <c r="F816" s="71"/>
      <c r="G816" s="77"/>
      <c r="J816" s="78"/>
      <c r="K816" s="63"/>
      <c r="L816" s="63"/>
      <c r="M816" s="63"/>
      <c r="N816" s="63"/>
      <c r="O816" s="63"/>
      <c r="P816" s="63"/>
      <c r="Q816" s="63"/>
      <c r="R816" s="63"/>
      <c r="S816" s="63"/>
      <c r="U816" s="71"/>
      <c r="V816" s="71"/>
      <c r="Z816" s="71"/>
      <c r="BW816" s="64"/>
      <c r="BX816" s="64"/>
      <c r="BY816" s="64"/>
      <c r="BZ816" s="66"/>
      <c r="CA816" s="64"/>
      <c r="CB816" s="64"/>
      <c r="CC816" s="64"/>
      <c r="CD816" s="64"/>
      <c r="CE816" s="64"/>
      <c r="CF816" s="64"/>
      <c r="CG816" s="64" t="str">
        <f t="shared" si="6"/>
        <v/>
      </c>
    </row>
    <row r="817">
      <c r="A817" s="74"/>
      <c r="B817" s="75"/>
      <c r="C817" s="76"/>
      <c r="F817" s="71"/>
      <c r="G817" s="77"/>
      <c r="J817" s="78"/>
      <c r="K817" s="63"/>
      <c r="L817" s="63"/>
      <c r="M817" s="63"/>
      <c r="N817" s="63"/>
      <c r="O817" s="63"/>
      <c r="P817" s="63"/>
      <c r="Q817" s="63"/>
      <c r="R817" s="63"/>
      <c r="S817" s="63"/>
      <c r="U817" s="71"/>
      <c r="V817" s="71"/>
      <c r="Z817" s="71"/>
      <c r="BW817" s="64"/>
      <c r="BX817" s="64"/>
      <c r="BY817" s="64"/>
      <c r="BZ817" s="66"/>
      <c r="CA817" s="64"/>
      <c r="CB817" s="64"/>
      <c r="CC817" s="64"/>
      <c r="CD817" s="64"/>
      <c r="CE817" s="64"/>
      <c r="CF817" s="64"/>
      <c r="CG817" s="64" t="str">
        <f t="shared" si="6"/>
        <v/>
      </c>
    </row>
    <row r="818">
      <c r="A818" s="74"/>
      <c r="B818" s="75"/>
      <c r="C818" s="76"/>
      <c r="F818" s="71"/>
      <c r="G818" s="77"/>
      <c r="J818" s="78"/>
      <c r="K818" s="63"/>
      <c r="L818" s="63"/>
      <c r="M818" s="63"/>
      <c r="N818" s="63"/>
      <c r="O818" s="63"/>
      <c r="P818" s="63"/>
      <c r="Q818" s="63"/>
      <c r="R818" s="63"/>
      <c r="S818" s="63"/>
      <c r="U818" s="71"/>
      <c r="V818" s="71"/>
      <c r="Z818" s="71"/>
      <c r="BW818" s="64"/>
      <c r="BX818" s="64"/>
      <c r="BY818" s="64"/>
      <c r="BZ818" s="66"/>
      <c r="CA818" s="64"/>
      <c r="CB818" s="64"/>
      <c r="CC818" s="64"/>
      <c r="CD818" s="64"/>
      <c r="CE818" s="64"/>
      <c r="CF818" s="64"/>
      <c r="CG818" s="64" t="str">
        <f t="shared" si="6"/>
        <v/>
      </c>
    </row>
    <row r="819">
      <c r="A819" s="74"/>
      <c r="B819" s="75"/>
      <c r="C819" s="76"/>
      <c r="F819" s="71"/>
      <c r="G819" s="77"/>
      <c r="J819" s="78"/>
      <c r="K819" s="63"/>
      <c r="L819" s="63"/>
      <c r="M819" s="63"/>
      <c r="N819" s="63"/>
      <c r="O819" s="63"/>
      <c r="P819" s="63"/>
      <c r="Q819" s="63"/>
      <c r="R819" s="63"/>
      <c r="S819" s="63"/>
      <c r="U819" s="71"/>
      <c r="V819" s="71"/>
      <c r="Z819" s="71"/>
      <c r="BW819" s="64"/>
      <c r="BX819" s="64"/>
      <c r="BY819" s="64"/>
      <c r="BZ819" s="66"/>
      <c r="CA819" s="64"/>
      <c r="CB819" s="64"/>
      <c r="CC819" s="64"/>
      <c r="CD819" s="64"/>
      <c r="CE819" s="64"/>
      <c r="CF819" s="64"/>
      <c r="CG819" s="64" t="str">
        <f t="shared" si="6"/>
        <v/>
      </c>
    </row>
    <row r="820">
      <c r="A820" s="74"/>
      <c r="B820" s="75"/>
      <c r="C820" s="76"/>
      <c r="F820" s="71"/>
      <c r="G820" s="77"/>
      <c r="J820" s="78"/>
      <c r="K820" s="63"/>
      <c r="L820" s="63"/>
      <c r="M820" s="63"/>
      <c r="N820" s="63"/>
      <c r="O820" s="63"/>
      <c r="P820" s="63"/>
      <c r="Q820" s="63"/>
      <c r="R820" s="63"/>
      <c r="S820" s="63"/>
      <c r="U820" s="71"/>
      <c r="V820" s="71"/>
      <c r="Z820" s="71"/>
      <c r="BW820" s="64"/>
      <c r="BX820" s="64"/>
      <c r="BY820" s="64"/>
      <c r="BZ820" s="66"/>
      <c r="CA820" s="64"/>
      <c r="CB820" s="64"/>
      <c r="CC820" s="64"/>
      <c r="CD820" s="64"/>
      <c r="CE820" s="64"/>
      <c r="CF820" s="64"/>
      <c r="CG820" s="64" t="str">
        <f t="shared" si="6"/>
        <v/>
      </c>
    </row>
    <row r="821">
      <c r="A821" s="74"/>
      <c r="B821" s="75"/>
      <c r="C821" s="76"/>
      <c r="F821" s="71"/>
      <c r="G821" s="77"/>
      <c r="J821" s="78"/>
      <c r="K821" s="63"/>
      <c r="L821" s="63"/>
      <c r="M821" s="63"/>
      <c r="N821" s="63"/>
      <c r="O821" s="63"/>
      <c r="P821" s="63"/>
      <c r="Q821" s="63"/>
      <c r="R821" s="63"/>
      <c r="S821" s="63"/>
      <c r="U821" s="71"/>
      <c r="V821" s="71"/>
      <c r="Z821" s="71"/>
      <c r="BW821" s="64"/>
      <c r="BX821" s="64"/>
      <c r="BY821" s="64"/>
      <c r="BZ821" s="66"/>
      <c r="CA821" s="64"/>
      <c r="CB821" s="64"/>
      <c r="CC821" s="64"/>
      <c r="CD821" s="64"/>
      <c r="CE821" s="64"/>
      <c r="CF821" s="64"/>
      <c r="CG821" s="64" t="str">
        <f t="shared" si="6"/>
        <v/>
      </c>
    </row>
    <row r="822">
      <c r="A822" s="74"/>
      <c r="B822" s="75"/>
      <c r="C822" s="76"/>
      <c r="F822" s="71"/>
      <c r="G822" s="77"/>
      <c r="J822" s="78"/>
      <c r="K822" s="63"/>
      <c r="L822" s="63"/>
      <c r="M822" s="63"/>
      <c r="N822" s="63"/>
      <c r="O822" s="63"/>
      <c r="P822" s="63"/>
      <c r="Q822" s="63"/>
      <c r="R822" s="63"/>
      <c r="S822" s="63"/>
      <c r="U822" s="71"/>
      <c r="V822" s="71"/>
      <c r="Z822" s="71"/>
      <c r="BW822" s="64"/>
      <c r="BX822" s="64"/>
      <c r="BY822" s="64"/>
      <c r="BZ822" s="66"/>
      <c r="CA822" s="64"/>
      <c r="CB822" s="64"/>
      <c r="CC822" s="64"/>
      <c r="CD822" s="64"/>
      <c r="CE822" s="64"/>
      <c r="CF822" s="64"/>
      <c r="CG822" s="64" t="str">
        <f t="shared" si="6"/>
        <v/>
      </c>
    </row>
    <row r="823">
      <c r="A823" s="74"/>
      <c r="B823" s="75"/>
      <c r="C823" s="76"/>
      <c r="F823" s="71"/>
      <c r="G823" s="77"/>
      <c r="J823" s="78"/>
      <c r="K823" s="63"/>
      <c r="L823" s="63"/>
      <c r="M823" s="63"/>
      <c r="N823" s="63"/>
      <c r="O823" s="63"/>
      <c r="P823" s="63"/>
      <c r="Q823" s="63"/>
      <c r="R823" s="63"/>
      <c r="S823" s="63"/>
      <c r="U823" s="71"/>
      <c r="V823" s="71"/>
      <c r="Z823" s="71"/>
      <c r="BW823" s="64"/>
      <c r="BX823" s="64"/>
      <c r="BY823" s="64"/>
      <c r="BZ823" s="66"/>
      <c r="CA823" s="64"/>
      <c r="CB823" s="64"/>
      <c r="CC823" s="64"/>
      <c r="CD823" s="64"/>
      <c r="CE823" s="64"/>
      <c r="CF823" s="64"/>
      <c r="CG823" s="64" t="str">
        <f t="shared" si="6"/>
        <v/>
      </c>
    </row>
    <row r="824">
      <c r="A824" s="74"/>
      <c r="B824" s="75"/>
      <c r="C824" s="76"/>
      <c r="F824" s="71"/>
      <c r="G824" s="77"/>
      <c r="J824" s="78"/>
      <c r="K824" s="63"/>
      <c r="L824" s="63"/>
      <c r="M824" s="63"/>
      <c r="N824" s="63"/>
      <c r="O824" s="63"/>
      <c r="P824" s="63"/>
      <c r="Q824" s="63"/>
      <c r="R824" s="63"/>
      <c r="S824" s="63"/>
      <c r="U824" s="71"/>
      <c r="V824" s="71"/>
      <c r="Z824" s="71"/>
      <c r="BW824" s="64"/>
      <c r="BX824" s="64"/>
      <c r="BY824" s="64"/>
      <c r="BZ824" s="66"/>
      <c r="CA824" s="64"/>
      <c r="CB824" s="64"/>
      <c r="CC824" s="64"/>
      <c r="CD824" s="64"/>
      <c r="CE824" s="64"/>
      <c r="CF824" s="64"/>
      <c r="CG824" s="64" t="str">
        <f t="shared" si="6"/>
        <v/>
      </c>
    </row>
    <row r="825">
      <c r="A825" s="74"/>
      <c r="B825" s="75"/>
      <c r="C825" s="76"/>
      <c r="F825" s="71"/>
      <c r="G825" s="77"/>
      <c r="J825" s="78"/>
      <c r="K825" s="63"/>
      <c r="L825" s="63"/>
      <c r="M825" s="63"/>
      <c r="N825" s="63"/>
      <c r="O825" s="63"/>
      <c r="P825" s="63"/>
      <c r="Q825" s="63"/>
      <c r="R825" s="63"/>
      <c r="S825" s="63"/>
      <c r="U825" s="71"/>
      <c r="V825" s="71"/>
      <c r="Z825" s="71"/>
      <c r="BW825" s="64"/>
      <c r="BX825" s="64"/>
      <c r="BY825" s="64"/>
      <c r="BZ825" s="66"/>
      <c r="CA825" s="64"/>
      <c r="CB825" s="64"/>
      <c r="CC825" s="64"/>
      <c r="CD825" s="64"/>
      <c r="CE825" s="64"/>
      <c r="CF825" s="64"/>
      <c r="CG825" s="64" t="str">
        <f t="shared" si="6"/>
        <v/>
      </c>
    </row>
    <row r="826">
      <c r="A826" s="74"/>
      <c r="B826" s="75"/>
      <c r="C826" s="76"/>
      <c r="F826" s="71"/>
      <c r="G826" s="77"/>
      <c r="J826" s="78"/>
      <c r="K826" s="63"/>
      <c r="L826" s="63"/>
      <c r="M826" s="63"/>
      <c r="N826" s="63"/>
      <c r="O826" s="63"/>
      <c r="P826" s="63"/>
      <c r="Q826" s="63"/>
      <c r="R826" s="63"/>
      <c r="S826" s="63"/>
      <c r="U826" s="71"/>
      <c r="V826" s="71"/>
      <c r="Z826" s="71"/>
      <c r="BW826" s="64"/>
      <c r="BX826" s="64"/>
      <c r="BY826" s="64"/>
      <c r="BZ826" s="66"/>
      <c r="CA826" s="64"/>
      <c r="CB826" s="64"/>
      <c r="CC826" s="64"/>
      <c r="CD826" s="64"/>
      <c r="CE826" s="64"/>
      <c r="CF826" s="64"/>
      <c r="CG826" s="64" t="str">
        <f t="shared" si="6"/>
        <v/>
      </c>
    </row>
    <row r="827">
      <c r="A827" s="74"/>
      <c r="B827" s="75"/>
      <c r="C827" s="76"/>
      <c r="F827" s="71"/>
      <c r="G827" s="77"/>
      <c r="J827" s="78"/>
      <c r="K827" s="63"/>
      <c r="L827" s="63"/>
      <c r="M827" s="63"/>
      <c r="N827" s="63"/>
      <c r="O827" s="63"/>
      <c r="P827" s="63"/>
      <c r="Q827" s="63"/>
      <c r="R827" s="63"/>
      <c r="S827" s="63"/>
      <c r="U827" s="71"/>
      <c r="V827" s="71"/>
      <c r="Z827" s="71"/>
      <c r="BW827" s="64"/>
      <c r="BX827" s="64"/>
      <c r="BY827" s="64"/>
      <c r="BZ827" s="66"/>
      <c r="CA827" s="64"/>
      <c r="CB827" s="64"/>
      <c r="CC827" s="64"/>
      <c r="CD827" s="64"/>
      <c r="CE827" s="64"/>
      <c r="CF827" s="64"/>
      <c r="CG827" s="64" t="str">
        <f t="shared" si="6"/>
        <v/>
      </c>
    </row>
    <row r="828">
      <c r="A828" s="74"/>
      <c r="B828" s="75"/>
      <c r="C828" s="76"/>
      <c r="F828" s="71"/>
      <c r="G828" s="77"/>
      <c r="J828" s="78"/>
      <c r="K828" s="63"/>
      <c r="L828" s="63"/>
      <c r="M828" s="63"/>
      <c r="N828" s="63"/>
      <c r="O828" s="63"/>
      <c r="P828" s="63"/>
      <c r="Q828" s="63"/>
      <c r="R828" s="63"/>
      <c r="S828" s="63"/>
      <c r="U828" s="71"/>
      <c r="V828" s="71"/>
      <c r="Z828" s="71"/>
      <c r="BW828" s="64"/>
      <c r="BX828" s="64"/>
      <c r="BY828" s="64"/>
      <c r="BZ828" s="66"/>
      <c r="CA828" s="64"/>
      <c r="CB828" s="64"/>
      <c r="CC828" s="64"/>
      <c r="CD828" s="64"/>
      <c r="CE828" s="64"/>
      <c r="CF828" s="64"/>
      <c r="CG828" s="64" t="str">
        <f t="shared" si="6"/>
        <v/>
      </c>
    </row>
    <row r="829">
      <c r="A829" s="74"/>
      <c r="B829" s="75"/>
      <c r="C829" s="76"/>
      <c r="F829" s="71"/>
      <c r="G829" s="77"/>
      <c r="J829" s="78"/>
      <c r="K829" s="63"/>
      <c r="L829" s="63"/>
      <c r="M829" s="63"/>
      <c r="N829" s="63"/>
      <c r="O829" s="63"/>
      <c r="P829" s="63"/>
      <c r="Q829" s="63"/>
      <c r="R829" s="63"/>
      <c r="S829" s="63"/>
      <c r="U829" s="71"/>
      <c r="V829" s="71"/>
      <c r="Z829" s="71"/>
      <c r="BW829" s="64"/>
      <c r="BX829" s="64"/>
      <c r="BY829" s="64"/>
      <c r="BZ829" s="66"/>
      <c r="CA829" s="64"/>
      <c r="CB829" s="64"/>
      <c r="CC829" s="64"/>
      <c r="CD829" s="64"/>
      <c r="CE829" s="64"/>
      <c r="CF829" s="64"/>
      <c r="CG829" s="64" t="str">
        <f t="shared" si="6"/>
        <v/>
      </c>
    </row>
    <row r="830">
      <c r="A830" s="74"/>
      <c r="B830" s="75"/>
      <c r="C830" s="76"/>
      <c r="F830" s="71"/>
      <c r="G830" s="77"/>
      <c r="J830" s="78"/>
      <c r="K830" s="63"/>
      <c r="L830" s="63"/>
      <c r="M830" s="63"/>
      <c r="N830" s="63"/>
      <c r="O830" s="63"/>
      <c r="P830" s="63"/>
      <c r="Q830" s="63"/>
      <c r="R830" s="63"/>
      <c r="S830" s="63"/>
      <c r="U830" s="71"/>
      <c r="V830" s="71"/>
      <c r="Z830" s="71"/>
      <c r="BW830" s="64"/>
      <c r="BX830" s="64"/>
      <c r="BY830" s="64"/>
      <c r="BZ830" s="66"/>
      <c r="CA830" s="64"/>
      <c r="CB830" s="64"/>
      <c r="CC830" s="64"/>
      <c r="CD830" s="64"/>
      <c r="CE830" s="64"/>
      <c r="CF830" s="64"/>
      <c r="CG830" s="64" t="str">
        <f t="shared" si="6"/>
        <v/>
      </c>
    </row>
    <row r="831">
      <c r="A831" s="74"/>
      <c r="B831" s="75"/>
      <c r="C831" s="76"/>
      <c r="F831" s="71"/>
      <c r="G831" s="77"/>
      <c r="J831" s="78"/>
      <c r="K831" s="63"/>
      <c r="L831" s="63"/>
      <c r="M831" s="63"/>
      <c r="N831" s="63"/>
      <c r="O831" s="63"/>
      <c r="P831" s="63"/>
      <c r="Q831" s="63"/>
      <c r="R831" s="63"/>
      <c r="S831" s="63"/>
      <c r="U831" s="71"/>
      <c r="V831" s="71"/>
      <c r="Z831" s="71"/>
      <c r="BW831" s="64"/>
      <c r="BX831" s="64"/>
      <c r="BY831" s="64"/>
      <c r="BZ831" s="66"/>
      <c r="CA831" s="64"/>
      <c r="CB831" s="64"/>
      <c r="CC831" s="64"/>
      <c r="CD831" s="64"/>
      <c r="CE831" s="64"/>
      <c r="CF831" s="64"/>
      <c r="CG831" s="64" t="str">
        <f t="shared" si="6"/>
        <v/>
      </c>
    </row>
    <row r="832">
      <c r="A832" s="74"/>
      <c r="B832" s="75"/>
      <c r="C832" s="76"/>
      <c r="F832" s="71"/>
      <c r="G832" s="77"/>
      <c r="J832" s="78"/>
      <c r="K832" s="63"/>
      <c r="L832" s="63"/>
      <c r="M832" s="63"/>
      <c r="N832" s="63"/>
      <c r="O832" s="63"/>
      <c r="P832" s="63"/>
      <c r="Q832" s="63"/>
      <c r="R832" s="63"/>
      <c r="S832" s="63"/>
      <c r="U832" s="71"/>
      <c r="V832" s="71"/>
      <c r="Z832" s="71"/>
      <c r="BW832" s="64"/>
      <c r="BX832" s="64"/>
      <c r="BY832" s="64"/>
      <c r="BZ832" s="66"/>
      <c r="CA832" s="64"/>
      <c r="CB832" s="64"/>
      <c r="CC832" s="64"/>
      <c r="CD832" s="64"/>
      <c r="CE832" s="64"/>
      <c r="CF832" s="64"/>
      <c r="CG832" s="64" t="str">
        <f t="shared" si="6"/>
        <v/>
      </c>
    </row>
    <row r="833">
      <c r="A833" s="74"/>
      <c r="B833" s="75"/>
      <c r="C833" s="76"/>
      <c r="F833" s="71"/>
      <c r="G833" s="77"/>
      <c r="J833" s="78"/>
      <c r="K833" s="63"/>
      <c r="L833" s="63"/>
      <c r="M833" s="63"/>
      <c r="N833" s="63"/>
      <c r="O833" s="63"/>
      <c r="P833" s="63"/>
      <c r="Q833" s="63"/>
      <c r="R833" s="63"/>
      <c r="S833" s="63"/>
      <c r="U833" s="71"/>
      <c r="V833" s="71"/>
      <c r="Z833" s="71"/>
      <c r="BW833" s="64"/>
      <c r="BX833" s="64"/>
      <c r="BY833" s="64"/>
      <c r="BZ833" s="66"/>
      <c r="CA833" s="64"/>
      <c r="CB833" s="64"/>
      <c r="CC833" s="64"/>
      <c r="CD833" s="64"/>
      <c r="CE833" s="64"/>
      <c r="CF833" s="64"/>
      <c r="CG833" s="64" t="str">
        <f t="shared" si="6"/>
        <v/>
      </c>
    </row>
    <row r="834">
      <c r="A834" s="74"/>
      <c r="B834" s="75"/>
      <c r="C834" s="76"/>
      <c r="F834" s="71"/>
      <c r="G834" s="77"/>
      <c r="J834" s="78"/>
      <c r="K834" s="63"/>
      <c r="L834" s="63"/>
      <c r="M834" s="63"/>
      <c r="N834" s="63"/>
      <c r="O834" s="63"/>
      <c r="P834" s="63"/>
      <c r="Q834" s="63"/>
      <c r="R834" s="63"/>
      <c r="S834" s="63"/>
      <c r="U834" s="71"/>
      <c r="V834" s="71"/>
      <c r="Z834" s="71"/>
      <c r="BW834" s="64"/>
      <c r="BX834" s="64"/>
      <c r="BY834" s="64"/>
      <c r="BZ834" s="66"/>
      <c r="CA834" s="64"/>
      <c r="CB834" s="64"/>
      <c r="CC834" s="64"/>
      <c r="CD834" s="64"/>
      <c r="CE834" s="64"/>
      <c r="CF834" s="64"/>
      <c r="CG834" s="64" t="str">
        <f t="shared" si="6"/>
        <v/>
      </c>
    </row>
    <row r="835">
      <c r="A835" s="74"/>
      <c r="B835" s="75"/>
      <c r="C835" s="76"/>
      <c r="F835" s="71"/>
      <c r="G835" s="77"/>
      <c r="J835" s="78"/>
      <c r="K835" s="63"/>
      <c r="L835" s="63"/>
      <c r="M835" s="63"/>
      <c r="N835" s="63"/>
      <c r="O835" s="63"/>
      <c r="P835" s="63"/>
      <c r="Q835" s="63"/>
      <c r="R835" s="63"/>
      <c r="S835" s="63"/>
      <c r="U835" s="71"/>
      <c r="V835" s="71"/>
      <c r="Z835" s="71"/>
      <c r="BW835" s="64"/>
      <c r="BX835" s="64"/>
      <c r="BY835" s="64"/>
      <c r="BZ835" s="66"/>
      <c r="CA835" s="64"/>
      <c r="CB835" s="64"/>
      <c r="CC835" s="64"/>
      <c r="CD835" s="64"/>
      <c r="CE835" s="64"/>
      <c r="CF835" s="64"/>
      <c r="CG835" s="64" t="str">
        <f t="shared" si="6"/>
        <v/>
      </c>
    </row>
    <row r="836">
      <c r="A836" s="74"/>
      <c r="B836" s="75"/>
      <c r="C836" s="76"/>
      <c r="F836" s="71"/>
      <c r="G836" s="77"/>
      <c r="J836" s="78"/>
      <c r="K836" s="63"/>
      <c r="L836" s="63"/>
      <c r="M836" s="63"/>
      <c r="N836" s="63"/>
      <c r="O836" s="63"/>
      <c r="P836" s="63"/>
      <c r="Q836" s="63"/>
      <c r="R836" s="63"/>
      <c r="S836" s="63"/>
      <c r="U836" s="71"/>
      <c r="V836" s="71"/>
      <c r="Z836" s="71"/>
      <c r="BW836" s="64"/>
      <c r="BX836" s="64"/>
      <c r="BY836" s="64"/>
      <c r="BZ836" s="66"/>
      <c r="CA836" s="64"/>
      <c r="CB836" s="64"/>
      <c r="CC836" s="64"/>
      <c r="CD836" s="64"/>
      <c r="CE836" s="64"/>
      <c r="CF836" s="64"/>
      <c r="CG836" s="64" t="str">
        <f t="shared" si="6"/>
        <v/>
      </c>
    </row>
    <row r="837">
      <c r="A837" s="74"/>
      <c r="B837" s="75"/>
      <c r="C837" s="76"/>
      <c r="F837" s="71"/>
      <c r="G837" s="77"/>
      <c r="J837" s="78"/>
      <c r="K837" s="63"/>
      <c r="L837" s="63"/>
      <c r="M837" s="63"/>
      <c r="N837" s="63"/>
      <c r="O837" s="63"/>
      <c r="P837" s="63"/>
      <c r="Q837" s="63"/>
      <c r="R837" s="63"/>
      <c r="S837" s="63"/>
      <c r="U837" s="71"/>
      <c r="V837" s="71"/>
      <c r="Z837" s="71"/>
      <c r="BW837" s="64"/>
      <c r="BX837" s="64"/>
      <c r="BY837" s="64"/>
      <c r="BZ837" s="66"/>
      <c r="CA837" s="64"/>
      <c r="CB837" s="64"/>
      <c r="CC837" s="64"/>
      <c r="CD837" s="64"/>
      <c r="CE837" s="64"/>
      <c r="CF837" s="64"/>
      <c r="CG837" s="64" t="str">
        <f t="shared" si="6"/>
        <v/>
      </c>
    </row>
    <row r="838">
      <c r="A838" s="74"/>
      <c r="B838" s="75"/>
      <c r="C838" s="76"/>
      <c r="F838" s="71"/>
      <c r="G838" s="77"/>
      <c r="J838" s="78"/>
      <c r="K838" s="63"/>
      <c r="L838" s="63"/>
      <c r="M838" s="63"/>
      <c r="N838" s="63"/>
      <c r="O838" s="63"/>
      <c r="P838" s="63"/>
      <c r="Q838" s="63"/>
      <c r="R838" s="63"/>
      <c r="S838" s="63"/>
      <c r="U838" s="71"/>
      <c r="V838" s="71"/>
      <c r="Z838" s="71"/>
      <c r="BW838" s="64"/>
      <c r="BX838" s="64"/>
      <c r="BY838" s="64"/>
      <c r="BZ838" s="66"/>
      <c r="CA838" s="64"/>
      <c r="CB838" s="64"/>
      <c r="CC838" s="64"/>
      <c r="CD838" s="64"/>
      <c r="CE838" s="64"/>
      <c r="CF838" s="64"/>
      <c r="CG838" s="64" t="str">
        <f t="shared" si="6"/>
        <v/>
      </c>
    </row>
    <row r="839">
      <c r="A839" s="74"/>
      <c r="B839" s="75"/>
      <c r="C839" s="76"/>
      <c r="F839" s="71"/>
      <c r="G839" s="77"/>
      <c r="J839" s="78"/>
      <c r="K839" s="63"/>
      <c r="L839" s="63"/>
      <c r="M839" s="63"/>
      <c r="N839" s="63"/>
      <c r="O839" s="63"/>
      <c r="P839" s="63"/>
      <c r="Q839" s="63"/>
      <c r="R839" s="63"/>
      <c r="S839" s="63"/>
      <c r="U839" s="71"/>
      <c r="V839" s="71"/>
      <c r="Z839" s="71"/>
      <c r="BW839" s="64"/>
      <c r="BX839" s="64"/>
      <c r="BY839" s="64"/>
      <c r="BZ839" s="66"/>
      <c r="CA839" s="64"/>
      <c r="CB839" s="64"/>
      <c r="CC839" s="64"/>
      <c r="CD839" s="64"/>
      <c r="CE839" s="64"/>
      <c r="CF839" s="64"/>
      <c r="CG839" s="64" t="str">
        <f t="shared" si="6"/>
        <v/>
      </c>
    </row>
    <row r="840">
      <c r="A840" s="74"/>
      <c r="B840" s="75"/>
      <c r="C840" s="76"/>
      <c r="F840" s="71"/>
      <c r="G840" s="77"/>
      <c r="J840" s="78"/>
      <c r="K840" s="63"/>
      <c r="L840" s="63"/>
      <c r="M840" s="63"/>
      <c r="N840" s="63"/>
      <c r="O840" s="63"/>
      <c r="P840" s="63"/>
      <c r="Q840" s="63"/>
      <c r="R840" s="63"/>
      <c r="S840" s="63"/>
      <c r="U840" s="71"/>
      <c r="V840" s="71"/>
      <c r="Z840" s="71"/>
      <c r="BW840" s="64"/>
      <c r="BX840" s="64"/>
      <c r="BY840" s="64"/>
      <c r="BZ840" s="66"/>
      <c r="CA840" s="64"/>
      <c r="CB840" s="64"/>
      <c r="CC840" s="64"/>
      <c r="CD840" s="64"/>
      <c r="CE840" s="64"/>
      <c r="CF840" s="64"/>
      <c r="CG840" s="64" t="str">
        <f t="shared" si="6"/>
        <v/>
      </c>
    </row>
    <row r="841">
      <c r="A841" s="74"/>
      <c r="B841" s="75"/>
      <c r="C841" s="76"/>
      <c r="F841" s="71"/>
      <c r="G841" s="77"/>
      <c r="J841" s="78"/>
      <c r="K841" s="63"/>
      <c r="L841" s="63"/>
      <c r="M841" s="63"/>
      <c r="N841" s="63"/>
      <c r="O841" s="63"/>
      <c r="P841" s="63"/>
      <c r="Q841" s="63"/>
      <c r="R841" s="63"/>
      <c r="S841" s="63"/>
      <c r="U841" s="71"/>
      <c r="V841" s="71"/>
      <c r="Z841" s="71"/>
      <c r="BW841" s="64"/>
      <c r="BX841" s="64"/>
      <c r="BY841" s="64"/>
      <c r="BZ841" s="66"/>
      <c r="CA841" s="64"/>
      <c r="CB841" s="64"/>
      <c r="CC841" s="64"/>
      <c r="CD841" s="64"/>
      <c r="CE841" s="64"/>
      <c r="CF841" s="64"/>
      <c r="CG841" s="64" t="str">
        <f t="shared" si="6"/>
        <v/>
      </c>
    </row>
    <row r="842">
      <c r="A842" s="74"/>
      <c r="B842" s="75"/>
      <c r="C842" s="76"/>
      <c r="F842" s="71"/>
      <c r="G842" s="77"/>
      <c r="J842" s="78"/>
      <c r="K842" s="63"/>
      <c r="L842" s="63"/>
      <c r="M842" s="63"/>
      <c r="N842" s="63"/>
      <c r="O842" s="63"/>
      <c r="P842" s="63"/>
      <c r="Q842" s="63"/>
      <c r="R842" s="63"/>
      <c r="S842" s="63"/>
      <c r="U842" s="71"/>
      <c r="V842" s="71"/>
      <c r="Z842" s="71"/>
      <c r="BW842" s="64"/>
      <c r="BX842" s="64"/>
      <c r="BY842" s="64"/>
      <c r="BZ842" s="66"/>
      <c r="CA842" s="64"/>
      <c r="CB842" s="64"/>
      <c r="CC842" s="64"/>
      <c r="CD842" s="64"/>
      <c r="CE842" s="64"/>
      <c r="CF842" s="64"/>
      <c r="CG842" s="64" t="str">
        <f t="shared" si="6"/>
        <v/>
      </c>
    </row>
    <row r="843">
      <c r="A843" s="74"/>
      <c r="B843" s="75"/>
      <c r="C843" s="76"/>
      <c r="F843" s="71"/>
      <c r="G843" s="77"/>
      <c r="J843" s="78"/>
      <c r="K843" s="63"/>
      <c r="L843" s="63"/>
      <c r="M843" s="63"/>
      <c r="N843" s="63"/>
      <c r="O843" s="63"/>
      <c r="P843" s="63"/>
      <c r="Q843" s="63"/>
      <c r="R843" s="63"/>
      <c r="S843" s="63"/>
      <c r="U843" s="71"/>
      <c r="V843" s="71"/>
      <c r="Z843" s="71"/>
      <c r="BW843" s="64"/>
      <c r="BX843" s="64"/>
      <c r="BY843" s="64"/>
      <c r="BZ843" s="66"/>
      <c r="CA843" s="64"/>
      <c r="CB843" s="64"/>
      <c r="CC843" s="64"/>
      <c r="CD843" s="64"/>
      <c r="CE843" s="64"/>
      <c r="CF843" s="64"/>
      <c r="CG843" s="64" t="str">
        <f t="shared" si="6"/>
        <v/>
      </c>
    </row>
    <row r="844">
      <c r="A844" s="74"/>
      <c r="B844" s="75"/>
      <c r="C844" s="76"/>
      <c r="F844" s="71"/>
      <c r="G844" s="77"/>
      <c r="J844" s="78"/>
      <c r="K844" s="63"/>
      <c r="L844" s="63"/>
      <c r="M844" s="63"/>
      <c r="N844" s="63"/>
      <c r="O844" s="63"/>
      <c r="P844" s="63"/>
      <c r="Q844" s="63"/>
      <c r="R844" s="63"/>
      <c r="S844" s="63"/>
      <c r="U844" s="71"/>
      <c r="V844" s="71"/>
      <c r="Z844" s="71"/>
      <c r="BW844" s="64"/>
      <c r="BX844" s="64"/>
      <c r="BY844" s="64"/>
      <c r="BZ844" s="66"/>
      <c r="CA844" s="64"/>
      <c r="CB844" s="64"/>
      <c r="CC844" s="64"/>
      <c r="CD844" s="64"/>
      <c r="CE844" s="64"/>
      <c r="CF844" s="64"/>
      <c r="CG844" s="64" t="str">
        <f t="shared" si="6"/>
        <v/>
      </c>
    </row>
    <row r="845">
      <c r="A845" s="74"/>
      <c r="B845" s="75"/>
      <c r="C845" s="76"/>
      <c r="F845" s="71"/>
      <c r="G845" s="77"/>
      <c r="J845" s="78"/>
      <c r="K845" s="63"/>
      <c r="L845" s="63"/>
      <c r="M845" s="63"/>
      <c r="N845" s="63"/>
      <c r="O845" s="63"/>
      <c r="P845" s="63"/>
      <c r="Q845" s="63"/>
      <c r="R845" s="63"/>
      <c r="S845" s="63"/>
      <c r="U845" s="71"/>
      <c r="V845" s="71"/>
      <c r="Z845" s="71"/>
      <c r="BW845" s="64"/>
      <c r="BX845" s="64"/>
      <c r="BY845" s="64"/>
      <c r="BZ845" s="66"/>
      <c r="CA845" s="64"/>
      <c r="CB845" s="64"/>
      <c r="CC845" s="64"/>
      <c r="CD845" s="64"/>
      <c r="CE845" s="64"/>
      <c r="CF845" s="64"/>
      <c r="CG845" s="64" t="str">
        <f t="shared" si="6"/>
        <v/>
      </c>
    </row>
    <row r="846">
      <c r="A846" s="74"/>
      <c r="B846" s="75"/>
      <c r="C846" s="76"/>
      <c r="F846" s="71"/>
      <c r="G846" s="77"/>
      <c r="J846" s="78"/>
      <c r="K846" s="63"/>
      <c r="L846" s="63"/>
      <c r="M846" s="63"/>
      <c r="N846" s="63"/>
      <c r="O846" s="63"/>
      <c r="P846" s="63"/>
      <c r="Q846" s="63"/>
      <c r="R846" s="63"/>
      <c r="S846" s="63"/>
      <c r="U846" s="71"/>
      <c r="V846" s="71"/>
      <c r="Z846" s="71"/>
      <c r="BW846" s="64"/>
      <c r="BX846" s="64"/>
      <c r="BY846" s="64"/>
      <c r="BZ846" s="66"/>
      <c r="CA846" s="64"/>
      <c r="CB846" s="64"/>
      <c r="CC846" s="64"/>
      <c r="CD846" s="64"/>
      <c r="CE846" s="64"/>
      <c r="CF846" s="64"/>
      <c r="CG846" s="64" t="str">
        <f t="shared" si="6"/>
        <v/>
      </c>
    </row>
    <row r="847">
      <c r="A847" s="74"/>
      <c r="B847" s="75"/>
      <c r="C847" s="76"/>
      <c r="F847" s="71"/>
      <c r="G847" s="77"/>
      <c r="J847" s="78"/>
      <c r="K847" s="63"/>
      <c r="L847" s="63"/>
      <c r="M847" s="63"/>
      <c r="N847" s="63"/>
      <c r="O847" s="63"/>
      <c r="P847" s="63"/>
      <c r="Q847" s="63"/>
      <c r="R847" s="63"/>
      <c r="S847" s="63"/>
      <c r="U847" s="71"/>
      <c r="V847" s="71"/>
      <c r="Z847" s="71"/>
      <c r="BW847" s="64"/>
      <c r="BX847" s="64"/>
      <c r="BY847" s="64"/>
      <c r="BZ847" s="66"/>
      <c r="CA847" s="64"/>
      <c r="CB847" s="64"/>
      <c r="CC847" s="64"/>
      <c r="CD847" s="64"/>
      <c r="CE847" s="64"/>
      <c r="CF847" s="64"/>
      <c r="CG847" s="64" t="str">
        <f t="shared" si="6"/>
        <v/>
      </c>
    </row>
    <row r="848">
      <c r="A848" s="74"/>
      <c r="B848" s="75"/>
      <c r="C848" s="76"/>
      <c r="F848" s="71"/>
      <c r="G848" s="77"/>
      <c r="J848" s="78"/>
      <c r="K848" s="63"/>
      <c r="L848" s="63"/>
      <c r="M848" s="63"/>
      <c r="N848" s="63"/>
      <c r="O848" s="63"/>
      <c r="P848" s="63"/>
      <c r="Q848" s="63"/>
      <c r="R848" s="63"/>
      <c r="S848" s="63"/>
      <c r="U848" s="71"/>
      <c r="V848" s="71"/>
      <c r="Z848" s="71"/>
      <c r="BW848" s="64"/>
      <c r="BX848" s="64"/>
      <c r="BY848" s="64"/>
      <c r="BZ848" s="66"/>
      <c r="CA848" s="64"/>
      <c r="CB848" s="64"/>
      <c r="CC848" s="64"/>
      <c r="CD848" s="64"/>
      <c r="CE848" s="64"/>
      <c r="CF848" s="64"/>
      <c r="CG848" s="64" t="str">
        <f t="shared" si="6"/>
        <v/>
      </c>
    </row>
    <row r="849">
      <c r="A849" s="74"/>
      <c r="B849" s="75"/>
      <c r="C849" s="76"/>
      <c r="F849" s="71"/>
      <c r="G849" s="77"/>
      <c r="J849" s="78"/>
      <c r="K849" s="63"/>
      <c r="L849" s="63"/>
      <c r="M849" s="63"/>
      <c r="N849" s="63"/>
      <c r="O849" s="63"/>
      <c r="P849" s="63"/>
      <c r="Q849" s="63"/>
      <c r="R849" s="63"/>
      <c r="S849" s="63"/>
      <c r="U849" s="71"/>
      <c r="V849" s="71"/>
      <c r="Z849" s="71"/>
      <c r="BW849" s="64"/>
      <c r="BX849" s="64"/>
      <c r="BY849" s="64"/>
      <c r="BZ849" s="66"/>
      <c r="CA849" s="64"/>
      <c r="CB849" s="64"/>
      <c r="CC849" s="64"/>
      <c r="CD849" s="64"/>
      <c r="CE849" s="64"/>
      <c r="CF849" s="64"/>
      <c r="CG849" s="64" t="str">
        <f t="shared" si="6"/>
        <v/>
      </c>
    </row>
    <row r="850">
      <c r="A850" s="74"/>
      <c r="B850" s="75"/>
      <c r="C850" s="76"/>
      <c r="F850" s="71"/>
      <c r="G850" s="77"/>
      <c r="J850" s="78"/>
      <c r="K850" s="63"/>
      <c r="L850" s="63"/>
      <c r="M850" s="63"/>
      <c r="N850" s="63"/>
      <c r="O850" s="63"/>
      <c r="P850" s="63"/>
      <c r="Q850" s="63"/>
      <c r="R850" s="63"/>
      <c r="S850" s="63"/>
      <c r="U850" s="71"/>
      <c r="V850" s="71"/>
      <c r="Z850" s="71"/>
      <c r="BW850" s="64"/>
      <c r="BX850" s="64"/>
      <c r="BY850" s="64"/>
      <c r="BZ850" s="66"/>
      <c r="CA850" s="64"/>
      <c r="CB850" s="64"/>
      <c r="CC850" s="64"/>
      <c r="CD850" s="64"/>
      <c r="CE850" s="64"/>
      <c r="CF850" s="64"/>
      <c r="CG850" s="64" t="str">
        <f t="shared" si="6"/>
        <v/>
      </c>
    </row>
    <row r="851">
      <c r="A851" s="74"/>
      <c r="B851" s="75"/>
      <c r="C851" s="76"/>
      <c r="F851" s="71"/>
      <c r="G851" s="77"/>
      <c r="J851" s="78"/>
      <c r="K851" s="63"/>
      <c r="L851" s="63"/>
      <c r="M851" s="63"/>
      <c r="N851" s="63"/>
      <c r="O851" s="63"/>
      <c r="P851" s="63"/>
      <c r="Q851" s="63"/>
      <c r="R851" s="63"/>
      <c r="S851" s="63"/>
      <c r="U851" s="71"/>
      <c r="V851" s="71"/>
      <c r="Z851" s="71"/>
      <c r="BW851" s="64"/>
      <c r="BX851" s="64"/>
      <c r="BY851" s="64"/>
      <c r="BZ851" s="66"/>
      <c r="CA851" s="64"/>
      <c r="CB851" s="64"/>
      <c r="CC851" s="64"/>
      <c r="CD851" s="64"/>
      <c r="CE851" s="64"/>
      <c r="CF851" s="64"/>
      <c r="CG851" s="64" t="str">
        <f t="shared" si="6"/>
        <v/>
      </c>
    </row>
    <row r="852">
      <c r="A852" s="74"/>
      <c r="B852" s="75"/>
      <c r="C852" s="76"/>
      <c r="F852" s="71"/>
      <c r="G852" s="77"/>
      <c r="J852" s="78"/>
      <c r="K852" s="63"/>
      <c r="L852" s="63"/>
      <c r="M852" s="63"/>
      <c r="N852" s="63"/>
      <c r="O852" s="63"/>
      <c r="P852" s="63"/>
      <c r="Q852" s="63"/>
      <c r="R852" s="63"/>
      <c r="S852" s="63"/>
      <c r="U852" s="71"/>
      <c r="V852" s="71"/>
      <c r="Z852" s="71"/>
      <c r="BW852" s="64"/>
      <c r="BX852" s="64"/>
      <c r="BY852" s="64"/>
      <c r="BZ852" s="66"/>
      <c r="CA852" s="64"/>
      <c r="CB852" s="64"/>
      <c r="CC852" s="64"/>
      <c r="CD852" s="64"/>
      <c r="CE852" s="64"/>
      <c r="CF852" s="64"/>
      <c r="CG852" s="64" t="str">
        <f t="shared" si="6"/>
        <v/>
      </c>
    </row>
    <row r="853">
      <c r="A853" s="74"/>
      <c r="B853" s="75"/>
      <c r="C853" s="76"/>
      <c r="F853" s="71"/>
      <c r="G853" s="77"/>
      <c r="J853" s="78"/>
      <c r="K853" s="63"/>
      <c r="L853" s="63"/>
      <c r="M853" s="63"/>
      <c r="N853" s="63"/>
      <c r="O853" s="63"/>
      <c r="P853" s="63"/>
      <c r="Q853" s="63"/>
      <c r="R853" s="63"/>
      <c r="S853" s="63"/>
      <c r="U853" s="71"/>
      <c r="V853" s="71"/>
      <c r="Z853" s="71"/>
      <c r="BW853" s="64"/>
      <c r="BX853" s="64"/>
      <c r="BY853" s="64"/>
      <c r="BZ853" s="66"/>
      <c r="CA853" s="64"/>
      <c r="CB853" s="64"/>
      <c r="CC853" s="64"/>
      <c r="CD853" s="64"/>
      <c r="CE853" s="64"/>
      <c r="CF853" s="64"/>
      <c r="CG853" s="64" t="str">
        <f t="shared" si="6"/>
        <v/>
      </c>
    </row>
    <row r="854">
      <c r="A854" s="74"/>
      <c r="B854" s="75"/>
      <c r="C854" s="76"/>
      <c r="F854" s="71"/>
      <c r="G854" s="77"/>
      <c r="J854" s="78"/>
      <c r="K854" s="63"/>
      <c r="L854" s="63"/>
      <c r="M854" s="63"/>
      <c r="N854" s="63"/>
      <c r="O854" s="63"/>
      <c r="P854" s="63"/>
      <c r="Q854" s="63"/>
      <c r="R854" s="63"/>
      <c r="S854" s="63"/>
      <c r="U854" s="71"/>
      <c r="V854" s="71"/>
      <c r="Z854" s="71"/>
      <c r="BW854" s="64"/>
      <c r="BX854" s="64"/>
      <c r="BY854" s="64"/>
      <c r="BZ854" s="66"/>
      <c r="CA854" s="64"/>
      <c r="CB854" s="64"/>
      <c r="CC854" s="64"/>
      <c r="CD854" s="64"/>
      <c r="CE854" s="64"/>
      <c r="CF854" s="64"/>
      <c r="CG854" s="64" t="str">
        <f t="shared" si="6"/>
        <v/>
      </c>
    </row>
    <row r="855">
      <c r="A855" s="74"/>
      <c r="B855" s="75"/>
      <c r="C855" s="76"/>
      <c r="F855" s="71"/>
      <c r="G855" s="77"/>
      <c r="J855" s="78"/>
      <c r="K855" s="63"/>
      <c r="L855" s="63"/>
      <c r="M855" s="63"/>
      <c r="N855" s="63"/>
      <c r="O855" s="63"/>
      <c r="P855" s="63"/>
      <c r="Q855" s="63"/>
      <c r="R855" s="63"/>
      <c r="S855" s="63"/>
      <c r="U855" s="71"/>
      <c r="V855" s="71"/>
      <c r="Z855" s="71"/>
      <c r="BW855" s="64"/>
      <c r="BX855" s="64"/>
      <c r="BY855" s="64"/>
      <c r="BZ855" s="66"/>
      <c r="CA855" s="64"/>
      <c r="CB855" s="64"/>
      <c r="CC855" s="64"/>
      <c r="CD855" s="64"/>
      <c r="CE855" s="64"/>
      <c r="CF855" s="64"/>
      <c r="CG855" s="64" t="str">
        <f t="shared" si="6"/>
        <v/>
      </c>
    </row>
    <row r="856">
      <c r="A856" s="74"/>
      <c r="B856" s="75"/>
      <c r="C856" s="76"/>
      <c r="F856" s="71"/>
      <c r="G856" s="77"/>
      <c r="J856" s="78"/>
      <c r="K856" s="63"/>
      <c r="L856" s="63"/>
      <c r="M856" s="63"/>
      <c r="N856" s="63"/>
      <c r="O856" s="63"/>
      <c r="P856" s="63"/>
      <c r="Q856" s="63"/>
      <c r="R856" s="63"/>
      <c r="S856" s="63"/>
      <c r="U856" s="71"/>
      <c r="V856" s="71"/>
      <c r="Z856" s="71"/>
      <c r="BW856" s="64"/>
      <c r="BX856" s="64"/>
      <c r="BY856" s="64"/>
      <c r="BZ856" s="66"/>
      <c r="CA856" s="64"/>
      <c r="CB856" s="64"/>
      <c r="CC856" s="64"/>
      <c r="CD856" s="64"/>
      <c r="CE856" s="64"/>
      <c r="CF856" s="64"/>
      <c r="CG856" s="64" t="str">
        <f t="shared" si="6"/>
        <v/>
      </c>
    </row>
    <row r="857">
      <c r="A857" s="74"/>
      <c r="B857" s="75"/>
      <c r="C857" s="76"/>
      <c r="F857" s="71"/>
      <c r="G857" s="77"/>
      <c r="J857" s="78"/>
      <c r="K857" s="63"/>
      <c r="L857" s="63"/>
      <c r="M857" s="63"/>
      <c r="N857" s="63"/>
      <c r="O857" s="63"/>
      <c r="P857" s="63"/>
      <c r="Q857" s="63"/>
      <c r="R857" s="63"/>
      <c r="S857" s="63"/>
      <c r="U857" s="71"/>
      <c r="V857" s="71"/>
      <c r="Z857" s="71"/>
      <c r="BW857" s="64"/>
      <c r="BX857" s="64"/>
      <c r="BY857" s="64"/>
      <c r="BZ857" s="66"/>
      <c r="CA857" s="64"/>
      <c r="CB857" s="64"/>
      <c r="CC857" s="64"/>
      <c r="CD857" s="64"/>
      <c r="CE857" s="64"/>
      <c r="CF857" s="64"/>
      <c r="CG857" s="64" t="str">
        <f t="shared" si="6"/>
        <v/>
      </c>
    </row>
    <row r="858">
      <c r="A858" s="74"/>
      <c r="B858" s="75"/>
      <c r="C858" s="76"/>
      <c r="F858" s="71"/>
      <c r="G858" s="77"/>
      <c r="J858" s="78"/>
      <c r="K858" s="63"/>
      <c r="L858" s="63"/>
      <c r="M858" s="63"/>
      <c r="N858" s="63"/>
      <c r="O858" s="63"/>
      <c r="P858" s="63"/>
      <c r="Q858" s="63"/>
      <c r="R858" s="63"/>
      <c r="S858" s="63"/>
      <c r="U858" s="71"/>
      <c r="V858" s="71"/>
      <c r="Z858" s="71"/>
      <c r="BW858" s="64"/>
      <c r="BX858" s="64"/>
      <c r="BY858" s="64"/>
      <c r="BZ858" s="66"/>
      <c r="CA858" s="64"/>
      <c r="CB858" s="64"/>
      <c r="CC858" s="64"/>
      <c r="CD858" s="64"/>
      <c r="CE858" s="64"/>
      <c r="CF858" s="64"/>
      <c r="CG858" s="64" t="str">
        <f t="shared" si="6"/>
        <v/>
      </c>
    </row>
    <row r="859">
      <c r="A859" s="74"/>
      <c r="B859" s="75"/>
      <c r="C859" s="76"/>
      <c r="F859" s="71"/>
      <c r="G859" s="77"/>
      <c r="J859" s="78"/>
      <c r="K859" s="63"/>
      <c r="L859" s="63"/>
      <c r="M859" s="63"/>
      <c r="N859" s="63"/>
      <c r="O859" s="63"/>
      <c r="P859" s="63"/>
      <c r="Q859" s="63"/>
      <c r="R859" s="63"/>
      <c r="S859" s="63"/>
      <c r="U859" s="71"/>
      <c r="V859" s="71"/>
      <c r="Z859" s="71"/>
      <c r="BW859" s="64"/>
      <c r="BX859" s="64"/>
      <c r="BY859" s="64"/>
      <c r="BZ859" s="66"/>
      <c r="CA859" s="64"/>
      <c r="CB859" s="64"/>
      <c r="CC859" s="64"/>
      <c r="CD859" s="64"/>
      <c r="CE859" s="64"/>
      <c r="CF859" s="64"/>
      <c r="CG859" s="64" t="str">
        <f t="shared" si="6"/>
        <v/>
      </c>
    </row>
    <row r="860">
      <c r="A860" s="74"/>
      <c r="B860" s="75"/>
      <c r="C860" s="76"/>
      <c r="F860" s="71"/>
      <c r="G860" s="77"/>
      <c r="J860" s="78"/>
      <c r="K860" s="63"/>
      <c r="L860" s="63"/>
      <c r="M860" s="63"/>
      <c r="N860" s="63"/>
      <c r="O860" s="63"/>
      <c r="P860" s="63"/>
      <c r="Q860" s="63"/>
      <c r="R860" s="63"/>
      <c r="S860" s="63"/>
      <c r="U860" s="71"/>
      <c r="V860" s="71"/>
      <c r="Z860" s="71"/>
      <c r="BW860" s="64"/>
      <c r="BX860" s="64"/>
      <c r="BY860" s="64"/>
      <c r="BZ860" s="66"/>
      <c r="CA860" s="64"/>
      <c r="CB860" s="64"/>
      <c r="CC860" s="64"/>
      <c r="CD860" s="64"/>
      <c r="CE860" s="64"/>
      <c r="CF860" s="64"/>
      <c r="CG860" s="64" t="str">
        <f t="shared" si="6"/>
        <v/>
      </c>
    </row>
    <row r="861">
      <c r="A861" s="74"/>
      <c r="B861" s="75"/>
      <c r="C861" s="76"/>
      <c r="F861" s="71"/>
      <c r="G861" s="77"/>
      <c r="J861" s="78"/>
      <c r="K861" s="63"/>
      <c r="L861" s="63"/>
      <c r="M861" s="63"/>
      <c r="N861" s="63"/>
      <c r="O861" s="63"/>
      <c r="P861" s="63"/>
      <c r="Q861" s="63"/>
      <c r="R861" s="63"/>
      <c r="S861" s="63"/>
      <c r="U861" s="71"/>
      <c r="V861" s="71"/>
      <c r="Z861" s="71"/>
      <c r="BW861" s="64"/>
      <c r="BX861" s="64"/>
      <c r="BY861" s="64"/>
      <c r="BZ861" s="66"/>
      <c r="CA861" s="64"/>
      <c r="CB861" s="64"/>
      <c r="CC861" s="64"/>
      <c r="CD861" s="64"/>
      <c r="CE861" s="64"/>
      <c r="CF861" s="64"/>
      <c r="CG861" s="64" t="str">
        <f t="shared" si="6"/>
        <v/>
      </c>
    </row>
    <row r="862">
      <c r="A862" s="74"/>
      <c r="B862" s="75"/>
      <c r="C862" s="76"/>
      <c r="F862" s="71"/>
      <c r="G862" s="77"/>
      <c r="J862" s="78"/>
      <c r="K862" s="63"/>
      <c r="L862" s="63"/>
      <c r="M862" s="63"/>
      <c r="N862" s="63"/>
      <c r="O862" s="63"/>
      <c r="P862" s="63"/>
      <c r="Q862" s="63"/>
      <c r="R862" s="63"/>
      <c r="S862" s="63"/>
      <c r="U862" s="71"/>
      <c r="V862" s="71"/>
      <c r="Z862" s="71"/>
      <c r="BW862" s="64"/>
      <c r="BX862" s="64"/>
      <c r="BY862" s="64"/>
      <c r="BZ862" s="66"/>
      <c r="CA862" s="64"/>
      <c r="CB862" s="64"/>
      <c r="CC862" s="64"/>
      <c r="CD862" s="64"/>
      <c r="CE862" s="64"/>
      <c r="CF862" s="64"/>
      <c r="CG862" s="64" t="str">
        <f t="shared" si="6"/>
        <v/>
      </c>
    </row>
    <row r="863">
      <c r="A863" s="74"/>
      <c r="B863" s="75"/>
      <c r="C863" s="76"/>
      <c r="F863" s="71"/>
      <c r="G863" s="77"/>
      <c r="J863" s="78"/>
      <c r="K863" s="63"/>
      <c r="L863" s="63"/>
      <c r="M863" s="63"/>
      <c r="N863" s="63"/>
      <c r="O863" s="63"/>
      <c r="P863" s="63"/>
      <c r="Q863" s="63"/>
      <c r="R863" s="63"/>
      <c r="S863" s="63"/>
      <c r="U863" s="71"/>
      <c r="V863" s="71"/>
      <c r="Z863" s="71"/>
      <c r="BW863" s="64"/>
      <c r="BX863" s="64"/>
      <c r="BY863" s="64"/>
      <c r="BZ863" s="66"/>
      <c r="CA863" s="64"/>
      <c r="CB863" s="64"/>
      <c r="CC863" s="64"/>
      <c r="CD863" s="64"/>
      <c r="CE863" s="64"/>
      <c r="CF863" s="64"/>
      <c r="CG863" s="64" t="str">
        <f t="shared" si="6"/>
        <v/>
      </c>
    </row>
    <row r="864">
      <c r="A864" s="74"/>
      <c r="B864" s="75"/>
      <c r="C864" s="76"/>
      <c r="F864" s="71"/>
      <c r="G864" s="77"/>
      <c r="J864" s="78"/>
      <c r="K864" s="63"/>
      <c r="L864" s="63"/>
      <c r="M864" s="63"/>
      <c r="N864" s="63"/>
      <c r="O864" s="63"/>
      <c r="P864" s="63"/>
      <c r="Q864" s="63"/>
      <c r="R864" s="63"/>
      <c r="S864" s="63"/>
      <c r="U864" s="71"/>
      <c r="V864" s="71"/>
      <c r="Z864" s="71"/>
      <c r="BW864" s="64"/>
      <c r="BX864" s="64"/>
      <c r="BY864" s="64"/>
      <c r="BZ864" s="66"/>
      <c r="CA864" s="64"/>
      <c r="CB864" s="64"/>
      <c r="CC864" s="64"/>
      <c r="CD864" s="64"/>
      <c r="CE864" s="64"/>
      <c r="CF864" s="64"/>
      <c r="CG864" s="64" t="str">
        <f t="shared" si="6"/>
        <v/>
      </c>
    </row>
    <row r="865">
      <c r="A865" s="74"/>
      <c r="B865" s="75"/>
      <c r="C865" s="76"/>
      <c r="F865" s="71"/>
      <c r="G865" s="77"/>
      <c r="J865" s="78"/>
      <c r="K865" s="63"/>
      <c r="L865" s="63"/>
      <c r="M865" s="63"/>
      <c r="N865" s="63"/>
      <c r="O865" s="63"/>
      <c r="P865" s="63"/>
      <c r="Q865" s="63"/>
      <c r="R865" s="63"/>
      <c r="S865" s="63"/>
      <c r="U865" s="71"/>
      <c r="V865" s="71"/>
      <c r="Z865" s="71"/>
      <c r="BW865" s="64"/>
      <c r="BX865" s="64"/>
      <c r="BY865" s="64"/>
      <c r="BZ865" s="66"/>
      <c r="CA865" s="64"/>
      <c r="CB865" s="64"/>
      <c r="CC865" s="64"/>
      <c r="CD865" s="64"/>
      <c r="CE865" s="64"/>
      <c r="CF865" s="64"/>
      <c r="CG865" s="64" t="str">
        <f t="shared" si="6"/>
        <v/>
      </c>
    </row>
    <row r="866">
      <c r="A866" s="74"/>
      <c r="B866" s="75"/>
      <c r="C866" s="76"/>
      <c r="F866" s="71"/>
      <c r="G866" s="77"/>
      <c r="J866" s="78"/>
      <c r="K866" s="63"/>
      <c r="L866" s="63"/>
      <c r="M866" s="63"/>
      <c r="N866" s="63"/>
      <c r="O866" s="63"/>
      <c r="P866" s="63"/>
      <c r="Q866" s="63"/>
      <c r="R866" s="63"/>
      <c r="S866" s="63"/>
      <c r="U866" s="71"/>
      <c r="V866" s="71"/>
      <c r="Z866" s="71"/>
      <c r="BW866" s="64"/>
      <c r="BX866" s="64"/>
      <c r="BY866" s="64"/>
      <c r="BZ866" s="66"/>
      <c r="CA866" s="64"/>
      <c r="CB866" s="64"/>
      <c r="CC866" s="64"/>
      <c r="CD866" s="64"/>
      <c r="CE866" s="64"/>
      <c r="CF866" s="64"/>
      <c r="CG866" s="64" t="str">
        <f t="shared" si="6"/>
        <v/>
      </c>
    </row>
    <row r="867">
      <c r="A867" s="74"/>
      <c r="B867" s="75"/>
      <c r="C867" s="76"/>
      <c r="F867" s="71"/>
      <c r="G867" s="77"/>
      <c r="J867" s="78"/>
      <c r="K867" s="63"/>
      <c r="L867" s="63"/>
      <c r="M867" s="63"/>
      <c r="N867" s="63"/>
      <c r="O867" s="63"/>
      <c r="P867" s="63"/>
      <c r="Q867" s="63"/>
      <c r="R867" s="63"/>
      <c r="S867" s="63"/>
      <c r="U867" s="71"/>
      <c r="V867" s="71"/>
      <c r="Z867" s="71"/>
      <c r="BW867" s="64"/>
      <c r="BX867" s="64"/>
      <c r="BY867" s="64"/>
      <c r="BZ867" s="66"/>
      <c r="CA867" s="64"/>
      <c r="CB867" s="64"/>
      <c r="CC867" s="64"/>
      <c r="CD867" s="64"/>
      <c r="CE867" s="64"/>
      <c r="CF867" s="64"/>
      <c r="CG867" s="64" t="str">
        <f t="shared" si="6"/>
        <v/>
      </c>
    </row>
    <row r="868">
      <c r="A868" s="74"/>
      <c r="B868" s="75"/>
      <c r="C868" s="76"/>
      <c r="F868" s="71"/>
      <c r="G868" s="77"/>
      <c r="J868" s="78"/>
      <c r="K868" s="63"/>
      <c r="L868" s="63"/>
      <c r="M868" s="63"/>
      <c r="N868" s="63"/>
      <c r="O868" s="63"/>
      <c r="P868" s="63"/>
      <c r="Q868" s="63"/>
      <c r="R868" s="63"/>
      <c r="S868" s="63"/>
      <c r="U868" s="71"/>
      <c r="V868" s="71"/>
      <c r="Z868" s="71"/>
      <c r="BW868" s="64"/>
      <c r="BX868" s="64"/>
      <c r="BY868" s="64"/>
      <c r="BZ868" s="66"/>
      <c r="CA868" s="64"/>
      <c r="CB868" s="64"/>
      <c r="CC868" s="64"/>
      <c r="CD868" s="64"/>
      <c r="CE868" s="64"/>
      <c r="CF868" s="64"/>
      <c r="CG868" s="64" t="str">
        <f t="shared" si="6"/>
        <v/>
      </c>
    </row>
    <row r="869">
      <c r="A869" s="74"/>
      <c r="B869" s="75"/>
      <c r="C869" s="76"/>
      <c r="F869" s="71"/>
      <c r="G869" s="77"/>
      <c r="J869" s="78"/>
      <c r="K869" s="63"/>
      <c r="L869" s="63"/>
      <c r="M869" s="63"/>
      <c r="N869" s="63"/>
      <c r="O869" s="63"/>
      <c r="P869" s="63"/>
      <c r="Q869" s="63"/>
      <c r="R869" s="63"/>
      <c r="S869" s="63"/>
      <c r="U869" s="71"/>
      <c r="V869" s="71"/>
      <c r="Z869" s="71"/>
      <c r="BW869" s="64"/>
      <c r="BX869" s="64"/>
      <c r="BY869" s="64"/>
      <c r="BZ869" s="66"/>
      <c r="CA869" s="64"/>
      <c r="CB869" s="64"/>
      <c r="CC869" s="64"/>
      <c r="CD869" s="64"/>
      <c r="CE869" s="64"/>
      <c r="CF869" s="64"/>
      <c r="CG869" s="64" t="str">
        <f t="shared" si="6"/>
        <v/>
      </c>
    </row>
    <row r="870">
      <c r="A870" s="74"/>
      <c r="B870" s="75"/>
      <c r="C870" s="76"/>
      <c r="F870" s="71"/>
      <c r="G870" s="77"/>
      <c r="J870" s="78"/>
      <c r="K870" s="63"/>
      <c r="L870" s="63"/>
      <c r="M870" s="63"/>
      <c r="N870" s="63"/>
      <c r="O870" s="63"/>
      <c r="P870" s="63"/>
      <c r="Q870" s="63"/>
      <c r="R870" s="63"/>
      <c r="S870" s="63"/>
      <c r="U870" s="71"/>
      <c r="V870" s="71"/>
      <c r="Z870" s="71"/>
      <c r="BW870" s="64"/>
      <c r="BX870" s="64"/>
      <c r="BY870" s="64"/>
      <c r="BZ870" s="66"/>
      <c r="CA870" s="64"/>
      <c r="CB870" s="64"/>
      <c r="CC870" s="64"/>
      <c r="CD870" s="64"/>
      <c r="CE870" s="64"/>
      <c r="CF870" s="64"/>
      <c r="CG870" s="64" t="str">
        <f t="shared" si="6"/>
        <v/>
      </c>
    </row>
    <row r="871">
      <c r="A871" s="74"/>
      <c r="B871" s="75"/>
      <c r="C871" s="76"/>
      <c r="F871" s="71"/>
      <c r="G871" s="77"/>
      <c r="J871" s="78"/>
      <c r="K871" s="63"/>
      <c r="L871" s="63"/>
      <c r="M871" s="63"/>
      <c r="N871" s="63"/>
      <c r="O871" s="63"/>
      <c r="P871" s="63"/>
      <c r="Q871" s="63"/>
      <c r="R871" s="63"/>
      <c r="S871" s="63"/>
      <c r="U871" s="71"/>
      <c r="V871" s="71"/>
      <c r="Z871" s="71"/>
      <c r="BW871" s="64"/>
      <c r="BX871" s="64"/>
      <c r="BY871" s="64"/>
      <c r="BZ871" s="66"/>
      <c r="CA871" s="64"/>
      <c r="CB871" s="64"/>
      <c r="CC871" s="64"/>
      <c r="CD871" s="64"/>
      <c r="CE871" s="64"/>
      <c r="CF871" s="64"/>
      <c r="CG871" s="64" t="str">
        <f t="shared" si="6"/>
        <v/>
      </c>
    </row>
    <row r="872">
      <c r="A872" s="74"/>
      <c r="B872" s="75"/>
      <c r="C872" s="76"/>
      <c r="F872" s="71"/>
      <c r="G872" s="77"/>
      <c r="J872" s="78"/>
      <c r="K872" s="63"/>
      <c r="L872" s="63"/>
      <c r="M872" s="63"/>
      <c r="N872" s="63"/>
      <c r="O872" s="63"/>
      <c r="P872" s="63"/>
      <c r="Q872" s="63"/>
      <c r="R872" s="63"/>
      <c r="S872" s="63"/>
      <c r="U872" s="71"/>
      <c r="V872" s="71"/>
      <c r="Z872" s="71"/>
      <c r="BW872" s="64"/>
      <c r="BX872" s="64"/>
      <c r="BY872" s="64"/>
      <c r="BZ872" s="66"/>
      <c r="CA872" s="64"/>
      <c r="CB872" s="64"/>
      <c r="CC872" s="64"/>
      <c r="CD872" s="64"/>
      <c r="CE872" s="64"/>
      <c r="CF872" s="64"/>
      <c r="CG872" s="64" t="str">
        <f t="shared" si="6"/>
        <v/>
      </c>
    </row>
    <row r="873">
      <c r="A873" s="74"/>
      <c r="B873" s="75"/>
      <c r="C873" s="76"/>
      <c r="F873" s="71"/>
      <c r="G873" s="77"/>
      <c r="J873" s="78"/>
      <c r="K873" s="63"/>
      <c r="L873" s="63"/>
      <c r="M873" s="63"/>
      <c r="N873" s="63"/>
      <c r="O873" s="63"/>
      <c r="P873" s="63"/>
      <c r="Q873" s="63"/>
      <c r="R873" s="63"/>
      <c r="S873" s="63"/>
      <c r="U873" s="71"/>
      <c r="V873" s="71"/>
      <c r="Z873" s="71"/>
      <c r="BW873" s="64"/>
      <c r="BX873" s="64"/>
      <c r="BY873" s="64"/>
      <c r="BZ873" s="66"/>
      <c r="CA873" s="64"/>
      <c r="CB873" s="64"/>
      <c r="CC873" s="64"/>
      <c r="CD873" s="64"/>
      <c r="CE873" s="64"/>
      <c r="CF873" s="64"/>
      <c r="CG873" s="64" t="str">
        <f t="shared" si="6"/>
        <v/>
      </c>
    </row>
    <row r="874">
      <c r="A874" s="74"/>
      <c r="B874" s="75"/>
      <c r="C874" s="76"/>
      <c r="F874" s="71"/>
      <c r="G874" s="77"/>
      <c r="J874" s="78"/>
      <c r="K874" s="63"/>
      <c r="L874" s="63"/>
      <c r="M874" s="63"/>
      <c r="N874" s="63"/>
      <c r="O874" s="63"/>
      <c r="P874" s="63"/>
      <c r="Q874" s="63"/>
      <c r="R874" s="63"/>
      <c r="S874" s="63"/>
      <c r="U874" s="71"/>
      <c r="V874" s="71"/>
      <c r="Z874" s="71"/>
      <c r="BW874" s="64"/>
      <c r="BX874" s="64"/>
      <c r="BY874" s="64"/>
      <c r="BZ874" s="66"/>
      <c r="CA874" s="64"/>
      <c r="CB874" s="64"/>
      <c r="CC874" s="64"/>
      <c r="CD874" s="64"/>
      <c r="CE874" s="64"/>
      <c r="CF874" s="64"/>
      <c r="CG874" s="64" t="str">
        <f t="shared" si="6"/>
        <v/>
      </c>
    </row>
    <row r="875">
      <c r="A875" s="74"/>
      <c r="B875" s="75"/>
      <c r="C875" s="76"/>
      <c r="F875" s="71"/>
      <c r="G875" s="77"/>
      <c r="J875" s="78"/>
      <c r="K875" s="63"/>
      <c r="L875" s="63"/>
      <c r="M875" s="63"/>
      <c r="N875" s="63"/>
      <c r="O875" s="63"/>
      <c r="P875" s="63"/>
      <c r="Q875" s="63"/>
      <c r="R875" s="63"/>
      <c r="S875" s="63"/>
      <c r="U875" s="71"/>
      <c r="V875" s="71"/>
      <c r="Z875" s="71"/>
      <c r="BW875" s="64"/>
      <c r="BX875" s="64"/>
      <c r="BY875" s="64"/>
      <c r="BZ875" s="66"/>
      <c r="CA875" s="64"/>
      <c r="CB875" s="64"/>
      <c r="CC875" s="64"/>
      <c r="CD875" s="64"/>
      <c r="CE875" s="64"/>
      <c r="CF875" s="64"/>
      <c r="CG875" s="64" t="str">
        <f t="shared" si="6"/>
        <v/>
      </c>
    </row>
    <row r="876">
      <c r="A876" s="74"/>
      <c r="B876" s="75"/>
      <c r="C876" s="76"/>
      <c r="F876" s="71"/>
      <c r="G876" s="77"/>
      <c r="J876" s="78"/>
      <c r="K876" s="63"/>
      <c r="L876" s="63"/>
      <c r="M876" s="63"/>
      <c r="N876" s="63"/>
      <c r="O876" s="63"/>
      <c r="P876" s="63"/>
      <c r="Q876" s="63"/>
      <c r="R876" s="63"/>
      <c r="S876" s="63"/>
      <c r="U876" s="71"/>
      <c r="V876" s="71"/>
      <c r="Z876" s="71"/>
      <c r="BW876" s="64"/>
      <c r="BX876" s="64"/>
      <c r="BY876" s="64"/>
      <c r="BZ876" s="66"/>
      <c r="CA876" s="64"/>
      <c r="CB876" s="64"/>
      <c r="CC876" s="64"/>
      <c r="CD876" s="64"/>
      <c r="CE876" s="64"/>
      <c r="CF876" s="64"/>
      <c r="CG876" s="64" t="str">
        <f t="shared" si="6"/>
        <v/>
      </c>
    </row>
    <row r="877">
      <c r="A877" s="74"/>
      <c r="B877" s="75"/>
      <c r="C877" s="76"/>
      <c r="F877" s="71"/>
      <c r="G877" s="77"/>
      <c r="J877" s="78"/>
      <c r="K877" s="63"/>
      <c r="L877" s="63"/>
      <c r="M877" s="63"/>
      <c r="N877" s="63"/>
      <c r="O877" s="63"/>
      <c r="P877" s="63"/>
      <c r="Q877" s="63"/>
      <c r="R877" s="63"/>
      <c r="S877" s="63"/>
      <c r="U877" s="71"/>
      <c r="V877" s="71"/>
      <c r="Z877" s="71"/>
      <c r="BW877" s="64"/>
      <c r="BX877" s="64"/>
      <c r="BY877" s="64"/>
      <c r="BZ877" s="66"/>
      <c r="CA877" s="64"/>
      <c r="CB877" s="64"/>
      <c r="CC877" s="64"/>
      <c r="CD877" s="64"/>
      <c r="CE877" s="64"/>
      <c r="CF877" s="64"/>
      <c r="CG877" s="64" t="str">
        <f t="shared" si="6"/>
        <v/>
      </c>
    </row>
    <row r="878">
      <c r="A878" s="74"/>
      <c r="B878" s="75"/>
      <c r="C878" s="76"/>
      <c r="F878" s="71"/>
      <c r="G878" s="77"/>
      <c r="J878" s="78"/>
      <c r="K878" s="63"/>
      <c r="L878" s="63"/>
      <c r="M878" s="63"/>
      <c r="N878" s="63"/>
      <c r="O878" s="63"/>
      <c r="P878" s="63"/>
      <c r="Q878" s="63"/>
      <c r="R878" s="63"/>
      <c r="S878" s="63"/>
      <c r="U878" s="71"/>
      <c r="V878" s="71"/>
      <c r="Z878" s="71"/>
      <c r="BW878" s="64"/>
      <c r="BX878" s="64"/>
      <c r="BY878" s="64"/>
      <c r="BZ878" s="66"/>
      <c r="CA878" s="64"/>
      <c r="CB878" s="64"/>
      <c r="CC878" s="64"/>
      <c r="CD878" s="64"/>
      <c r="CE878" s="64"/>
      <c r="CF878" s="64"/>
      <c r="CG878" s="64" t="str">
        <f t="shared" si="6"/>
        <v/>
      </c>
    </row>
    <row r="879">
      <c r="A879" s="74"/>
      <c r="B879" s="75"/>
      <c r="C879" s="76"/>
      <c r="F879" s="71"/>
      <c r="G879" s="77"/>
      <c r="J879" s="78"/>
      <c r="K879" s="63"/>
      <c r="L879" s="63"/>
      <c r="M879" s="63"/>
      <c r="N879" s="63"/>
      <c r="O879" s="63"/>
      <c r="P879" s="63"/>
      <c r="Q879" s="63"/>
      <c r="R879" s="63"/>
      <c r="S879" s="63"/>
      <c r="U879" s="71"/>
      <c r="V879" s="71"/>
      <c r="Z879" s="71"/>
      <c r="BW879" s="64"/>
      <c r="BX879" s="64"/>
      <c r="BY879" s="64"/>
      <c r="BZ879" s="66"/>
      <c r="CA879" s="64"/>
      <c r="CB879" s="64"/>
      <c r="CC879" s="64"/>
      <c r="CD879" s="64"/>
      <c r="CE879" s="64"/>
      <c r="CF879" s="64"/>
      <c r="CG879" s="64" t="str">
        <f t="shared" si="6"/>
        <v/>
      </c>
    </row>
    <row r="880">
      <c r="A880" s="74"/>
      <c r="B880" s="75"/>
      <c r="C880" s="76"/>
      <c r="F880" s="71"/>
      <c r="G880" s="77"/>
      <c r="J880" s="78"/>
      <c r="K880" s="63"/>
      <c r="L880" s="63"/>
      <c r="M880" s="63"/>
      <c r="N880" s="63"/>
      <c r="O880" s="63"/>
      <c r="P880" s="63"/>
      <c r="Q880" s="63"/>
      <c r="R880" s="63"/>
      <c r="S880" s="63"/>
      <c r="U880" s="71"/>
      <c r="V880" s="71"/>
      <c r="Z880" s="71"/>
      <c r="BW880" s="64"/>
      <c r="BX880" s="64"/>
      <c r="BY880" s="64"/>
      <c r="BZ880" s="66"/>
      <c r="CA880" s="64"/>
      <c r="CB880" s="64"/>
      <c r="CC880" s="64"/>
      <c r="CD880" s="64"/>
      <c r="CE880" s="64"/>
      <c r="CF880" s="64"/>
      <c r="CG880" s="64" t="str">
        <f t="shared" si="6"/>
        <v/>
      </c>
    </row>
    <row r="881">
      <c r="A881" s="74"/>
      <c r="B881" s="75"/>
      <c r="C881" s="76"/>
      <c r="F881" s="71"/>
      <c r="G881" s="77"/>
      <c r="J881" s="78"/>
      <c r="K881" s="63"/>
      <c r="L881" s="63"/>
      <c r="M881" s="63"/>
      <c r="N881" s="63"/>
      <c r="O881" s="63"/>
      <c r="P881" s="63"/>
      <c r="Q881" s="63"/>
      <c r="R881" s="63"/>
      <c r="S881" s="63"/>
      <c r="U881" s="71"/>
      <c r="V881" s="71"/>
      <c r="Z881" s="71"/>
      <c r="BW881" s="64"/>
      <c r="BX881" s="64"/>
      <c r="BY881" s="64"/>
      <c r="BZ881" s="66"/>
      <c r="CA881" s="64"/>
      <c r="CB881" s="64"/>
      <c r="CC881" s="64"/>
      <c r="CD881" s="64"/>
      <c r="CE881" s="64"/>
      <c r="CF881" s="64"/>
      <c r="CG881" s="64" t="str">
        <f t="shared" si="6"/>
        <v/>
      </c>
    </row>
    <row r="882">
      <c r="A882" s="74"/>
      <c r="B882" s="75"/>
      <c r="C882" s="76"/>
      <c r="F882" s="71"/>
      <c r="G882" s="77"/>
      <c r="J882" s="78"/>
      <c r="K882" s="63"/>
      <c r="L882" s="63"/>
      <c r="M882" s="63"/>
      <c r="N882" s="63"/>
      <c r="O882" s="63"/>
      <c r="P882" s="63"/>
      <c r="Q882" s="63"/>
      <c r="R882" s="63"/>
      <c r="S882" s="63"/>
      <c r="U882" s="71"/>
      <c r="V882" s="71"/>
      <c r="Z882" s="71"/>
      <c r="BW882" s="64"/>
      <c r="BX882" s="64"/>
      <c r="BY882" s="64"/>
      <c r="BZ882" s="66"/>
      <c r="CA882" s="64"/>
      <c r="CB882" s="64"/>
      <c r="CC882" s="64"/>
      <c r="CD882" s="64"/>
      <c r="CE882" s="64"/>
      <c r="CF882" s="64"/>
      <c r="CG882" s="64" t="str">
        <f t="shared" si="6"/>
        <v/>
      </c>
    </row>
    <row r="883">
      <c r="A883" s="74"/>
      <c r="B883" s="75"/>
      <c r="C883" s="76"/>
      <c r="F883" s="71"/>
      <c r="G883" s="77"/>
      <c r="J883" s="78"/>
      <c r="K883" s="63"/>
      <c r="L883" s="63"/>
      <c r="M883" s="63"/>
      <c r="N883" s="63"/>
      <c r="O883" s="63"/>
      <c r="P883" s="63"/>
      <c r="Q883" s="63"/>
      <c r="R883" s="63"/>
      <c r="S883" s="63"/>
      <c r="U883" s="71"/>
      <c r="V883" s="71"/>
      <c r="Z883" s="71"/>
      <c r="BW883" s="64"/>
      <c r="BX883" s="64"/>
      <c r="BY883" s="64"/>
      <c r="BZ883" s="66"/>
      <c r="CA883" s="64"/>
      <c r="CB883" s="64"/>
      <c r="CC883" s="64"/>
      <c r="CD883" s="64"/>
      <c r="CE883" s="64"/>
      <c r="CF883" s="64"/>
      <c r="CG883" s="64" t="str">
        <f t="shared" si="6"/>
        <v/>
      </c>
    </row>
    <row r="884">
      <c r="A884" s="74"/>
      <c r="B884" s="75"/>
      <c r="C884" s="76"/>
      <c r="F884" s="71"/>
      <c r="G884" s="77"/>
      <c r="J884" s="78"/>
      <c r="K884" s="63"/>
      <c r="L884" s="63"/>
      <c r="M884" s="63"/>
      <c r="N884" s="63"/>
      <c r="O884" s="63"/>
      <c r="P884" s="63"/>
      <c r="Q884" s="63"/>
      <c r="R884" s="63"/>
      <c r="S884" s="63"/>
      <c r="U884" s="71"/>
      <c r="V884" s="71"/>
      <c r="Z884" s="71"/>
      <c r="BW884" s="64"/>
      <c r="BX884" s="64"/>
      <c r="BY884" s="64"/>
      <c r="BZ884" s="66"/>
      <c r="CA884" s="64"/>
      <c r="CB884" s="64"/>
      <c r="CC884" s="64"/>
      <c r="CD884" s="64"/>
      <c r="CE884" s="64"/>
      <c r="CF884" s="64"/>
      <c r="CG884" s="64" t="str">
        <f t="shared" si="6"/>
        <v/>
      </c>
    </row>
    <row r="885">
      <c r="A885" s="74"/>
      <c r="B885" s="75"/>
      <c r="C885" s="76"/>
      <c r="F885" s="71"/>
      <c r="G885" s="77"/>
      <c r="J885" s="78"/>
      <c r="K885" s="63"/>
      <c r="L885" s="63"/>
      <c r="M885" s="63"/>
      <c r="N885" s="63"/>
      <c r="O885" s="63"/>
      <c r="P885" s="63"/>
      <c r="Q885" s="63"/>
      <c r="R885" s="63"/>
      <c r="S885" s="63"/>
      <c r="U885" s="71"/>
      <c r="V885" s="71"/>
      <c r="Z885" s="71"/>
      <c r="BW885" s="64"/>
      <c r="BX885" s="64"/>
      <c r="BY885" s="64"/>
      <c r="BZ885" s="66"/>
      <c r="CA885" s="64"/>
      <c r="CB885" s="64"/>
      <c r="CC885" s="64"/>
      <c r="CD885" s="64"/>
      <c r="CE885" s="64"/>
      <c r="CF885" s="64"/>
      <c r="CG885" s="64" t="str">
        <f t="shared" si="6"/>
        <v/>
      </c>
    </row>
    <row r="886">
      <c r="A886" s="74"/>
      <c r="B886" s="75"/>
      <c r="C886" s="76"/>
      <c r="F886" s="71"/>
      <c r="G886" s="77"/>
      <c r="J886" s="78"/>
      <c r="K886" s="63"/>
      <c r="L886" s="63"/>
      <c r="M886" s="63"/>
      <c r="N886" s="63"/>
      <c r="O886" s="63"/>
      <c r="P886" s="63"/>
      <c r="Q886" s="63"/>
      <c r="R886" s="63"/>
      <c r="S886" s="63"/>
      <c r="U886" s="71"/>
      <c r="V886" s="71"/>
      <c r="Z886" s="71"/>
      <c r="BW886" s="64"/>
      <c r="BX886" s="64"/>
      <c r="BY886" s="64"/>
      <c r="BZ886" s="66"/>
      <c r="CA886" s="64"/>
      <c r="CB886" s="64"/>
      <c r="CC886" s="64"/>
      <c r="CD886" s="64"/>
      <c r="CE886" s="64"/>
      <c r="CF886" s="64"/>
      <c r="CG886" s="64" t="str">
        <f t="shared" si="6"/>
        <v/>
      </c>
    </row>
    <row r="887">
      <c r="A887" s="74"/>
      <c r="B887" s="75"/>
      <c r="C887" s="76"/>
      <c r="F887" s="71"/>
      <c r="G887" s="77"/>
      <c r="J887" s="78"/>
      <c r="K887" s="63"/>
      <c r="L887" s="63"/>
      <c r="M887" s="63"/>
      <c r="N887" s="63"/>
      <c r="O887" s="63"/>
      <c r="P887" s="63"/>
      <c r="Q887" s="63"/>
      <c r="R887" s="63"/>
      <c r="S887" s="63"/>
      <c r="U887" s="71"/>
      <c r="V887" s="71"/>
      <c r="Z887" s="71"/>
      <c r="BW887" s="64"/>
      <c r="BX887" s="64"/>
      <c r="BY887" s="64"/>
      <c r="BZ887" s="66"/>
      <c r="CA887" s="64"/>
      <c r="CB887" s="64"/>
      <c r="CC887" s="64"/>
      <c r="CD887" s="64"/>
      <c r="CE887" s="64"/>
      <c r="CF887" s="64"/>
      <c r="CG887" s="64" t="str">
        <f t="shared" si="6"/>
        <v/>
      </c>
    </row>
    <row r="888">
      <c r="A888" s="74"/>
      <c r="B888" s="75"/>
      <c r="C888" s="76"/>
      <c r="F888" s="71"/>
      <c r="G888" s="77"/>
      <c r="J888" s="78"/>
      <c r="K888" s="63"/>
      <c r="L888" s="63"/>
      <c r="M888" s="63"/>
      <c r="N888" s="63"/>
      <c r="O888" s="63"/>
      <c r="P888" s="63"/>
      <c r="Q888" s="63"/>
      <c r="R888" s="63"/>
      <c r="S888" s="63"/>
      <c r="U888" s="71"/>
      <c r="V888" s="71"/>
      <c r="Z888" s="71"/>
      <c r="BW888" s="64"/>
      <c r="BX888" s="64"/>
      <c r="BY888" s="64"/>
      <c r="BZ888" s="66"/>
      <c r="CA888" s="64"/>
      <c r="CB888" s="64"/>
      <c r="CC888" s="64"/>
      <c r="CD888" s="64"/>
      <c r="CE888" s="64"/>
      <c r="CF888" s="64"/>
      <c r="CG888" s="64" t="str">
        <f t="shared" si="6"/>
        <v/>
      </c>
    </row>
    <row r="889">
      <c r="A889" s="74"/>
      <c r="B889" s="75"/>
      <c r="C889" s="76"/>
      <c r="F889" s="71"/>
      <c r="G889" s="77"/>
      <c r="J889" s="78"/>
      <c r="K889" s="63"/>
      <c r="L889" s="63"/>
      <c r="M889" s="63"/>
      <c r="N889" s="63"/>
      <c r="O889" s="63"/>
      <c r="P889" s="63"/>
      <c r="Q889" s="63"/>
      <c r="R889" s="63"/>
      <c r="S889" s="63"/>
      <c r="U889" s="71"/>
      <c r="V889" s="71"/>
      <c r="Z889" s="71"/>
      <c r="BW889" s="64"/>
      <c r="BX889" s="64"/>
      <c r="BY889" s="64"/>
      <c r="BZ889" s="66"/>
      <c r="CA889" s="64"/>
      <c r="CB889" s="64"/>
      <c r="CC889" s="64"/>
      <c r="CD889" s="64"/>
      <c r="CE889" s="64"/>
      <c r="CF889" s="64"/>
      <c r="CG889" s="64" t="str">
        <f t="shared" si="6"/>
        <v/>
      </c>
    </row>
    <row r="890">
      <c r="A890" s="74"/>
      <c r="B890" s="75"/>
      <c r="C890" s="76"/>
      <c r="F890" s="71"/>
      <c r="G890" s="77"/>
      <c r="J890" s="78"/>
      <c r="K890" s="63"/>
      <c r="L890" s="63"/>
      <c r="M890" s="63"/>
      <c r="N890" s="63"/>
      <c r="O890" s="63"/>
      <c r="P890" s="63"/>
      <c r="Q890" s="63"/>
      <c r="R890" s="63"/>
      <c r="S890" s="63"/>
      <c r="U890" s="71"/>
      <c r="V890" s="71"/>
      <c r="Z890" s="71"/>
      <c r="BW890" s="64"/>
      <c r="BX890" s="64"/>
      <c r="BY890" s="64"/>
      <c r="BZ890" s="66"/>
      <c r="CA890" s="64"/>
      <c r="CB890" s="64"/>
      <c r="CC890" s="64"/>
      <c r="CD890" s="64"/>
      <c r="CE890" s="64"/>
      <c r="CF890" s="64"/>
      <c r="CG890" s="64" t="str">
        <f t="shared" si="6"/>
        <v/>
      </c>
    </row>
    <row r="891">
      <c r="A891" s="74"/>
      <c r="B891" s="75"/>
      <c r="C891" s="76"/>
      <c r="F891" s="71"/>
      <c r="G891" s="77"/>
      <c r="J891" s="78"/>
      <c r="K891" s="63"/>
      <c r="L891" s="63"/>
      <c r="M891" s="63"/>
      <c r="N891" s="63"/>
      <c r="O891" s="63"/>
      <c r="P891" s="63"/>
      <c r="Q891" s="63"/>
      <c r="R891" s="63"/>
      <c r="S891" s="63"/>
      <c r="U891" s="71"/>
      <c r="V891" s="71"/>
      <c r="Z891" s="71"/>
      <c r="BW891" s="64"/>
      <c r="BX891" s="64"/>
      <c r="BY891" s="64"/>
      <c r="BZ891" s="66"/>
      <c r="CA891" s="64"/>
      <c r="CB891" s="64"/>
      <c r="CC891" s="64"/>
      <c r="CD891" s="64"/>
      <c r="CE891" s="64"/>
      <c r="CF891" s="64"/>
      <c r="CG891" s="64" t="str">
        <f t="shared" si="6"/>
        <v/>
      </c>
    </row>
    <row r="892">
      <c r="A892" s="74"/>
      <c r="B892" s="75"/>
      <c r="C892" s="76"/>
      <c r="F892" s="71"/>
      <c r="G892" s="77"/>
      <c r="J892" s="78"/>
      <c r="K892" s="63"/>
      <c r="L892" s="63"/>
      <c r="M892" s="63"/>
      <c r="N892" s="63"/>
      <c r="O892" s="63"/>
      <c r="P892" s="63"/>
      <c r="Q892" s="63"/>
      <c r="R892" s="63"/>
      <c r="S892" s="63"/>
      <c r="U892" s="71"/>
      <c r="V892" s="71"/>
      <c r="Z892" s="71"/>
      <c r="BW892" s="64"/>
      <c r="BX892" s="64"/>
      <c r="BY892" s="64"/>
      <c r="BZ892" s="66"/>
      <c r="CA892" s="64"/>
      <c r="CB892" s="64"/>
      <c r="CC892" s="64"/>
      <c r="CD892" s="64"/>
      <c r="CE892" s="64"/>
      <c r="CF892" s="64"/>
      <c r="CG892" s="64" t="str">
        <f t="shared" si="6"/>
        <v/>
      </c>
    </row>
    <row r="893">
      <c r="A893" s="74"/>
      <c r="B893" s="75"/>
      <c r="C893" s="76"/>
      <c r="F893" s="71"/>
      <c r="G893" s="77"/>
      <c r="J893" s="78"/>
      <c r="K893" s="63"/>
      <c r="L893" s="63"/>
      <c r="M893" s="63"/>
      <c r="N893" s="63"/>
      <c r="O893" s="63"/>
      <c r="P893" s="63"/>
      <c r="Q893" s="63"/>
      <c r="R893" s="63"/>
      <c r="S893" s="63"/>
      <c r="U893" s="71"/>
      <c r="V893" s="71"/>
      <c r="Z893" s="71"/>
      <c r="BW893" s="64"/>
      <c r="BX893" s="64"/>
      <c r="BY893" s="64"/>
      <c r="BZ893" s="66"/>
      <c r="CA893" s="64"/>
      <c r="CB893" s="64"/>
      <c r="CC893" s="64"/>
      <c r="CD893" s="64"/>
      <c r="CE893" s="64"/>
      <c r="CF893" s="64"/>
      <c r="CG893" s="64" t="str">
        <f t="shared" si="6"/>
        <v/>
      </c>
    </row>
    <row r="894">
      <c r="A894" s="74"/>
      <c r="B894" s="75"/>
      <c r="C894" s="76"/>
      <c r="F894" s="71"/>
      <c r="G894" s="77"/>
      <c r="J894" s="78"/>
      <c r="K894" s="63"/>
      <c r="L894" s="63"/>
      <c r="M894" s="63"/>
      <c r="N894" s="63"/>
      <c r="O894" s="63"/>
      <c r="P894" s="63"/>
      <c r="Q894" s="63"/>
      <c r="R894" s="63"/>
      <c r="S894" s="63"/>
      <c r="U894" s="71"/>
      <c r="V894" s="71"/>
      <c r="Z894" s="71"/>
      <c r="BW894" s="64"/>
      <c r="BX894" s="64"/>
      <c r="BY894" s="64"/>
      <c r="BZ894" s="66"/>
      <c r="CA894" s="64"/>
      <c r="CB894" s="64"/>
      <c r="CC894" s="64"/>
      <c r="CD894" s="64"/>
      <c r="CE894" s="64"/>
      <c r="CF894" s="64"/>
      <c r="CG894" s="64" t="str">
        <f t="shared" si="6"/>
        <v/>
      </c>
    </row>
    <row r="895">
      <c r="A895" s="74"/>
      <c r="B895" s="75"/>
      <c r="C895" s="76"/>
      <c r="F895" s="71"/>
      <c r="G895" s="77"/>
      <c r="J895" s="78"/>
      <c r="K895" s="63"/>
      <c r="L895" s="63"/>
      <c r="M895" s="63"/>
      <c r="N895" s="63"/>
      <c r="O895" s="63"/>
      <c r="P895" s="63"/>
      <c r="Q895" s="63"/>
      <c r="R895" s="63"/>
      <c r="S895" s="63"/>
      <c r="U895" s="71"/>
      <c r="V895" s="71"/>
      <c r="Z895" s="71"/>
      <c r="BW895" s="64"/>
      <c r="BX895" s="64"/>
      <c r="BY895" s="64"/>
      <c r="BZ895" s="66"/>
      <c r="CA895" s="64"/>
      <c r="CB895" s="64"/>
      <c r="CC895" s="64"/>
      <c r="CD895" s="64"/>
      <c r="CE895" s="64"/>
      <c r="CF895" s="64"/>
      <c r="CG895" s="64" t="str">
        <f t="shared" si="6"/>
        <v/>
      </c>
    </row>
    <row r="896">
      <c r="A896" s="74"/>
      <c r="B896" s="75"/>
      <c r="C896" s="76"/>
      <c r="F896" s="71"/>
      <c r="G896" s="77"/>
      <c r="J896" s="78"/>
      <c r="K896" s="63"/>
      <c r="L896" s="63"/>
      <c r="M896" s="63"/>
      <c r="N896" s="63"/>
      <c r="O896" s="63"/>
      <c r="P896" s="63"/>
      <c r="Q896" s="63"/>
      <c r="R896" s="63"/>
      <c r="S896" s="63"/>
      <c r="U896" s="71"/>
      <c r="V896" s="71"/>
      <c r="Z896" s="71"/>
      <c r="BW896" s="64"/>
      <c r="BX896" s="64"/>
      <c r="BY896" s="64"/>
      <c r="BZ896" s="66"/>
      <c r="CA896" s="64"/>
      <c r="CB896" s="64"/>
      <c r="CC896" s="64"/>
      <c r="CD896" s="64"/>
      <c r="CE896" s="64"/>
      <c r="CF896" s="64"/>
      <c r="CG896" s="64" t="str">
        <f t="shared" si="6"/>
        <v/>
      </c>
    </row>
    <row r="897">
      <c r="A897" s="74"/>
      <c r="B897" s="75"/>
      <c r="C897" s="76"/>
      <c r="F897" s="71"/>
      <c r="G897" s="77"/>
      <c r="J897" s="78"/>
      <c r="K897" s="63"/>
      <c r="L897" s="63"/>
      <c r="M897" s="63"/>
      <c r="N897" s="63"/>
      <c r="O897" s="63"/>
      <c r="P897" s="63"/>
      <c r="Q897" s="63"/>
      <c r="R897" s="63"/>
      <c r="S897" s="63"/>
      <c r="U897" s="71"/>
      <c r="V897" s="71"/>
      <c r="Z897" s="71"/>
      <c r="BW897" s="64"/>
      <c r="BX897" s="64"/>
      <c r="BY897" s="64"/>
      <c r="BZ897" s="66"/>
      <c r="CA897" s="64"/>
      <c r="CB897" s="64"/>
      <c r="CC897" s="64"/>
      <c r="CD897" s="64"/>
      <c r="CE897" s="64"/>
      <c r="CF897" s="64"/>
      <c r="CG897" s="64" t="str">
        <f t="shared" si="6"/>
        <v/>
      </c>
    </row>
    <row r="898">
      <c r="A898" s="74"/>
      <c r="B898" s="75"/>
      <c r="C898" s="76"/>
      <c r="F898" s="71"/>
      <c r="G898" s="77"/>
      <c r="J898" s="78"/>
      <c r="K898" s="63"/>
      <c r="L898" s="63"/>
      <c r="M898" s="63"/>
      <c r="N898" s="63"/>
      <c r="O898" s="63"/>
      <c r="P898" s="63"/>
      <c r="Q898" s="63"/>
      <c r="R898" s="63"/>
      <c r="S898" s="63"/>
      <c r="U898" s="71"/>
      <c r="V898" s="71"/>
      <c r="Z898" s="71"/>
      <c r="BW898" s="64"/>
      <c r="BX898" s="64"/>
      <c r="BY898" s="64"/>
      <c r="BZ898" s="66"/>
      <c r="CA898" s="64"/>
      <c r="CB898" s="64"/>
      <c r="CC898" s="64"/>
      <c r="CD898" s="64"/>
      <c r="CE898" s="64"/>
      <c r="CF898" s="64"/>
      <c r="CG898" s="64" t="str">
        <f t="shared" si="6"/>
        <v/>
      </c>
    </row>
    <row r="899">
      <c r="A899" s="74"/>
      <c r="B899" s="75"/>
      <c r="C899" s="76"/>
      <c r="F899" s="71"/>
      <c r="G899" s="77"/>
      <c r="J899" s="78"/>
      <c r="K899" s="63"/>
      <c r="L899" s="63"/>
      <c r="M899" s="63"/>
      <c r="N899" s="63"/>
      <c r="O899" s="63"/>
      <c r="P899" s="63"/>
      <c r="Q899" s="63"/>
      <c r="R899" s="63"/>
      <c r="S899" s="63"/>
      <c r="U899" s="71"/>
      <c r="V899" s="71"/>
      <c r="Z899" s="71"/>
      <c r="BW899" s="64"/>
      <c r="BX899" s="64"/>
      <c r="BY899" s="64"/>
      <c r="BZ899" s="66"/>
      <c r="CA899" s="64"/>
      <c r="CB899" s="64"/>
      <c r="CC899" s="64"/>
      <c r="CD899" s="64"/>
      <c r="CE899" s="64"/>
      <c r="CF899" s="64"/>
      <c r="CG899" s="64" t="str">
        <f t="shared" si="6"/>
        <v/>
      </c>
    </row>
    <row r="900">
      <c r="A900" s="74"/>
      <c r="B900" s="75"/>
      <c r="C900" s="76"/>
      <c r="F900" s="71"/>
      <c r="G900" s="77"/>
      <c r="J900" s="78"/>
      <c r="K900" s="63"/>
      <c r="L900" s="63"/>
      <c r="M900" s="63"/>
      <c r="N900" s="63"/>
      <c r="O900" s="63"/>
      <c r="P900" s="63"/>
      <c r="Q900" s="63"/>
      <c r="R900" s="63"/>
      <c r="S900" s="63"/>
      <c r="U900" s="71"/>
      <c r="V900" s="71"/>
      <c r="Z900" s="71"/>
      <c r="BW900" s="64"/>
      <c r="BX900" s="64"/>
      <c r="BY900" s="64"/>
      <c r="BZ900" s="66"/>
      <c r="CA900" s="64"/>
      <c r="CB900" s="64"/>
      <c r="CC900" s="64"/>
      <c r="CD900" s="64"/>
      <c r="CE900" s="64"/>
      <c r="CF900" s="64"/>
      <c r="CG900" s="64" t="str">
        <f t="shared" si="6"/>
        <v/>
      </c>
    </row>
    <row r="901">
      <c r="A901" s="74"/>
      <c r="B901" s="75"/>
      <c r="C901" s="76"/>
      <c r="F901" s="71"/>
      <c r="G901" s="77"/>
      <c r="J901" s="78"/>
      <c r="K901" s="63"/>
      <c r="L901" s="63"/>
      <c r="M901" s="63"/>
      <c r="N901" s="63"/>
      <c r="O901" s="63"/>
      <c r="P901" s="63"/>
      <c r="Q901" s="63"/>
      <c r="R901" s="63"/>
      <c r="S901" s="63"/>
      <c r="U901" s="71"/>
      <c r="V901" s="71"/>
      <c r="Z901" s="71"/>
      <c r="BW901" s="64"/>
      <c r="BX901" s="64"/>
      <c r="BY901" s="64"/>
      <c r="BZ901" s="66"/>
      <c r="CA901" s="64"/>
      <c r="CB901" s="64"/>
      <c r="CC901" s="64"/>
      <c r="CD901" s="64"/>
      <c r="CE901" s="64"/>
      <c r="CF901" s="64"/>
      <c r="CG901" s="64" t="str">
        <f t="shared" si="6"/>
        <v/>
      </c>
    </row>
    <row r="902">
      <c r="A902" s="74"/>
      <c r="B902" s="75"/>
      <c r="C902" s="76"/>
      <c r="F902" s="71"/>
      <c r="G902" s="77"/>
      <c r="J902" s="78"/>
      <c r="K902" s="63"/>
      <c r="L902" s="63"/>
      <c r="M902" s="63"/>
      <c r="N902" s="63"/>
      <c r="O902" s="63"/>
      <c r="P902" s="63"/>
      <c r="Q902" s="63"/>
      <c r="R902" s="63"/>
      <c r="S902" s="63"/>
      <c r="U902" s="71"/>
      <c r="V902" s="71"/>
      <c r="Z902" s="71"/>
      <c r="BW902" s="64"/>
      <c r="BX902" s="64"/>
      <c r="BY902" s="64"/>
      <c r="BZ902" s="66"/>
      <c r="CA902" s="64"/>
      <c r="CB902" s="64"/>
      <c r="CC902" s="64"/>
      <c r="CD902" s="64"/>
      <c r="CE902" s="64"/>
      <c r="CF902" s="64"/>
      <c r="CG902" s="64" t="str">
        <f t="shared" si="6"/>
        <v/>
      </c>
    </row>
    <row r="903">
      <c r="A903" s="74"/>
      <c r="B903" s="75"/>
      <c r="C903" s="76"/>
      <c r="F903" s="71"/>
      <c r="G903" s="77"/>
      <c r="J903" s="78"/>
      <c r="K903" s="63"/>
      <c r="L903" s="63"/>
      <c r="M903" s="63"/>
      <c r="N903" s="63"/>
      <c r="O903" s="63"/>
      <c r="P903" s="63"/>
      <c r="Q903" s="63"/>
      <c r="R903" s="63"/>
      <c r="S903" s="63"/>
      <c r="U903" s="71"/>
      <c r="V903" s="71"/>
      <c r="Z903" s="71"/>
      <c r="BW903" s="64"/>
      <c r="BX903" s="64"/>
      <c r="BY903" s="64"/>
      <c r="BZ903" s="66"/>
      <c r="CA903" s="64"/>
      <c r="CB903" s="64"/>
      <c r="CC903" s="64"/>
      <c r="CD903" s="64"/>
      <c r="CE903" s="64"/>
      <c r="CF903" s="64"/>
      <c r="CG903" s="64" t="str">
        <f t="shared" si="6"/>
        <v/>
      </c>
    </row>
    <row r="904">
      <c r="A904" s="74"/>
      <c r="B904" s="75"/>
      <c r="C904" s="76"/>
      <c r="F904" s="71"/>
      <c r="G904" s="77"/>
      <c r="J904" s="78"/>
      <c r="K904" s="63"/>
      <c r="L904" s="63"/>
      <c r="M904" s="63"/>
      <c r="N904" s="63"/>
      <c r="O904" s="63"/>
      <c r="P904" s="63"/>
      <c r="Q904" s="63"/>
      <c r="R904" s="63"/>
      <c r="S904" s="63"/>
      <c r="U904" s="71"/>
      <c r="V904" s="71"/>
      <c r="Z904" s="71"/>
      <c r="BW904" s="64"/>
      <c r="BX904" s="64"/>
      <c r="BY904" s="64"/>
      <c r="BZ904" s="66"/>
      <c r="CA904" s="64"/>
      <c r="CB904" s="64"/>
      <c r="CC904" s="64"/>
      <c r="CD904" s="64"/>
      <c r="CE904" s="64"/>
      <c r="CF904" s="64"/>
      <c r="CG904" s="64" t="str">
        <f t="shared" si="6"/>
        <v/>
      </c>
    </row>
    <row r="905">
      <c r="A905" s="74"/>
      <c r="B905" s="75"/>
      <c r="C905" s="76"/>
      <c r="F905" s="71"/>
      <c r="G905" s="77"/>
      <c r="J905" s="78"/>
      <c r="K905" s="63"/>
      <c r="L905" s="63"/>
      <c r="M905" s="63"/>
      <c r="N905" s="63"/>
      <c r="O905" s="63"/>
      <c r="P905" s="63"/>
      <c r="Q905" s="63"/>
      <c r="R905" s="63"/>
      <c r="S905" s="63"/>
      <c r="U905" s="71"/>
      <c r="V905" s="71"/>
      <c r="Z905" s="71"/>
      <c r="BW905" s="64"/>
      <c r="BX905" s="64"/>
      <c r="BY905" s="64"/>
      <c r="BZ905" s="66"/>
      <c r="CA905" s="64"/>
      <c r="CB905" s="64"/>
      <c r="CC905" s="64"/>
      <c r="CD905" s="64"/>
      <c r="CE905" s="64"/>
      <c r="CF905" s="64"/>
      <c r="CG905" s="64" t="str">
        <f t="shared" si="6"/>
        <v/>
      </c>
    </row>
    <row r="906">
      <c r="A906" s="74"/>
      <c r="B906" s="75"/>
      <c r="C906" s="76"/>
      <c r="F906" s="71"/>
      <c r="G906" s="77"/>
      <c r="J906" s="78"/>
      <c r="K906" s="63"/>
      <c r="L906" s="63"/>
      <c r="M906" s="63"/>
      <c r="N906" s="63"/>
      <c r="O906" s="63"/>
      <c r="P906" s="63"/>
      <c r="Q906" s="63"/>
      <c r="R906" s="63"/>
      <c r="S906" s="63"/>
      <c r="U906" s="71"/>
      <c r="V906" s="71"/>
      <c r="Z906" s="71"/>
      <c r="BW906" s="64"/>
      <c r="BX906" s="64"/>
      <c r="BY906" s="64"/>
      <c r="BZ906" s="66"/>
      <c r="CA906" s="64"/>
      <c r="CB906" s="64"/>
      <c r="CC906" s="64"/>
      <c r="CD906" s="64"/>
      <c r="CE906" s="64"/>
      <c r="CF906" s="64"/>
      <c r="CG906" s="64" t="str">
        <f t="shared" si="6"/>
        <v/>
      </c>
    </row>
    <row r="907">
      <c r="A907" s="74"/>
      <c r="B907" s="75"/>
      <c r="C907" s="76"/>
      <c r="F907" s="71"/>
      <c r="G907" s="77"/>
      <c r="J907" s="78"/>
      <c r="K907" s="63"/>
      <c r="L907" s="63"/>
      <c r="M907" s="63"/>
      <c r="N907" s="63"/>
      <c r="O907" s="63"/>
      <c r="P907" s="63"/>
      <c r="Q907" s="63"/>
      <c r="R907" s="63"/>
      <c r="S907" s="63"/>
      <c r="U907" s="71"/>
      <c r="V907" s="71"/>
      <c r="Z907" s="71"/>
      <c r="BW907" s="64"/>
      <c r="BX907" s="64"/>
      <c r="BY907" s="64"/>
      <c r="BZ907" s="66"/>
      <c r="CA907" s="64"/>
      <c r="CB907" s="64"/>
      <c r="CC907" s="64"/>
      <c r="CD907" s="64"/>
      <c r="CE907" s="64"/>
      <c r="CF907" s="64"/>
      <c r="CG907" s="64" t="str">
        <f t="shared" si="6"/>
        <v/>
      </c>
    </row>
    <row r="908">
      <c r="A908" s="74"/>
      <c r="B908" s="75"/>
      <c r="C908" s="76"/>
      <c r="F908" s="71"/>
      <c r="G908" s="77"/>
      <c r="J908" s="78"/>
      <c r="K908" s="63"/>
      <c r="L908" s="63"/>
      <c r="M908" s="63"/>
      <c r="N908" s="63"/>
      <c r="O908" s="63"/>
      <c r="P908" s="63"/>
      <c r="Q908" s="63"/>
      <c r="R908" s="63"/>
      <c r="S908" s="63"/>
      <c r="U908" s="71"/>
      <c r="V908" s="71"/>
      <c r="Z908" s="71"/>
      <c r="BW908" s="64"/>
      <c r="BX908" s="64"/>
      <c r="BY908" s="64"/>
      <c r="BZ908" s="66"/>
      <c r="CA908" s="64"/>
      <c r="CB908" s="64"/>
      <c r="CC908" s="64"/>
      <c r="CD908" s="64"/>
      <c r="CE908" s="64"/>
      <c r="CF908" s="64"/>
      <c r="CG908" s="64" t="str">
        <f t="shared" si="6"/>
        <v/>
      </c>
    </row>
    <row r="909">
      <c r="A909" s="74"/>
      <c r="B909" s="75"/>
      <c r="C909" s="76"/>
      <c r="F909" s="71"/>
      <c r="G909" s="77"/>
      <c r="J909" s="78"/>
      <c r="K909" s="63"/>
      <c r="L909" s="63"/>
      <c r="M909" s="63"/>
      <c r="N909" s="63"/>
      <c r="O909" s="63"/>
      <c r="P909" s="63"/>
      <c r="Q909" s="63"/>
      <c r="R909" s="63"/>
      <c r="S909" s="63"/>
      <c r="U909" s="71"/>
      <c r="V909" s="71"/>
      <c r="Z909" s="71"/>
      <c r="BW909" s="64"/>
      <c r="BX909" s="64"/>
      <c r="BY909" s="64"/>
      <c r="BZ909" s="66"/>
      <c r="CA909" s="64"/>
      <c r="CB909" s="64"/>
      <c r="CC909" s="64"/>
      <c r="CD909" s="64"/>
      <c r="CE909" s="64"/>
      <c r="CF909" s="64"/>
      <c r="CG909" s="64" t="str">
        <f t="shared" si="6"/>
        <v/>
      </c>
    </row>
    <row r="910">
      <c r="A910" s="74"/>
      <c r="B910" s="75"/>
      <c r="C910" s="76"/>
      <c r="F910" s="71"/>
      <c r="G910" s="77"/>
      <c r="J910" s="78"/>
      <c r="K910" s="63"/>
      <c r="L910" s="63"/>
      <c r="M910" s="63"/>
      <c r="N910" s="63"/>
      <c r="O910" s="63"/>
      <c r="P910" s="63"/>
      <c r="Q910" s="63"/>
      <c r="R910" s="63"/>
      <c r="S910" s="63"/>
      <c r="U910" s="71"/>
      <c r="V910" s="71"/>
      <c r="Z910" s="71"/>
      <c r="BW910" s="64"/>
      <c r="BX910" s="64"/>
      <c r="BY910" s="64"/>
      <c r="BZ910" s="66"/>
      <c r="CA910" s="64"/>
      <c r="CB910" s="64"/>
      <c r="CC910" s="64"/>
      <c r="CD910" s="64"/>
      <c r="CE910" s="64"/>
      <c r="CF910" s="64"/>
      <c r="CG910" s="64" t="str">
        <f t="shared" si="6"/>
        <v/>
      </c>
    </row>
    <row r="911">
      <c r="A911" s="74"/>
      <c r="B911" s="75"/>
      <c r="C911" s="76"/>
      <c r="F911" s="71"/>
      <c r="G911" s="77"/>
      <c r="J911" s="78"/>
      <c r="K911" s="63"/>
      <c r="L911" s="63"/>
      <c r="M911" s="63"/>
      <c r="N911" s="63"/>
      <c r="O911" s="63"/>
      <c r="P911" s="63"/>
      <c r="Q911" s="63"/>
      <c r="R911" s="63"/>
      <c r="S911" s="63"/>
      <c r="U911" s="71"/>
      <c r="V911" s="71"/>
      <c r="Z911" s="71"/>
      <c r="BW911" s="64"/>
      <c r="BX911" s="64"/>
      <c r="BY911" s="64"/>
      <c r="BZ911" s="66"/>
      <c r="CA911" s="64"/>
      <c r="CB911" s="64"/>
      <c r="CC911" s="64"/>
      <c r="CD911" s="64"/>
      <c r="CE911" s="64"/>
      <c r="CF911" s="64"/>
      <c r="CG911" s="64" t="str">
        <f t="shared" si="6"/>
        <v/>
      </c>
    </row>
    <row r="912">
      <c r="A912" s="74"/>
      <c r="B912" s="75"/>
      <c r="C912" s="76"/>
      <c r="F912" s="71"/>
      <c r="G912" s="77"/>
      <c r="J912" s="78"/>
      <c r="K912" s="63"/>
      <c r="L912" s="63"/>
      <c r="M912" s="63"/>
      <c r="N912" s="63"/>
      <c r="O912" s="63"/>
      <c r="P912" s="63"/>
      <c r="Q912" s="63"/>
      <c r="R912" s="63"/>
      <c r="S912" s="63"/>
      <c r="U912" s="71"/>
      <c r="V912" s="71"/>
      <c r="Z912" s="71"/>
      <c r="BW912" s="64"/>
      <c r="BX912" s="64"/>
      <c r="BY912" s="64"/>
      <c r="BZ912" s="66"/>
      <c r="CA912" s="64"/>
      <c r="CB912" s="64"/>
      <c r="CC912" s="64"/>
      <c r="CD912" s="64"/>
      <c r="CE912" s="64"/>
      <c r="CF912" s="64"/>
      <c r="CG912" s="64" t="str">
        <f t="shared" si="6"/>
        <v/>
      </c>
    </row>
    <row r="913">
      <c r="A913" s="74"/>
      <c r="B913" s="75"/>
      <c r="C913" s="76"/>
      <c r="F913" s="71"/>
      <c r="G913" s="77"/>
      <c r="J913" s="78"/>
      <c r="K913" s="63"/>
      <c r="L913" s="63"/>
      <c r="M913" s="63"/>
      <c r="N913" s="63"/>
      <c r="O913" s="63"/>
      <c r="P913" s="63"/>
      <c r="Q913" s="63"/>
      <c r="R913" s="63"/>
      <c r="S913" s="63"/>
      <c r="U913" s="71"/>
      <c r="V913" s="71"/>
      <c r="Z913" s="71"/>
      <c r="BW913" s="64"/>
      <c r="BX913" s="64"/>
      <c r="BY913" s="64"/>
      <c r="BZ913" s="66"/>
      <c r="CA913" s="64"/>
      <c r="CB913" s="64"/>
      <c r="CC913" s="64"/>
      <c r="CD913" s="64"/>
      <c r="CE913" s="64"/>
      <c r="CF913" s="64"/>
      <c r="CG913" s="64" t="str">
        <f t="shared" si="6"/>
        <v/>
      </c>
    </row>
    <row r="914">
      <c r="A914" s="74"/>
      <c r="B914" s="75"/>
      <c r="C914" s="76"/>
      <c r="F914" s="71"/>
      <c r="G914" s="77"/>
      <c r="J914" s="78"/>
      <c r="K914" s="63"/>
      <c r="L914" s="63"/>
      <c r="M914" s="63"/>
      <c r="N914" s="63"/>
      <c r="O914" s="63"/>
      <c r="P914" s="63"/>
      <c r="Q914" s="63"/>
      <c r="R914" s="63"/>
      <c r="S914" s="63"/>
      <c r="U914" s="71"/>
      <c r="V914" s="71"/>
      <c r="Z914" s="71"/>
      <c r="BW914" s="64"/>
      <c r="BX914" s="64"/>
      <c r="BY914" s="64"/>
      <c r="BZ914" s="66"/>
      <c r="CA914" s="64"/>
      <c r="CB914" s="64"/>
      <c r="CC914" s="64"/>
      <c r="CD914" s="64"/>
      <c r="CE914" s="64"/>
      <c r="CF914" s="64"/>
      <c r="CG914" s="64" t="str">
        <f t="shared" si="6"/>
        <v/>
      </c>
    </row>
    <row r="915">
      <c r="A915" s="74"/>
      <c r="B915" s="75"/>
      <c r="C915" s="76"/>
      <c r="F915" s="71"/>
      <c r="G915" s="77"/>
      <c r="J915" s="78"/>
      <c r="K915" s="63"/>
      <c r="L915" s="63"/>
      <c r="M915" s="63"/>
      <c r="N915" s="63"/>
      <c r="O915" s="63"/>
      <c r="P915" s="63"/>
      <c r="Q915" s="63"/>
      <c r="R915" s="63"/>
      <c r="S915" s="63"/>
      <c r="U915" s="71"/>
      <c r="V915" s="71"/>
      <c r="Z915" s="71"/>
      <c r="BW915" s="64"/>
      <c r="BX915" s="64"/>
      <c r="BY915" s="64"/>
      <c r="BZ915" s="66"/>
      <c r="CA915" s="64"/>
      <c r="CB915" s="64"/>
      <c r="CC915" s="64"/>
      <c r="CD915" s="64"/>
      <c r="CE915" s="64"/>
      <c r="CF915" s="64"/>
      <c r="CG915" s="64" t="str">
        <f t="shared" si="6"/>
        <v/>
      </c>
    </row>
    <row r="916">
      <c r="A916" s="74"/>
      <c r="B916" s="75"/>
      <c r="C916" s="76"/>
      <c r="F916" s="71"/>
      <c r="G916" s="77"/>
      <c r="J916" s="78"/>
      <c r="K916" s="63"/>
      <c r="L916" s="63"/>
      <c r="M916" s="63"/>
      <c r="N916" s="63"/>
      <c r="O916" s="63"/>
      <c r="P916" s="63"/>
      <c r="Q916" s="63"/>
      <c r="R916" s="63"/>
      <c r="S916" s="63"/>
      <c r="U916" s="71"/>
      <c r="V916" s="71"/>
      <c r="Z916" s="71"/>
      <c r="BW916" s="64"/>
      <c r="BX916" s="64"/>
      <c r="BY916" s="64"/>
      <c r="BZ916" s="66"/>
      <c r="CA916" s="64"/>
      <c r="CB916" s="64"/>
      <c r="CC916" s="64"/>
      <c r="CD916" s="64"/>
      <c r="CE916" s="64"/>
      <c r="CF916" s="64"/>
      <c r="CG916" s="64" t="str">
        <f t="shared" si="6"/>
        <v/>
      </c>
    </row>
    <row r="917">
      <c r="A917" s="74"/>
      <c r="B917" s="75"/>
      <c r="C917" s="76"/>
      <c r="F917" s="71"/>
      <c r="G917" s="77"/>
      <c r="J917" s="78"/>
      <c r="K917" s="63"/>
      <c r="L917" s="63"/>
      <c r="M917" s="63"/>
      <c r="N917" s="63"/>
      <c r="O917" s="63"/>
      <c r="P917" s="63"/>
      <c r="Q917" s="63"/>
      <c r="R917" s="63"/>
      <c r="S917" s="63"/>
      <c r="U917" s="71"/>
      <c r="V917" s="71"/>
      <c r="Z917" s="71"/>
      <c r="BW917" s="64"/>
      <c r="BX917" s="64"/>
      <c r="BY917" s="64"/>
      <c r="BZ917" s="66"/>
      <c r="CA917" s="64"/>
      <c r="CB917" s="64"/>
      <c r="CC917" s="64"/>
      <c r="CD917" s="64"/>
      <c r="CE917" s="64"/>
      <c r="CF917" s="64"/>
      <c r="CG917" s="64" t="str">
        <f t="shared" si="6"/>
        <v/>
      </c>
    </row>
    <row r="918">
      <c r="A918" s="74"/>
      <c r="B918" s="75"/>
      <c r="C918" s="76"/>
      <c r="F918" s="71"/>
      <c r="G918" s="77"/>
      <c r="J918" s="78"/>
      <c r="K918" s="63"/>
      <c r="L918" s="63"/>
      <c r="M918" s="63"/>
      <c r="N918" s="63"/>
      <c r="O918" s="63"/>
      <c r="P918" s="63"/>
      <c r="Q918" s="63"/>
      <c r="R918" s="63"/>
      <c r="S918" s="63"/>
      <c r="U918" s="71"/>
      <c r="V918" s="71"/>
      <c r="Z918" s="71"/>
      <c r="BW918" s="64"/>
      <c r="BX918" s="64"/>
      <c r="BY918" s="64"/>
      <c r="BZ918" s="66"/>
      <c r="CA918" s="64"/>
      <c r="CB918" s="64"/>
      <c r="CC918" s="64"/>
      <c r="CD918" s="64"/>
      <c r="CE918" s="64"/>
      <c r="CF918" s="64"/>
      <c r="CG918" s="64" t="str">
        <f t="shared" si="6"/>
        <v/>
      </c>
    </row>
    <row r="919">
      <c r="A919" s="74"/>
      <c r="B919" s="75"/>
      <c r="C919" s="76"/>
      <c r="F919" s="71"/>
      <c r="G919" s="77"/>
      <c r="J919" s="78"/>
      <c r="K919" s="63"/>
      <c r="L919" s="63"/>
      <c r="M919" s="63"/>
      <c r="N919" s="63"/>
      <c r="O919" s="63"/>
      <c r="P919" s="63"/>
      <c r="Q919" s="63"/>
      <c r="R919" s="63"/>
      <c r="S919" s="63"/>
      <c r="U919" s="71"/>
      <c r="V919" s="71"/>
      <c r="Z919" s="71"/>
      <c r="BW919" s="64"/>
      <c r="BX919" s="64"/>
      <c r="BY919" s="64"/>
      <c r="BZ919" s="66"/>
      <c r="CA919" s="64"/>
      <c r="CB919" s="64"/>
      <c r="CC919" s="64"/>
      <c r="CD919" s="64"/>
      <c r="CE919" s="64"/>
      <c r="CF919" s="64"/>
      <c r="CG919" s="64" t="str">
        <f t="shared" si="6"/>
        <v/>
      </c>
    </row>
    <row r="920">
      <c r="A920" s="74"/>
      <c r="B920" s="75"/>
      <c r="C920" s="76"/>
      <c r="F920" s="71"/>
      <c r="G920" s="77"/>
      <c r="J920" s="78"/>
      <c r="K920" s="63"/>
      <c r="L920" s="63"/>
      <c r="M920" s="63"/>
      <c r="N920" s="63"/>
      <c r="O920" s="63"/>
      <c r="P920" s="63"/>
      <c r="Q920" s="63"/>
      <c r="R920" s="63"/>
      <c r="S920" s="63"/>
      <c r="U920" s="71"/>
      <c r="V920" s="71"/>
      <c r="Z920" s="71"/>
      <c r="BW920" s="64"/>
      <c r="BX920" s="64"/>
      <c r="BY920" s="64"/>
      <c r="BZ920" s="66"/>
      <c r="CA920" s="64"/>
      <c r="CB920" s="64"/>
      <c r="CC920" s="64"/>
      <c r="CD920" s="64"/>
      <c r="CE920" s="64"/>
      <c r="CF920" s="64"/>
      <c r="CG920" s="64" t="str">
        <f t="shared" si="6"/>
        <v/>
      </c>
    </row>
    <row r="921">
      <c r="A921" s="74"/>
      <c r="B921" s="75"/>
      <c r="C921" s="76"/>
      <c r="F921" s="71"/>
      <c r="G921" s="77"/>
      <c r="J921" s="78"/>
      <c r="K921" s="63"/>
      <c r="L921" s="63"/>
      <c r="M921" s="63"/>
      <c r="N921" s="63"/>
      <c r="O921" s="63"/>
      <c r="P921" s="63"/>
      <c r="Q921" s="63"/>
      <c r="R921" s="63"/>
      <c r="S921" s="63"/>
      <c r="U921" s="71"/>
      <c r="V921" s="71"/>
      <c r="Z921" s="71"/>
      <c r="BW921" s="64"/>
      <c r="BX921" s="64"/>
      <c r="BY921" s="64"/>
      <c r="BZ921" s="66"/>
      <c r="CA921" s="64"/>
      <c r="CB921" s="64"/>
      <c r="CC921" s="64"/>
      <c r="CD921" s="64"/>
      <c r="CE921" s="64"/>
      <c r="CF921" s="64"/>
      <c r="CG921" s="64" t="str">
        <f t="shared" si="6"/>
        <v/>
      </c>
    </row>
    <row r="922">
      <c r="A922" s="74"/>
      <c r="B922" s="75"/>
      <c r="C922" s="76"/>
      <c r="F922" s="71"/>
      <c r="G922" s="77"/>
      <c r="J922" s="78"/>
      <c r="K922" s="63"/>
      <c r="L922" s="63"/>
      <c r="M922" s="63"/>
      <c r="N922" s="63"/>
      <c r="O922" s="63"/>
      <c r="P922" s="63"/>
      <c r="Q922" s="63"/>
      <c r="R922" s="63"/>
      <c r="S922" s="63"/>
      <c r="U922" s="71"/>
      <c r="V922" s="71"/>
      <c r="Z922" s="71"/>
      <c r="BW922" s="64"/>
      <c r="BX922" s="64"/>
      <c r="BY922" s="64"/>
      <c r="BZ922" s="66"/>
      <c r="CA922" s="64"/>
      <c r="CB922" s="64"/>
      <c r="CC922" s="64"/>
      <c r="CD922" s="64"/>
      <c r="CE922" s="64"/>
      <c r="CF922" s="64"/>
      <c r="CG922" s="64" t="str">
        <f t="shared" si="6"/>
        <v/>
      </c>
    </row>
    <row r="923">
      <c r="A923" s="74"/>
      <c r="B923" s="75"/>
      <c r="C923" s="76"/>
      <c r="F923" s="71"/>
      <c r="G923" s="77"/>
      <c r="J923" s="78"/>
      <c r="K923" s="63"/>
      <c r="L923" s="63"/>
      <c r="M923" s="63"/>
      <c r="N923" s="63"/>
      <c r="O923" s="63"/>
      <c r="P923" s="63"/>
      <c r="Q923" s="63"/>
      <c r="R923" s="63"/>
      <c r="S923" s="63"/>
      <c r="U923" s="71"/>
      <c r="V923" s="71"/>
      <c r="Z923" s="71"/>
      <c r="BW923" s="64"/>
      <c r="BX923" s="64"/>
      <c r="BY923" s="64"/>
      <c r="BZ923" s="66"/>
      <c r="CA923" s="64"/>
      <c r="CB923" s="64"/>
      <c r="CC923" s="64"/>
      <c r="CD923" s="64"/>
      <c r="CE923" s="64"/>
      <c r="CF923" s="64"/>
      <c r="CG923" s="64" t="str">
        <f t="shared" si="6"/>
        <v/>
      </c>
    </row>
    <row r="924">
      <c r="A924" s="74"/>
      <c r="B924" s="75"/>
      <c r="C924" s="76"/>
      <c r="F924" s="71"/>
      <c r="G924" s="77"/>
      <c r="J924" s="78"/>
      <c r="K924" s="63"/>
      <c r="L924" s="63"/>
      <c r="M924" s="63"/>
      <c r="N924" s="63"/>
      <c r="O924" s="63"/>
      <c r="P924" s="63"/>
      <c r="Q924" s="63"/>
      <c r="R924" s="63"/>
      <c r="S924" s="63"/>
      <c r="U924" s="71"/>
      <c r="V924" s="71"/>
      <c r="Z924" s="71"/>
      <c r="BW924" s="64"/>
      <c r="BX924" s="64"/>
      <c r="BY924" s="64"/>
      <c r="BZ924" s="66"/>
      <c r="CA924" s="64"/>
      <c r="CB924" s="64"/>
      <c r="CC924" s="64"/>
      <c r="CD924" s="64"/>
      <c r="CE924" s="64"/>
      <c r="CF924" s="64"/>
      <c r="CG924" s="64" t="str">
        <f t="shared" si="6"/>
        <v/>
      </c>
    </row>
    <row r="925">
      <c r="A925" s="74"/>
      <c r="B925" s="75"/>
      <c r="C925" s="76"/>
      <c r="F925" s="71"/>
      <c r="G925" s="77"/>
      <c r="J925" s="78"/>
      <c r="K925" s="63"/>
      <c r="L925" s="63"/>
      <c r="M925" s="63"/>
      <c r="N925" s="63"/>
      <c r="O925" s="63"/>
      <c r="P925" s="63"/>
      <c r="Q925" s="63"/>
      <c r="R925" s="63"/>
      <c r="S925" s="63"/>
      <c r="U925" s="71"/>
      <c r="V925" s="71"/>
      <c r="Z925" s="71"/>
      <c r="BW925" s="64"/>
      <c r="BX925" s="64"/>
      <c r="BY925" s="64"/>
      <c r="BZ925" s="66"/>
      <c r="CA925" s="64"/>
      <c r="CB925" s="64"/>
      <c r="CC925" s="64"/>
      <c r="CD925" s="64"/>
      <c r="CE925" s="64"/>
      <c r="CF925" s="64"/>
      <c r="CG925" s="64" t="str">
        <f t="shared" si="6"/>
        <v/>
      </c>
    </row>
    <row r="926">
      <c r="A926" s="74"/>
      <c r="B926" s="75"/>
      <c r="C926" s="76"/>
      <c r="F926" s="71"/>
      <c r="G926" s="77"/>
      <c r="J926" s="78"/>
      <c r="K926" s="63"/>
      <c r="L926" s="63"/>
      <c r="M926" s="63"/>
      <c r="N926" s="63"/>
      <c r="O926" s="63"/>
      <c r="P926" s="63"/>
      <c r="Q926" s="63"/>
      <c r="R926" s="63"/>
      <c r="S926" s="63"/>
      <c r="U926" s="71"/>
      <c r="V926" s="71"/>
      <c r="Z926" s="71"/>
      <c r="BW926" s="64"/>
      <c r="BX926" s="64"/>
      <c r="BY926" s="64"/>
      <c r="BZ926" s="66"/>
      <c r="CA926" s="64"/>
      <c r="CB926" s="64"/>
      <c r="CC926" s="64"/>
      <c r="CD926" s="64"/>
      <c r="CE926" s="64"/>
      <c r="CF926" s="64"/>
      <c r="CG926" s="64" t="str">
        <f t="shared" si="6"/>
        <v/>
      </c>
    </row>
    <row r="927">
      <c r="A927" s="74"/>
      <c r="B927" s="75"/>
      <c r="C927" s="76"/>
      <c r="F927" s="71"/>
      <c r="G927" s="77"/>
      <c r="J927" s="78"/>
      <c r="K927" s="63"/>
      <c r="L927" s="63"/>
      <c r="M927" s="63"/>
      <c r="N927" s="63"/>
      <c r="O927" s="63"/>
      <c r="P927" s="63"/>
      <c r="Q927" s="63"/>
      <c r="R927" s="63"/>
      <c r="S927" s="63"/>
      <c r="U927" s="71"/>
      <c r="V927" s="71"/>
      <c r="Z927" s="71"/>
      <c r="BW927" s="64"/>
      <c r="BX927" s="64"/>
      <c r="BY927" s="64"/>
      <c r="BZ927" s="66"/>
      <c r="CA927" s="64"/>
      <c r="CB927" s="64"/>
      <c r="CC927" s="64"/>
      <c r="CD927" s="64"/>
      <c r="CE927" s="64"/>
      <c r="CF927" s="64"/>
      <c r="CG927" s="64" t="str">
        <f t="shared" si="6"/>
        <v/>
      </c>
    </row>
    <row r="928">
      <c r="A928" s="74"/>
      <c r="B928" s="75"/>
      <c r="C928" s="76"/>
      <c r="F928" s="71"/>
      <c r="G928" s="77"/>
      <c r="J928" s="78"/>
      <c r="K928" s="63"/>
      <c r="L928" s="63"/>
      <c r="M928" s="63"/>
      <c r="N928" s="63"/>
      <c r="O928" s="63"/>
      <c r="P928" s="63"/>
      <c r="Q928" s="63"/>
      <c r="R928" s="63"/>
      <c r="S928" s="63"/>
      <c r="U928" s="71"/>
      <c r="V928" s="71"/>
      <c r="Z928" s="71"/>
      <c r="BW928" s="64"/>
      <c r="BX928" s="64"/>
      <c r="BY928" s="64"/>
      <c r="BZ928" s="66"/>
      <c r="CA928" s="64"/>
      <c r="CB928" s="64"/>
      <c r="CC928" s="64"/>
      <c r="CD928" s="64"/>
      <c r="CE928" s="64"/>
      <c r="CF928" s="64"/>
      <c r="CG928" s="64" t="str">
        <f t="shared" si="6"/>
        <v/>
      </c>
    </row>
    <row r="929">
      <c r="A929" s="74"/>
      <c r="B929" s="75"/>
      <c r="C929" s="76"/>
      <c r="F929" s="71"/>
      <c r="G929" s="77"/>
      <c r="J929" s="78"/>
      <c r="K929" s="63"/>
      <c r="L929" s="63"/>
      <c r="M929" s="63"/>
      <c r="N929" s="63"/>
      <c r="O929" s="63"/>
      <c r="P929" s="63"/>
      <c r="Q929" s="63"/>
      <c r="R929" s="63"/>
      <c r="S929" s="63"/>
      <c r="U929" s="71"/>
      <c r="V929" s="71"/>
      <c r="Z929" s="71"/>
      <c r="BW929" s="64"/>
      <c r="BX929" s="64"/>
      <c r="BY929" s="64"/>
      <c r="BZ929" s="66"/>
      <c r="CA929" s="64"/>
      <c r="CB929" s="64"/>
      <c r="CC929" s="64"/>
      <c r="CD929" s="64"/>
      <c r="CE929" s="64"/>
      <c r="CF929" s="64"/>
      <c r="CG929" s="64" t="str">
        <f t="shared" si="6"/>
        <v/>
      </c>
    </row>
    <row r="930">
      <c r="A930" s="74"/>
      <c r="B930" s="75"/>
      <c r="C930" s="76"/>
      <c r="F930" s="71"/>
      <c r="G930" s="77"/>
      <c r="J930" s="78"/>
      <c r="K930" s="63"/>
      <c r="L930" s="63"/>
      <c r="M930" s="63"/>
      <c r="N930" s="63"/>
      <c r="O930" s="63"/>
      <c r="P930" s="63"/>
      <c r="Q930" s="63"/>
      <c r="R930" s="63"/>
      <c r="S930" s="63"/>
      <c r="U930" s="71"/>
      <c r="V930" s="71"/>
      <c r="Z930" s="71"/>
      <c r="BW930" s="64"/>
      <c r="BX930" s="64"/>
      <c r="BY930" s="64"/>
      <c r="BZ930" s="66"/>
      <c r="CA930" s="64"/>
      <c r="CB930" s="64"/>
      <c r="CC930" s="64"/>
      <c r="CD930" s="64"/>
      <c r="CE930" s="64"/>
      <c r="CF930" s="64"/>
      <c r="CG930" s="64" t="str">
        <f t="shared" si="6"/>
        <v/>
      </c>
    </row>
    <row r="931">
      <c r="A931" s="74"/>
      <c r="B931" s="75"/>
      <c r="C931" s="76"/>
      <c r="F931" s="71"/>
      <c r="G931" s="77"/>
      <c r="J931" s="78"/>
      <c r="K931" s="63"/>
      <c r="L931" s="63"/>
      <c r="M931" s="63"/>
      <c r="N931" s="63"/>
      <c r="O931" s="63"/>
      <c r="P931" s="63"/>
      <c r="Q931" s="63"/>
      <c r="R931" s="63"/>
      <c r="S931" s="63"/>
      <c r="U931" s="71"/>
      <c r="V931" s="71"/>
      <c r="Z931" s="71"/>
      <c r="BW931" s="64"/>
      <c r="BX931" s="64"/>
      <c r="BY931" s="64"/>
      <c r="BZ931" s="66"/>
      <c r="CA931" s="64"/>
      <c r="CB931" s="64"/>
      <c r="CC931" s="64"/>
      <c r="CD931" s="64"/>
      <c r="CE931" s="64"/>
      <c r="CF931" s="64"/>
      <c r="CG931" s="64" t="str">
        <f t="shared" si="6"/>
        <v/>
      </c>
    </row>
    <row r="932">
      <c r="A932" s="74"/>
      <c r="B932" s="75"/>
      <c r="C932" s="76"/>
      <c r="F932" s="71"/>
      <c r="G932" s="77"/>
      <c r="J932" s="78"/>
      <c r="K932" s="63"/>
      <c r="L932" s="63"/>
      <c r="M932" s="63"/>
      <c r="N932" s="63"/>
      <c r="O932" s="63"/>
      <c r="P932" s="63"/>
      <c r="Q932" s="63"/>
      <c r="R932" s="63"/>
      <c r="S932" s="63"/>
      <c r="U932" s="71"/>
      <c r="V932" s="71"/>
      <c r="Z932" s="71"/>
      <c r="BW932" s="64"/>
      <c r="BX932" s="64"/>
      <c r="BY932" s="64"/>
      <c r="BZ932" s="66"/>
      <c r="CA932" s="64"/>
      <c r="CB932" s="64"/>
      <c r="CC932" s="64"/>
      <c r="CD932" s="64"/>
      <c r="CE932" s="64"/>
      <c r="CF932" s="64"/>
      <c r="CG932" s="64" t="str">
        <f t="shared" si="6"/>
        <v/>
      </c>
    </row>
    <row r="933">
      <c r="A933" s="74"/>
      <c r="B933" s="75"/>
      <c r="C933" s="76"/>
      <c r="F933" s="71"/>
      <c r="G933" s="77"/>
      <c r="J933" s="78"/>
      <c r="K933" s="63"/>
      <c r="L933" s="63"/>
      <c r="M933" s="63"/>
      <c r="N933" s="63"/>
      <c r="O933" s="63"/>
      <c r="P933" s="63"/>
      <c r="Q933" s="63"/>
      <c r="R933" s="63"/>
      <c r="S933" s="63"/>
      <c r="U933" s="71"/>
      <c r="V933" s="71"/>
      <c r="Z933" s="71"/>
      <c r="BW933" s="64"/>
      <c r="BX933" s="64"/>
      <c r="BY933" s="64"/>
      <c r="BZ933" s="66"/>
      <c r="CA933" s="64"/>
      <c r="CB933" s="64"/>
      <c r="CC933" s="64"/>
      <c r="CD933" s="64"/>
      <c r="CE933" s="64"/>
      <c r="CF933" s="64"/>
      <c r="CG933" s="64" t="str">
        <f t="shared" si="6"/>
        <v/>
      </c>
    </row>
    <row r="934">
      <c r="A934" s="74"/>
      <c r="B934" s="75"/>
      <c r="C934" s="76"/>
      <c r="F934" s="71"/>
      <c r="G934" s="77"/>
      <c r="J934" s="78"/>
      <c r="K934" s="63"/>
      <c r="L934" s="63"/>
      <c r="M934" s="63"/>
      <c r="N934" s="63"/>
      <c r="O934" s="63"/>
      <c r="P934" s="63"/>
      <c r="Q934" s="63"/>
      <c r="R934" s="63"/>
      <c r="S934" s="63"/>
      <c r="U934" s="71"/>
      <c r="V934" s="71"/>
      <c r="Z934" s="71"/>
      <c r="BW934" s="64"/>
      <c r="BX934" s="64"/>
      <c r="BY934" s="64"/>
      <c r="BZ934" s="66"/>
      <c r="CA934" s="64"/>
      <c r="CB934" s="64"/>
      <c r="CC934" s="64"/>
      <c r="CD934" s="64"/>
      <c r="CE934" s="64"/>
      <c r="CF934" s="64"/>
      <c r="CG934" s="64" t="str">
        <f t="shared" si="6"/>
        <v/>
      </c>
    </row>
    <row r="935">
      <c r="A935" s="74"/>
      <c r="B935" s="75"/>
      <c r="C935" s="76"/>
      <c r="F935" s="71"/>
      <c r="G935" s="77"/>
      <c r="J935" s="78"/>
      <c r="K935" s="63"/>
      <c r="L935" s="63"/>
      <c r="M935" s="63"/>
      <c r="N935" s="63"/>
      <c r="O935" s="63"/>
      <c r="P935" s="63"/>
      <c r="Q935" s="63"/>
      <c r="R935" s="63"/>
      <c r="S935" s="63"/>
      <c r="U935" s="71"/>
      <c r="V935" s="71"/>
      <c r="Z935" s="71"/>
      <c r="BW935" s="64"/>
      <c r="BX935" s="64"/>
      <c r="BY935" s="64"/>
      <c r="BZ935" s="66"/>
      <c r="CA935" s="64"/>
      <c r="CB935" s="64"/>
      <c r="CC935" s="64"/>
      <c r="CD935" s="64"/>
      <c r="CE935" s="64"/>
      <c r="CF935" s="64"/>
      <c r="CG935" s="64" t="str">
        <f t="shared" si="6"/>
        <v/>
      </c>
    </row>
    <row r="936">
      <c r="A936" s="74"/>
      <c r="B936" s="75"/>
      <c r="C936" s="76"/>
      <c r="F936" s="71"/>
      <c r="G936" s="77"/>
      <c r="J936" s="78"/>
      <c r="K936" s="63"/>
      <c r="L936" s="63"/>
      <c r="M936" s="63"/>
      <c r="N936" s="63"/>
      <c r="O936" s="63"/>
      <c r="P936" s="63"/>
      <c r="Q936" s="63"/>
      <c r="R936" s="63"/>
      <c r="S936" s="63"/>
      <c r="U936" s="71"/>
      <c r="V936" s="71"/>
      <c r="Z936" s="71"/>
      <c r="BW936" s="64"/>
      <c r="BX936" s="64"/>
      <c r="BY936" s="64"/>
      <c r="BZ936" s="66"/>
      <c r="CA936" s="64"/>
      <c r="CB936" s="64"/>
      <c r="CC936" s="64"/>
      <c r="CD936" s="64"/>
      <c r="CE936" s="64"/>
      <c r="CF936" s="64"/>
      <c r="CG936" s="64" t="str">
        <f t="shared" si="6"/>
        <v/>
      </c>
    </row>
    <row r="937">
      <c r="A937" s="74"/>
      <c r="B937" s="75"/>
      <c r="C937" s="76"/>
      <c r="F937" s="71"/>
      <c r="G937" s="77"/>
      <c r="J937" s="78"/>
      <c r="K937" s="63"/>
      <c r="L937" s="63"/>
      <c r="M937" s="63"/>
      <c r="N937" s="63"/>
      <c r="O937" s="63"/>
      <c r="P937" s="63"/>
      <c r="Q937" s="63"/>
      <c r="R937" s="63"/>
      <c r="S937" s="63"/>
      <c r="U937" s="71"/>
      <c r="V937" s="71"/>
      <c r="Z937" s="71"/>
      <c r="BW937" s="64"/>
      <c r="BX937" s="64"/>
      <c r="BY937" s="64"/>
      <c r="BZ937" s="66"/>
      <c r="CA937" s="64"/>
      <c r="CB937" s="64"/>
      <c r="CC937" s="64"/>
      <c r="CD937" s="64"/>
      <c r="CE937" s="64"/>
      <c r="CF937" s="64"/>
      <c r="CG937" s="64" t="str">
        <f t="shared" si="6"/>
        <v/>
      </c>
    </row>
    <row r="938">
      <c r="A938" s="74"/>
      <c r="B938" s="75"/>
      <c r="C938" s="76"/>
      <c r="F938" s="71"/>
      <c r="G938" s="77"/>
      <c r="J938" s="78"/>
      <c r="K938" s="63"/>
      <c r="L938" s="63"/>
      <c r="M938" s="63"/>
      <c r="N938" s="63"/>
      <c r="O938" s="63"/>
      <c r="P938" s="63"/>
      <c r="Q938" s="63"/>
      <c r="R938" s="63"/>
      <c r="S938" s="63"/>
      <c r="U938" s="71"/>
      <c r="V938" s="71"/>
      <c r="Z938" s="71"/>
      <c r="BW938" s="64"/>
      <c r="BX938" s="64"/>
      <c r="BY938" s="64"/>
      <c r="BZ938" s="66"/>
      <c r="CA938" s="64"/>
      <c r="CB938" s="64"/>
      <c r="CC938" s="64"/>
      <c r="CD938" s="64"/>
      <c r="CE938" s="64"/>
      <c r="CF938" s="64"/>
      <c r="CG938" s="64" t="str">
        <f t="shared" si="6"/>
        <v/>
      </c>
    </row>
    <row r="939">
      <c r="A939" s="74"/>
      <c r="B939" s="75"/>
      <c r="C939" s="76"/>
      <c r="F939" s="71"/>
      <c r="G939" s="77"/>
      <c r="J939" s="78"/>
      <c r="K939" s="63"/>
      <c r="L939" s="63"/>
      <c r="M939" s="63"/>
      <c r="N939" s="63"/>
      <c r="O939" s="63"/>
      <c r="P939" s="63"/>
      <c r="Q939" s="63"/>
      <c r="R939" s="63"/>
      <c r="S939" s="63"/>
      <c r="U939" s="71"/>
      <c r="V939" s="71"/>
      <c r="Z939" s="71"/>
      <c r="BW939" s="64"/>
      <c r="BX939" s="64"/>
      <c r="BY939" s="64"/>
      <c r="BZ939" s="66"/>
      <c r="CA939" s="64"/>
      <c r="CB939" s="64"/>
      <c r="CC939" s="64"/>
      <c r="CD939" s="64"/>
      <c r="CE939" s="64"/>
      <c r="CF939" s="64"/>
      <c r="CG939" s="64" t="str">
        <f t="shared" si="6"/>
        <v/>
      </c>
    </row>
    <row r="940">
      <c r="A940" s="74"/>
      <c r="B940" s="75"/>
      <c r="C940" s="76"/>
      <c r="F940" s="71"/>
      <c r="G940" s="77"/>
      <c r="J940" s="78"/>
      <c r="K940" s="63"/>
      <c r="L940" s="63"/>
      <c r="M940" s="63"/>
      <c r="N940" s="63"/>
      <c r="O940" s="63"/>
      <c r="P940" s="63"/>
      <c r="Q940" s="63"/>
      <c r="R940" s="63"/>
      <c r="S940" s="63"/>
      <c r="U940" s="71"/>
      <c r="V940" s="71"/>
      <c r="Z940" s="71"/>
      <c r="BW940" s="64"/>
      <c r="BX940" s="64"/>
      <c r="BY940" s="64"/>
      <c r="BZ940" s="66"/>
      <c r="CA940" s="64"/>
      <c r="CB940" s="64"/>
      <c r="CC940" s="64"/>
      <c r="CD940" s="64"/>
      <c r="CE940" s="64"/>
      <c r="CF940" s="64"/>
      <c r="CG940" s="64" t="str">
        <f t="shared" si="6"/>
        <v/>
      </c>
    </row>
    <row r="941">
      <c r="A941" s="74"/>
      <c r="B941" s="75"/>
      <c r="C941" s="76"/>
      <c r="F941" s="71"/>
      <c r="G941" s="77"/>
      <c r="J941" s="78"/>
      <c r="K941" s="63"/>
      <c r="L941" s="63"/>
      <c r="M941" s="63"/>
      <c r="N941" s="63"/>
      <c r="O941" s="63"/>
      <c r="P941" s="63"/>
      <c r="Q941" s="63"/>
      <c r="R941" s="63"/>
      <c r="S941" s="63"/>
      <c r="U941" s="71"/>
      <c r="V941" s="71"/>
      <c r="Z941" s="71"/>
      <c r="BW941" s="64"/>
      <c r="BX941" s="64"/>
      <c r="BY941" s="64"/>
      <c r="BZ941" s="66"/>
      <c r="CA941" s="64"/>
      <c r="CB941" s="64"/>
      <c r="CC941" s="64"/>
      <c r="CD941" s="64"/>
      <c r="CE941" s="64"/>
      <c r="CF941" s="64"/>
      <c r="CG941" s="64" t="str">
        <f t="shared" si="6"/>
        <v/>
      </c>
    </row>
    <row r="942">
      <c r="A942" s="74"/>
      <c r="B942" s="75"/>
      <c r="C942" s="76"/>
      <c r="F942" s="71"/>
      <c r="G942" s="77"/>
      <c r="J942" s="78"/>
      <c r="K942" s="63"/>
      <c r="L942" s="63"/>
      <c r="M942" s="63"/>
      <c r="N942" s="63"/>
      <c r="O942" s="63"/>
      <c r="P942" s="63"/>
      <c r="Q942" s="63"/>
      <c r="R942" s="63"/>
      <c r="S942" s="63"/>
      <c r="U942" s="71"/>
      <c r="V942" s="71"/>
      <c r="Z942" s="71"/>
      <c r="BW942" s="64"/>
      <c r="BX942" s="64"/>
      <c r="BY942" s="64"/>
      <c r="BZ942" s="66"/>
      <c r="CA942" s="64"/>
      <c r="CB942" s="64"/>
      <c r="CC942" s="64"/>
      <c r="CD942" s="64"/>
      <c r="CE942" s="64"/>
      <c r="CF942" s="64"/>
      <c r="CG942" s="64" t="str">
        <f t="shared" si="6"/>
        <v/>
      </c>
    </row>
    <row r="943">
      <c r="A943" s="74"/>
      <c r="B943" s="75"/>
      <c r="C943" s="76"/>
      <c r="F943" s="71"/>
      <c r="G943" s="77"/>
      <c r="J943" s="78"/>
      <c r="K943" s="63"/>
      <c r="L943" s="63"/>
      <c r="M943" s="63"/>
      <c r="N943" s="63"/>
      <c r="O943" s="63"/>
      <c r="P943" s="63"/>
      <c r="Q943" s="63"/>
      <c r="R943" s="63"/>
      <c r="S943" s="63"/>
      <c r="U943" s="71"/>
      <c r="V943" s="71"/>
      <c r="Z943" s="71"/>
      <c r="BW943" s="64"/>
      <c r="BX943" s="64"/>
      <c r="BY943" s="64"/>
      <c r="BZ943" s="66"/>
      <c r="CA943" s="64"/>
      <c r="CB943" s="64"/>
      <c r="CC943" s="64"/>
      <c r="CD943" s="64"/>
      <c r="CE943" s="64"/>
      <c r="CF943" s="64"/>
      <c r="CG943" s="64" t="str">
        <f t="shared" si="6"/>
        <v/>
      </c>
    </row>
    <row r="944">
      <c r="A944" s="74"/>
      <c r="B944" s="75"/>
      <c r="C944" s="76"/>
      <c r="F944" s="71"/>
      <c r="G944" s="77"/>
      <c r="J944" s="78"/>
      <c r="K944" s="63"/>
      <c r="L944" s="63"/>
      <c r="M944" s="63"/>
      <c r="N944" s="63"/>
      <c r="O944" s="63"/>
      <c r="P944" s="63"/>
      <c r="Q944" s="63"/>
      <c r="R944" s="63"/>
      <c r="S944" s="63"/>
      <c r="U944" s="71"/>
      <c r="V944" s="71"/>
      <c r="Z944" s="71"/>
      <c r="BW944" s="64"/>
      <c r="BX944" s="64"/>
      <c r="BY944" s="64"/>
      <c r="BZ944" s="66"/>
      <c r="CA944" s="64"/>
      <c r="CB944" s="64"/>
      <c r="CC944" s="64"/>
      <c r="CD944" s="64"/>
      <c r="CE944" s="64"/>
      <c r="CF944" s="64"/>
      <c r="CG944" s="64" t="str">
        <f t="shared" si="6"/>
        <v/>
      </c>
    </row>
    <row r="945">
      <c r="A945" s="74"/>
      <c r="B945" s="75"/>
      <c r="C945" s="76"/>
      <c r="F945" s="71"/>
      <c r="G945" s="77"/>
      <c r="J945" s="78"/>
      <c r="K945" s="63"/>
      <c r="L945" s="63"/>
      <c r="M945" s="63"/>
      <c r="N945" s="63"/>
      <c r="O945" s="63"/>
      <c r="P945" s="63"/>
      <c r="Q945" s="63"/>
      <c r="R945" s="63"/>
      <c r="S945" s="63"/>
      <c r="U945" s="71"/>
      <c r="V945" s="71"/>
      <c r="Z945" s="71"/>
      <c r="BW945" s="64"/>
      <c r="BX945" s="64"/>
      <c r="BY945" s="64"/>
      <c r="BZ945" s="66"/>
      <c r="CA945" s="64"/>
      <c r="CB945" s="64"/>
      <c r="CC945" s="64"/>
      <c r="CD945" s="64"/>
      <c r="CE945" s="64"/>
      <c r="CF945" s="64"/>
      <c r="CG945" s="64" t="str">
        <f t="shared" si="6"/>
        <v/>
      </c>
    </row>
    <row r="946">
      <c r="A946" s="74"/>
      <c r="B946" s="75"/>
      <c r="C946" s="76"/>
      <c r="F946" s="71"/>
      <c r="G946" s="77"/>
      <c r="J946" s="78"/>
      <c r="K946" s="63"/>
      <c r="L946" s="63"/>
      <c r="M946" s="63"/>
      <c r="N946" s="63"/>
      <c r="O946" s="63"/>
      <c r="P946" s="63"/>
      <c r="Q946" s="63"/>
      <c r="R946" s="63"/>
      <c r="S946" s="63"/>
      <c r="U946" s="71"/>
      <c r="V946" s="71"/>
      <c r="Z946" s="71"/>
      <c r="BW946" s="64"/>
      <c r="BX946" s="64"/>
      <c r="BY946" s="64"/>
      <c r="BZ946" s="66"/>
      <c r="CA946" s="64"/>
      <c r="CB946" s="64"/>
      <c r="CC946" s="64"/>
      <c r="CD946" s="64"/>
      <c r="CE946" s="64"/>
      <c r="CF946" s="64"/>
      <c r="CG946" s="64" t="str">
        <f t="shared" si="6"/>
        <v/>
      </c>
    </row>
    <row r="947">
      <c r="A947" s="74"/>
      <c r="B947" s="75"/>
      <c r="C947" s="76"/>
      <c r="F947" s="71"/>
      <c r="G947" s="77"/>
      <c r="J947" s="78"/>
      <c r="K947" s="63"/>
      <c r="L947" s="63"/>
      <c r="M947" s="63"/>
      <c r="N947" s="63"/>
      <c r="O947" s="63"/>
      <c r="P947" s="63"/>
      <c r="Q947" s="63"/>
      <c r="R947" s="63"/>
      <c r="S947" s="63"/>
      <c r="U947" s="71"/>
      <c r="V947" s="71"/>
      <c r="Z947" s="71"/>
      <c r="BW947" s="64"/>
      <c r="BX947" s="64"/>
      <c r="BY947" s="64"/>
      <c r="BZ947" s="66"/>
      <c r="CA947" s="64"/>
      <c r="CB947" s="64"/>
      <c r="CC947" s="64"/>
      <c r="CD947" s="64"/>
      <c r="CE947" s="64"/>
      <c r="CF947" s="64"/>
      <c r="CG947" s="64" t="str">
        <f t="shared" si="6"/>
        <v/>
      </c>
    </row>
    <row r="948">
      <c r="A948" s="74"/>
      <c r="B948" s="75"/>
      <c r="C948" s="76"/>
      <c r="F948" s="71"/>
      <c r="G948" s="77"/>
      <c r="J948" s="78"/>
      <c r="K948" s="63"/>
      <c r="L948" s="63"/>
      <c r="M948" s="63"/>
      <c r="N948" s="63"/>
      <c r="O948" s="63"/>
      <c r="P948" s="63"/>
      <c r="Q948" s="63"/>
      <c r="R948" s="63"/>
      <c r="S948" s="63"/>
      <c r="U948" s="71"/>
      <c r="V948" s="71"/>
      <c r="Z948" s="71"/>
      <c r="BW948" s="64"/>
      <c r="BX948" s="64"/>
      <c r="BY948" s="64"/>
      <c r="BZ948" s="66"/>
      <c r="CA948" s="64"/>
      <c r="CB948" s="64"/>
      <c r="CC948" s="64"/>
      <c r="CD948" s="64"/>
      <c r="CE948" s="64"/>
      <c r="CF948" s="64"/>
      <c r="CG948" s="64" t="str">
        <f t="shared" si="6"/>
        <v/>
      </c>
    </row>
    <row r="949">
      <c r="A949" s="74"/>
      <c r="B949" s="75"/>
      <c r="C949" s="76"/>
      <c r="F949" s="71"/>
      <c r="G949" s="77"/>
      <c r="J949" s="78"/>
      <c r="K949" s="63"/>
      <c r="L949" s="63"/>
      <c r="M949" s="63"/>
      <c r="N949" s="63"/>
      <c r="O949" s="63"/>
      <c r="P949" s="63"/>
      <c r="Q949" s="63"/>
      <c r="R949" s="63"/>
      <c r="S949" s="63"/>
      <c r="U949" s="71"/>
      <c r="V949" s="71"/>
      <c r="Z949" s="71"/>
      <c r="BW949" s="64"/>
      <c r="BX949" s="64"/>
      <c r="BY949" s="64"/>
      <c r="BZ949" s="66"/>
      <c r="CA949" s="64"/>
      <c r="CB949" s="64"/>
      <c r="CC949" s="64"/>
      <c r="CD949" s="64"/>
      <c r="CE949" s="64"/>
      <c r="CF949" s="64"/>
      <c r="CG949" s="64" t="str">
        <f t="shared" si="6"/>
        <v/>
      </c>
    </row>
    <row r="950">
      <c r="A950" s="74"/>
      <c r="B950" s="75"/>
      <c r="C950" s="76"/>
      <c r="F950" s="71"/>
      <c r="G950" s="77"/>
      <c r="J950" s="78"/>
      <c r="K950" s="63"/>
      <c r="L950" s="63"/>
      <c r="M950" s="63"/>
      <c r="N950" s="63"/>
      <c r="O950" s="63"/>
      <c r="P950" s="63"/>
      <c r="Q950" s="63"/>
      <c r="R950" s="63"/>
      <c r="S950" s="63"/>
      <c r="U950" s="71"/>
      <c r="V950" s="71"/>
      <c r="Z950" s="71"/>
      <c r="BW950" s="64"/>
      <c r="BX950" s="64"/>
      <c r="BY950" s="64"/>
      <c r="BZ950" s="66"/>
      <c r="CA950" s="64"/>
      <c r="CB950" s="64"/>
      <c r="CC950" s="64"/>
      <c r="CD950" s="64"/>
      <c r="CE950" s="64"/>
      <c r="CF950" s="64"/>
      <c r="CG950" s="64" t="str">
        <f t="shared" si="6"/>
        <v/>
      </c>
    </row>
    <row r="951">
      <c r="A951" s="74"/>
      <c r="B951" s="75"/>
      <c r="C951" s="76"/>
      <c r="F951" s="71"/>
      <c r="G951" s="77"/>
      <c r="J951" s="78"/>
      <c r="K951" s="63"/>
      <c r="L951" s="63"/>
      <c r="M951" s="63"/>
      <c r="N951" s="63"/>
      <c r="O951" s="63"/>
      <c r="P951" s="63"/>
      <c r="Q951" s="63"/>
      <c r="R951" s="63"/>
      <c r="S951" s="63"/>
      <c r="U951" s="71"/>
      <c r="V951" s="71"/>
      <c r="Z951" s="71"/>
      <c r="BW951" s="64"/>
      <c r="BX951" s="64"/>
      <c r="BY951" s="64"/>
      <c r="BZ951" s="66"/>
      <c r="CA951" s="64"/>
      <c r="CB951" s="64"/>
      <c r="CC951" s="64"/>
      <c r="CD951" s="64"/>
      <c r="CE951" s="64"/>
      <c r="CF951" s="64"/>
      <c r="CG951" s="64" t="str">
        <f t="shared" si="6"/>
        <v/>
      </c>
    </row>
    <row r="952">
      <c r="A952" s="74"/>
      <c r="B952" s="75"/>
      <c r="C952" s="76"/>
      <c r="F952" s="71"/>
      <c r="G952" s="77"/>
      <c r="J952" s="78"/>
      <c r="K952" s="63"/>
      <c r="L952" s="63"/>
      <c r="M952" s="63"/>
      <c r="N952" s="63"/>
      <c r="O952" s="63"/>
      <c r="P952" s="63"/>
      <c r="Q952" s="63"/>
      <c r="R952" s="63"/>
      <c r="S952" s="63"/>
      <c r="U952" s="71"/>
      <c r="V952" s="71"/>
      <c r="Z952" s="71"/>
      <c r="BW952" s="64"/>
      <c r="BX952" s="64"/>
      <c r="BY952" s="64"/>
      <c r="BZ952" s="66"/>
      <c r="CA952" s="64"/>
      <c r="CB952" s="64"/>
      <c r="CC952" s="64"/>
      <c r="CD952" s="64"/>
      <c r="CE952" s="64"/>
      <c r="CF952" s="64"/>
      <c r="CG952" s="64" t="str">
        <f t="shared" si="6"/>
        <v/>
      </c>
    </row>
    <row r="953">
      <c r="A953" s="74"/>
      <c r="B953" s="75"/>
      <c r="C953" s="76"/>
      <c r="F953" s="71"/>
      <c r="G953" s="77"/>
      <c r="J953" s="78"/>
      <c r="K953" s="63"/>
      <c r="L953" s="63"/>
      <c r="M953" s="63"/>
      <c r="N953" s="63"/>
      <c r="O953" s="63"/>
      <c r="P953" s="63"/>
      <c r="Q953" s="63"/>
      <c r="R953" s="63"/>
      <c r="S953" s="63"/>
      <c r="U953" s="71"/>
      <c r="V953" s="71"/>
      <c r="Z953" s="71"/>
      <c r="BW953" s="64"/>
      <c r="BX953" s="64"/>
      <c r="BY953" s="64"/>
      <c r="BZ953" s="66"/>
      <c r="CA953" s="64"/>
      <c r="CB953" s="64"/>
      <c r="CC953" s="64"/>
      <c r="CD953" s="64"/>
      <c r="CE953" s="64"/>
      <c r="CF953" s="64"/>
      <c r="CG953" s="64" t="str">
        <f t="shared" si="6"/>
        <v/>
      </c>
    </row>
    <row r="954">
      <c r="A954" s="74"/>
      <c r="B954" s="75"/>
      <c r="C954" s="76"/>
      <c r="F954" s="71"/>
      <c r="G954" s="77"/>
      <c r="J954" s="78"/>
      <c r="K954" s="63"/>
      <c r="L954" s="63"/>
      <c r="M954" s="63"/>
      <c r="N954" s="63"/>
      <c r="O954" s="63"/>
      <c r="P954" s="63"/>
      <c r="Q954" s="63"/>
      <c r="R954" s="63"/>
      <c r="S954" s="63"/>
      <c r="U954" s="71"/>
      <c r="V954" s="71"/>
      <c r="Z954" s="71"/>
      <c r="BW954" s="64"/>
      <c r="BX954" s="64"/>
      <c r="BY954" s="64"/>
      <c r="BZ954" s="66"/>
      <c r="CA954" s="64"/>
      <c r="CB954" s="64"/>
      <c r="CC954" s="64"/>
      <c r="CD954" s="64"/>
      <c r="CE954" s="64"/>
      <c r="CF954" s="64"/>
      <c r="CG954" s="64" t="str">
        <f t="shared" si="6"/>
        <v/>
      </c>
    </row>
    <row r="955">
      <c r="A955" s="74"/>
      <c r="B955" s="75"/>
      <c r="C955" s="76"/>
      <c r="F955" s="71"/>
      <c r="G955" s="77"/>
      <c r="J955" s="78"/>
      <c r="K955" s="63"/>
      <c r="L955" s="63"/>
      <c r="M955" s="63"/>
      <c r="N955" s="63"/>
      <c r="O955" s="63"/>
      <c r="P955" s="63"/>
      <c r="Q955" s="63"/>
      <c r="R955" s="63"/>
      <c r="S955" s="63"/>
      <c r="U955" s="71"/>
      <c r="V955" s="71"/>
      <c r="Z955" s="71"/>
      <c r="BW955" s="64"/>
      <c r="BX955" s="64"/>
      <c r="BY955" s="64"/>
      <c r="BZ955" s="66"/>
      <c r="CA955" s="64"/>
      <c r="CB955" s="64"/>
      <c r="CC955" s="64"/>
      <c r="CD955" s="64"/>
      <c r="CE955" s="64"/>
      <c r="CF955" s="64"/>
      <c r="CG955" s="64" t="str">
        <f t="shared" si="6"/>
        <v/>
      </c>
    </row>
    <row r="956">
      <c r="A956" s="74"/>
      <c r="B956" s="75"/>
      <c r="C956" s="76"/>
      <c r="F956" s="71"/>
      <c r="G956" s="77"/>
      <c r="J956" s="78"/>
      <c r="K956" s="63"/>
      <c r="L956" s="63"/>
      <c r="M956" s="63"/>
      <c r="N956" s="63"/>
      <c r="O956" s="63"/>
      <c r="P956" s="63"/>
      <c r="Q956" s="63"/>
      <c r="R956" s="63"/>
      <c r="S956" s="63"/>
      <c r="U956" s="71"/>
      <c r="V956" s="71"/>
      <c r="Z956" s="71"/>
      <c r="BW956" s="64"/>
      <c r="BX956" s="64"/>
      <c r="BY956" s="64"/>
      <c r="BZ956" s="66"/>
      <c r="CA956" s="64"/>
      <c r="CB956" s="64"/>
      <c r="CC956" s="64"/>
      <c r="CD956" s="64"/>
      <c r="CE956" s="64"/>
      <c r="CF956" s="64"/>
      <c r="CG956" s="64" t="str">
        <f t="shared" si="6"/>
        <v/>
      </c>
    </row>
    <row r="957">
      <c r="A957" s="74"/>
      <c r="B957" s="75"/>
      <c r="C957" s="76"/>
      <c r="F957" s="71"/>
      <c r="G957" s="77"/>
      <c r="J957" s="78"/>
      <c r="K957" s="63"/>
      <c r="L957" s="63"/>
      <c r="M957" s="63"/>
      <c r="N957" s="63"/>
      <c r="O957" s="63"/>
      <c r="P957" s="63"/>
      <c r="Q957" s="63"/>
      <c r="R957" s="63"/>
      <c r="S957" s="63"/>
      <c r="U957" s="71"/>
      <c r="V957" s="71"/>
      <c r="Z957" s="71"/>
      <c r="BW957" s="64"/>
      <c r="BX957" s="64"/>
      <c r="BY957" s="64"/>
      <c r="BZ957" s="66"/>
      <c r="CA957" s="64"/>
      <c r="CB957" s="64"/>
      <c r="CC957" s="64"/>
      <c r="CD957" s="64"/>
      <c r="CE957" s="64"/>
      <c r="CF957" s="64"/>
      <c r="CG957" s="64" t="str">
        <f t="shared" si="6"/>
        <v/>
      </c>
    </row>
    <row r="958">
      <c r="A958" s="74"/>
      <c r="B958" s="75"/>
      <c r="C958" s="76"/>
      <c r="F958" s="71"/>
      <c r="G958" s="77"/>
      <c r="J958" s="78"/>
      <c r="K958" s="63"/>
      <c r="L958" s="63"/>
      <c r="M958" s="63"/>
      <c r="N958" s="63"/>
      <c r="O958" s="63"/>
      <c r="P958" s="63"/>
      <c r="Q958" s="63"/>
      <c r="R958" s="63"/>
      <c r="S958" s="63"/>
      <c r="U958" s="71"/>
      <c r="V958" s="71"/>
      <c r="Z958" s="71"/>
      <c r="BW958" s="64"/>
      <c r="BX958" s="64"/>
      <c r="BY958" s="64"/>
      <c r="BZ958" s="66"/>
      <c r="CA958" s="64"/>
      <c r="CB958" s="64"/>
      <c r="CC958" s="64"/>
      <c r="CD958" s="64"/>
      <c r="CE958" s="64"/>
      <c r="CF958" s="64"/>
      <c r="CG958" s="64" t="str">
        <f t="shared" si="6"/>
        <v/>
      </c>
    </row>
    <row r="959">
      <c r="A959" s="74"/>
      <c r="B959" s="75"/>
      <c r="C959" s="76"/>
      <c r="F959" s="71"/>
      <c r="G959" s="77"/>
      <c r="J959" s="78"/>
      <c r="K959" s="63"/>
      <c r="L959" s="63"/>
      <c r="M959" s="63"/>
      <c r="N959" s="63"/>
      <c r="O959" s="63"/>
      <c r="P959" s="63"/>
      <c r="Q959" s="63"/>
      <c r="R959" s="63"/>
      <c r="S959" s="63"/>
      <c r="U959" s="71"/>
      <c r="V959" s="71"/>
      <c r="Z959" s="71"/>
      <c r="BW959" s="64"/>
      <c r="BX959" s="64"/>
      <c r="BY959" s="64"/>
      <c r="BZ959" s="66"/>
      <c r="CA959" s="64"/>
      <c r="CB959" s="64"/>
      <c r="CC959" s="64"/>
      <c r="CD959" s="64"/>
      <c r="CE959" s="64"/>
      <c r="CF959" s="64"/>
      <c r="CG959" s="64" t="str">
        <f t="shared" si="6"/>
        <v/>
      </c>
    </row>
    <row r="960">
      <c r="A960" s="74"/>
      <c r="B960" s="75"/>
      <c r="C960" s="76"/>
      <c r="F960" s="71"/>
      <c r="G960" s="77"/>
      <c r="J960" s="78"/>
      <c r="K960" s="63"/>
      <c r="L960" s="63"/>
      <c r="M960" s="63"/>
      <c r="N960" s="63"/>
      <c r="O960" s="63"/>
      <c r="P960" s="63"/>
      <c r="Q960" s="63"/>
      <c r="R960" s="63"/>
      <c r="S960" s="63"/>
      <c r="U960" s="71"/>
      <c r="V960" s="71"/>
      <c r="Z960" s="71"/>
      <c r="BW960" s="64"/>
      <c r="BX960" s="64"/>
      <c r="BY960" s="64"/>
      <c r="BZ960" s="66"/>
      <c r="CA960" s="64"/>
      <c r="CB960" s="64"/>
      <c r="CC960" s="64"/>
      <c r="CD960" s="64"/>
      <c r="CE960" s="64"/>
      <c r="CF960" s="64"/>
      <c r="CG960" s="64" t="str">
        <f t="shared" si="6"/>
        <v/>
      </c>
    </row>
    <row r="961">
      <c r="A961" s="74"/>
      <c r="B961" s="75"/>
      <c r="C961" s="76"/>
      <c r="F961" s="71"/>
      <c r="G961" s="77"/>
      <c r="J961" s="78"/>
      <c r="K961" s="63"/>
      <c r="L961" s="63"/>
      <c r="M961" s="63"/>
      <c r="N961" s="63"/>
      <c r="O961" s="63"/>
      <c r="P961" s="63"/>
      <c r="Q961" s="63"/>
      <c r="R961" s="63"/>
      <c r="S961" s="63"/>
      <c r="U961" s="71"/>
      <c r="V961" s="71"/>
      <c r="Z961" s="71"/>
      <c r="BW961" s="64"/>
      <c r="BX961" s="64"/>
      <c r="BY961" s="64"/>
      <c r="BZ961" s="66"/>
      <c r="CA961" s="64"/>
      <c r="CB961" s="64"/>
      <c r="CC961" s="64"/>
      <c r="CD961" s="64"/>
      <c r="CE961" s="64"/>
      <c r="CF961" s="64"/>
      <c r="CG961" s="64" t="str">
        <f t="shared" si="6"/>
        <v/>
      </c>
    </row>
    <row r="962">
      <c r="A962" s="74"/>
      <c r="B962" s="75"/>
      <c r="C962" s="76"/>
      <c r="F962" s="71"/>
      <c r="G962" s="77"/>
      <c r="J962" s="78"/>
      <c r="K962" s="63"/>
      <c r="L962" s="63"/>
      <c r="M962" s="63"/>
      <c r="N962" s="63"/>
      <c r="O962" s="63"/>
      <c r="P962" s="63"/>
      <c r="Q962" s="63"/>
      <c r="R962" s="63"/>
      <c r="S962" s="63"/>
      <c r="U962" s="71"/>
      <c r="V962" s="71"/>
      <c r="Z962" s="71"/>
      <c r="BW962" s="64"/>
      <c r="BX962" s="64"/>
      <c r="BY962" s="64"/>
      <c r="BZ962" s="66"/>
      <c r="CA962" s="64"/>
      <c r="CB962" s="64"/>
      <c r="CC962" s="64"/>
      <c r="CD962" s="64"/>
      <c r="CE962" s="64"/>
      <c r="CF962" s="64"/>
      <c r="CG962" s="64" t="str">
        <f t="shared" si="6"/>
        <v/>
      </c>
    </row>
    <row r="963">
      <c r="A963" s="74"/>
      <c r="B963" s="75"/>
      <c r="C963" s="76"/>
      <c r="F963" s="71"/>
      <c r="G963" s="77"/>
      <c r="J963" s="78"/>
      <c r="K963" s="63"/>
      <c r="L963" s="63"/>
      <c r="M963" s="63"/>
      <c r="N963" s="63"/>
      <c r="O963" s="63"/>
      <c r="P963" s="63"/>
      <c r="Q963" s="63"/>
      <c r="R963" s="63"/>
      <c r="S963" s="63"/>
      <c r="U963" s="71"/>
      <c r="V963" s="71"/>
      <c r="Z963" s="71"/>
      <c r="BW963" s="64"/>
      <c r="BX963" s="64"/>
      <c r="BY963" s="64"/>
      <c r="BZ963" s="66"/>
      <c r="CA963" s="64"/>
      <c r="CB963" s="64"/>
      <c r="CC963" s="64"/>
      <c r="CD963" s="64"/>
      <c r="CE963" s="64"/>
      <c r="CF963" s="64"/>
      <c r="CG963" s="64" t="str">
        <f t="shared" si="6"/>
        <v/>
      </c>
    </row>
    <row r="964">
      <c r="A964" s="74"/>
      <c r="B964" s="75"/>
      <c r="C964" s="76"/>
      <c r="F964" s="71"/>
      <c r="G964" s="77"/>
      <c r="J964" s="78"/>
      <c r="K964" s="63"/>
      <c r="L964" s="63"/>
      <c r="M964" s="63"/>
      <c r="N964" s="63"/>
      <c r="O964" s="63"/>
      <c r="P964" s="63"/>
      <c r="Q964" s="63"/>
      <c r="R964" s="63"/>
      <c r="S964" s="63"/>
      <c r="U964" s="71"/>
      <c r="V964" s="71"/>
      <c r="Z964" s="71"/>
      <c r="BW964" s="64"/>
      <c r="BX964" s="64"/>
      <c r="BY964" s="64"/>
      <c r="BZ964" s="66"/>
      <c r="CA964" s="64"/>
      <c r="CB964" s="64"/>
      <c r="CC964" s="64"/>
      <c r="CD964" s="64"/>
      <c r="CE964" s="64"/>
      <c r="CF964" s="64"/>
      <c r="CG964" s="64" t="str">
        <f t="shared" si="6"/>
        <v/>
      </c>
    </row>
    <row r="965">
      <c r="A965" s="74"/>
      <c r="B965" s="75"/>
      <c r="C965" s="76"/>
      <c r="F965" s="71"/>
      <c r="G965" s="77"/>
      <c r="J965" s="78"/>
      <c r="K965" s="63"/>
      <c r="L965" s="63"/>
      <c r="M965" s="63"/>
      <c r="N965" s="63"/>
      <c r="O965" s="63"/>
      <c r="P965" s="63"/>
      <c r="Q965" s="63"/>
      <c r="R965" s="63"/>
      <c r="S965" s="63"/>
      <c r="U965" s="71"/>
      <c r="V965" s="71"/>
      <c r="Z965" s="71"/>
      <c r="BW965" s="64"/>
      <c r="BX965" s="64"/>
      <c r="BY965" s="64"/>
      <c r="BZ965" s="66"/>
      <c r="CA965" s="64"/>
      <c r="CB965" s="64"/>
      <c r="CC965" s="64"/>
      <c r="CD965" s="64"/>
      <c r="CE965" s="64"/>
      <c r="CF965" s="64"/>
      <c r="CG965" s="64" t="str">
        <f t="shared" si="6"/>
        <v/>
      </c>
    </row>
    <row r="966">
      <c r="A966" s="74"/>
      <c r="B966" s="75"/>
      <c r="C966" s="76"/>
      <c r="F966" s="71"/>
      <c r="G966" s="77"/>
      <c r="J966" s="78"/>
      <c r="K966" s="63"/>
      <c r="L966" s="63"/>
      <c r="M966" s="63"/>
      <c r="N966" s="63"/>
      <c r="O966" s="63"/>
      <c r="P966" s="63"/>
      <c r="Q966" s="63"/>
      <c r="R966" s="63"/>
      <c r="S966" s="63"/>
      <c r="U966" s="71"/>
      <c r="V966" s="71"/>
      <c r="Z966" s="71"/>
      <c r="BW966" s="64"/>
      <c r="BX966" s="64"/>
      <c r="BY966" s="64"/>
      <c r="BZ966" s="66"/>
      <c r="CA966" s="64"/>
      <c r="CB966" s="64"/>
      <c r="CC966" s="64"/>
      <c r="CD966" s="64"/>
      <c r="CE966" s="64"/>
      <c r="CF966" s="64"/>
      <c r="CG966" s="64" t="str">
        <f t="shared" si="6"/>
        <v/>
      </c>
    </row>
    <row r="967">
      <c r="A967" s="74"/>
      <c r="B967" s="75"/>
      <c r="C967" s="76"/>
      <c r="F967" s="71"/>
      <c r="G967" s="77"/>
      <c r="J967" s="78"/>
      <c r="K967" s="63"/>
      <c r="L967" s="63"/>
      <c r="M967" s="63"/>
      <c r="N967" s="63"/>
      <c r="O967" s="63"/>
      <c r="P967" s="63"/>
      <c r="Q967" s="63"/>
      <c r="R967" s="63"/>
      <c r="S967" s="63"/>
      <c r="U967" s="71"/>
      <c r="V967" s="71"/>
      <c r="Z967" s="71"/>
      <c r="BW967" s="64"/>
      <c r="BX967" s="64"/>
      <c r="BY967" s="64"/>
      <c r="BZ967" s="66"/>
      <c r="CA967" s="64"/>
      <c r="CB967" s="64"/>
      <c r="CC967" s="64"/>
      <c r="CD967" s="64"/>
      <c r="CE967" s="64"/>
      <c r="CF967" s="64"/>
      <c r="CG967" s="64" t="str">
        <f t="shared" si="6"/>
        <v/>
      </c>
    </row>
    <row r="968">
      <c r="A968" s="74"/>
      <c r="B968" s="75"/>
      <c r="C968" s="76"/>
      <c r="F968" s="71"/>
      <c r="G968" s="77"/>
      <c r="J968" s="78"/>
      <c r="K968" s="63"/>
      <c r="L968" s="63"/>
      <c r="M968" s="63"/>
      <c r="N968" s="63"/>
      <c r="O968" s="63"/>
      <c r="P968" s="63"/>
      <c r="Q968" s="63"/>
      <c r="R968" s="63"/>
      <c r="S968" s="63"/>
      <c r="U968" s="71"/>
      <c r="V968" s="71"/>
      <c r="Z968" s="71"/>
      <c r="BW968" s="64"/>
      <c r="BX968" s="64"/>
      <c r="BY968" s="64"/>
      <c r="BZ968" s="66"/>
      <c r="CA968" s="64"/>
      <c r="CB968" s="64"/>
      <c r="CC968" s="64"/>
      <c r="CD968" s="64"/>
      <c r="CE968" s="64"/>
      <c r="CF968" s="64"/>
      <c r="CG968" s="64" t="str">
        <f t="shared" si="6"/>
        <v/>
      </c>
    </row>
    <row r="969">
      <c r="A969" s="74"/>
      <c r="B969" s="75"/>
      <c r="C969" s="76"/>
      <c r="F969" s="71"/>
      <c r="G969" s="77"/>
      <c r="J969" s="78"/>
      <c r="K969" s="63"/>
      <c r="L969" s="63"/>
      <c r="M969" s="63"/>
      <c r="N969" s="63"/>
      <c r="O969" s="63"/>
      <c r="P969" s="63"/>
      <c r="Q969" s="63"/>
      <c r="R969" s="63"/>
      <c r="S969" s="63"/>
      <c r="U969" s="71"/>
      <c r="V969" s="71"/>
      <c r="Z969" s="71"/>
      <c r="BW969" s="64"/>
      <c r="BX969" s="64"/>
      <c r="BY969" s="64"/>
      <c r="BZ969" s="66"/>
      <c r="CA969" s="64"/>
      <c r="CB969" s="64"/>
      <c r="CC969" s="64"/>
      <c r="CD969" s="64"/>
      <c r="CE969" s="64"/>
      <c r="CF969" s="64"/>
      <c r="CG969" s="64" t="str">
        <f t="shared" si="6"/>
        <v/>
      </c>
    </row>
    <row r="970">
      <c r="A970" s="74"/>
      <c r="B970" s="75"/>
      <c r="C970" s="76"/>
      <c r="F970" s="71"/>
      <c r="G970" s="77"/>
      <c r="J970" s="78"/>
      <c r="K970" s="63"/>
      <c r="L970" s="63"/>
      <c r="M970" s="63"/>
      <c r="N970" s="63"/>
      <c r="O970" s="63"/>
      <c r="P970" s="63"/>
      <c r="Q970" s="63"/>
      <c r="R970" s="63"/>
      <c r="S970" s="63"/>
      <c r="U970" s="71"/>
      <c r="V970" s="71"/>
      <c r="Z970" s="71"/>
      <c r="BW970" s="64"/>
      <c r="BX970" s="64"/>
      <c r="BY970" s="64"/>
      <c r="BZ970" s="66"/>
      <c r="CA970" s="64"/>
      <c r="CB970" s="64"/>
      <c r="CC970" s="64"/>
      <c r="CD970" s="64"/>
      <c r="CE970" s="64"/>
      <c r="CF970" s="64"/>
      <c r="CG970" s="64" t="str">
        <f t="shared" si="6"/>
        <v/>
      </c>
    </row>
    <row r="971">
      <c r="A971" s="74"/>
      <c r="B971" s="75"/>
      <c r="C971" s="76"/>
      <c r="F971" s="71"/>
      <c r="G971" s="77"/>
      <c r="J971" s="78"/>
      <c r="K971" s="63"/>
      <c r="L971" s="63"/>
      <c r="M971" s="63"/>
      <c r="N971" s="63"/>
      <c r="O971" s="63"/>
      <c r="P971" s="63"/>
      <c r="Q971" s="63"/>
      <c r="R971" s="63"/>
      <c r="S971" s="63"/>
      <c r="U971" s="71"/>
      <c r="V971" s="71"/>
      <c r="Z971" s="71"/>
      <c r="BW971" s="64"/>
      <c r="BX971" s="64"/>
      <c r="BY971" s="64"/>
      <c r="BZ971" s="66"/>
      <c r="CA971" s="64"/>
      <c r="CB971" s="64"/>
      <c r="CC971" s="64"/>
      <c r="CD971" s="64"/>
      <c r="CE971" s="64"/>
      <c r="CF971" s="64"/>
      <c r="CG971" s="64" t="str">
        <f t="shared" si="6"/>
        <v/>
      </c>
    </row>
    <row r="972">
      <c r="A972" s="74"/>
      <c r="B972" s="75"/>
      <c r="C972" s="76"/>
      <c r="F972" s="71"/>
      <c r="G972" s="77"/>
      <c r="J972" s="78"/>
      <c r="K972" s="63"/>
      <c r="L972" s="63"/>
      <c r="M972" s="63"/>
      <c r="N972" s="63"/>
      <c r="O972" s="63"/>
      <c r="P972" s="63"/>
      <c r="Q972" s="63"/>
      <c r="R972" s="63"/>
      <c r="S972" s="63"/>
      <c r="U972" s="71"/>
      <c r="V972" s="71"/>
      <c r="Z972" s="71"/>
      <c r="BW972" s="64"/>
      <c r="BX972" s="64"/>
      <c r="BY972" s="64"/>
      <c r="BZ972" s="66"/>
      <c r="CA972" s="64"/>
      <c r="CB972" s="64"/>
      <c r="CC972" s="64"/>
      <c r="CD972" s="64"/>
      <c r="CE972" s="64"/>
      <c r="CF972" s="64"/>
      <c r="CG972" s="64" t="str">
        <f t="shared" si="6"/>
        <v/>
      </c>
    </row>
    <row r="973">
      <c r="A973" s="74"/>
      <c r="B973" s="75"/>
      <c r="C973" s="76"/>
      <c r="F973" s="71"/>
      <c r="G973" s="77"/>
      <c r="J973" s="78"/>
      <c r="K973" s="63"/>
      <c r="L973" s="63"/>
      <c r="M973" s="63"/>
      <c r="N973" s="63"/>
      <c r="O973" s="63"/>
      <c r="P973" s="63"/>
      <c r="Q973" s="63"/>
      <c r="R973" s="63"/>
      <c r="S973" s="63"/>
      <c r="U973" s="71"/>
      <c r="V973" s="71"/>
      <c r="Z973" s="71"/>
      <c r="BW973" s="64"/>
      <c r="BX973" s="64"/>
      <c r="BY973" s="64"/>
      <c r="BZ973" s="66"/>
      <c r="CA973" s="64"/>
      <c r="CB973" s="64"/>
      <c r="CC973" s="64"/>
      <c r="CD973" s="64"/>
      <c r="CE973" s="64"/>
      <c r="CF973" s="64"/>
      <c r="CG973" s="64" t="str">
        <f t="shared" si="6"/>
        <v/>
      </c>
    </row>
    <row r="974">
      <c r="A974" s="74"/>
      <c r="B974" s="75"/>
      <c r="C974" s="76"/>
      <c r="F974" s="71"/>
      <c r="G974" s="77"/>
      <c r="J974" s="78"/>
      <c r="K974" s="63"/>
      <c r="L974" s="63"/>
      <c r="M974" s="63"/>
      <c r="N974" s="63"/>
      <c r="O974" s="63"/>
      <c r="P974" s="63"/>
      <c r="Q974" s="63"/>
      <c r="R974" s="63"/>
      <c r="S974" s="63"/>
      <c r="U974" s="71"/>
      <c r="V974" s="71"/>
      <c r="Z974" s="71"/>
      <c r="BW974" s="64"/>
      <c r="BX974" s="64"/>
      <c r="BY974" s="64"/>
      <c r="BZ974" s="66"/>
      <c r="CA974" s="64"/>
      <c r="CB974" s="64"/>
      <c r="CC974" s="64"/>
      <c r="CD974" s="64"/>
      <c r="CE974" s="64"/>
      <c r="CF974" s="64"/>
      <c r="CG974" s="64" t="str">
        <f t="shared" si="6"/>
        <v/>
      </c>
    </row>
    <row r="975">
      <c r="A975" s="74"/>
      <c r="B975" s="75"/>
      <c r="C975" s="76"/>
      <c r="F975" s="71"/>
      <c r="G975" s="77"/>
      <c r="J975" s="78"/>
      <c r="K975" s="63"/>
      <c r="L975" s="63"/>
      <c r="M975" s="63"/>
      <c r="N975" s="63"/>
      <c r="O975" s="63"/>
      <c r="P975" s="63"/>
      <c r="Q975" s="63"/>
      <c r="R975" s="63"/>
      <c r="S975" s="63"/>
      <c r="U975" s="71"/>
      <c r="V975" s="71"/>
      <c r="Z975" s="71"/>
      <c r="BW975" s="64"/>
      <c r="BX975" s="64"/>
      <c r="BY975" s="64"/>
      <c r="BZ975" s="66"/>
      <c r="CA975" s="64"/>
      <c r="CB975" s="64"/>
      <c r="CC975" s="64"/>
      <c r="CD975" s="64"/>
      <c r="CE975" s="64"/>
      <c r="CF975" s="64"/>
      <c r="CG975" s="64" t="str">
        <f t="shared" si="6"/>
        <v/>
      </c>
    </row>
    <row r="976">
      <c r="A976" s="74"/>
      <c r="B976" s="75"/>
      <c r="C976" s="76"/>
      <c r="F976" s="71"/>
      <c r="G976" s="77"/>
      <c r="J976" s="78"/>
      <c r="K976" s="63"/>
      <c r="L976" s="63"/>
      <c r="M976" s="63"/>
      <c r="N976" s="63"/>
      <c r="O976" s="63"/>
      <c r="P976" s="63"/>
      <c r="Q976" s="63"/>
      <c r="R976" s="63"/>
      <c r="S976" s="63"/>
      <c r="U976" s="71"/>
      <c r="V976" s="71"/>
      <c r="Z976" s="71"/>
      <c r="BW976" s="64"/>
      <c r="BX976" s="64"/>
      <c r="BY976" s="64"/>
      <c r="BZ976" s="66"/>
      <c r="CA976" s="64"/>
      <c r="CB976" s="64"/>
      <c r="CC976" s="64"/>
      <c r="CD976" s="64"/>
      <c r="CE976" s="64"/>
      <c r="CF976" s="64"/>
      <c r="CG976" s="64" t="str">
        <f t="shared" si="6"/>
        <v/>
      </c>
    </row>
    <row r="977">
      <c r="A977" s="74"/>
      <c r="B977" s="75"/>
      <c r="C977" s="76"/>
      <c r="F977" s="71"/>
      <c r="G977" s="77"/>
      <c r="J977" s="78"/>
      <c r="K977" s="63"/>
      <c r="L977" s="63"/>
      <c r="M977" s="63"/>
      <c r="N977" s="63"/>
      <c r="O977" s="63"/>
      <c r="P977" s="63"/>
      <c r="Q977" s="63"/>
      <c r="R977" s="63"/>
      <c r="S977" s="63"/>
      <c r="U977" s="71"/>
      <c r="V977" s="71"/>
      <c r="Z977" s="71"/>
      <c r="BW977" s="64"/>
      <c r="BX977" s="64"/>
      <c r="BY977" s="64"/>
      <c r="BZ977" s="66"/>
      <c r="CA977" s="64"/>
      <c r="CB977" s="64"/>
      <c r="CC977" s="64"/>
      <c r="CD977" s="64"/>
      <c r="CE977" s="64"/>
      <c r="CF977" s="64"/>
      <c r="CG977" s="64" t="str">
        <f t="shared" si="6"/>
        <v/>
      </c>
    </row>
    <row r="978">
      <c r="A978" s="74"/>
      <c r="B978" s="75"/>
      <c r="C978" s="76"/>
      <c r="F978" s="71"/>
      <c r="G978" s="77"/>
      <c r="J978" s="78"/>
      <c r="K978" s="63"/>
      <c r="L978" s="63"/>
      <c r="M978" s="63"/>
      <c r="N978" s="63"/>
      <c r="O978" s="63"/>
      <c r="P978" s="63"/>
      <c r="Q978" s="63"/>
      <c r="R978" s="63"/>
      <c r="S978" s="63"/>
      <c r="U978" s="71"/>
      <c r="V978" s="71"/>
      <c r="Z978" s="71"/>
      <c r="BW978" s="64"/>
      <c r="BX978" s="64"/>
      <c r="BY978" s="64"/>
      <c r="BZ978" s="66"/>
      <c r="CA978" s="64"/>
      <c r="CB978" s="64"/>
      <c r="CC978" s="64"/>
      <c r="CD978" s="64"/>
      <c r="CE978" s="64"/>
      <c r="CF978" s="64"/>
      <c r="CG978" s="64" t="str">
        <f t="shared" si="6"/>
        <v/>
      </c>
    </row>
    <row r="979">
      <c r="A979" s="74"/>
      <c r="B979" s="75"/>
      <c r="C979" s="76"/>
      <c r="F979" s="71"/>
      <c r="G979" s="77"/>
      <c r="J979" s="78"/>
      <c r="K979" s="63"/>
      <c r="L979" s="63"/>
      <c r="M979" s="63"/>
      <c r="N979" s="63"/>
      <c r="O979" s="63"/>
      <c r="P979" s="63"/>
      <c r="Q979" s="63"/>
      <c r="R979" s="63"/>
      <c r="S979" s="63"/>
      <c r="U979" s="71"/>
      <c r="V979" s="71"/>
      <c r="Z979" s="71"/>
      <c r="BW979" s="64"/>
      <c r="BX979" s="64"/>
      <c r="BY979" s="64"/>
      <c r="BZ979" s="66"/>
      <c r="CA979" s="64"/>
      <c r="CB979" s="64"/>
      <c r="CC979" s="64"/>
      <c r="CD979" s="64"/>
      <c r="CE979" s="64"/>
      <c r="CF979" s="64"/>
      <c r="CG979" s="64" t="str">
        <f t="shared" si="6"/>
        <v/>
      </c>
    </row>
    <row r="980">
      <c r="A980" s="74"/>
      <c r="B980" s="75"/>
      <c r="C980" s="76"/>
      <c r="F980" s="71"/>
      <c r="G980" s="77"/>
      <c r="J980" s="78"/>
      <c r="K980" s="63"/>
      <c r="L980" s="63"/>
      <c r="M980" s="63"/>
      <c r="N980" s="63"/>
      <c r="O980" s="63"/>
      <c r="P980" s="63"/>
      <c r="Q980" s="63"/>
      <c r="R980" s="63"/>
      <c r="S980" s="63"/>
      <c r="U980" s="71"/>
      <c r="V980" s="71"/>
      <c r="Z980" s="71"/>
      <c r="BW980" s="64"/>
      <c r="BX980" s="64"/>
      <c r="BY980" s="64"/>
      <c r="BZ980" s="66"/>
      <c r="CA980" s="64"/>
      <c r="CB980" s="64"/>
      <c r="CC980" s="64"/>
      <c r="CD980" s="64"/>
      <c r="CE980" s="64"/>
      <c r="CF980" s="64"/>
      <c r="CG980" s="64" t="str">
        <f t="shared" si="6"/>
        <v/>
      </c>
    </row>
    <row r="981">
      <c r="A981" s="74"/>
      <c r="B981" s="75"/>
      <c r="C981" s="76"/>
      <c r="F981" s="71"/>
      <c r="G981" s="77"/>
      <c r="J981" s="78"/>
      <c r="K981" s="63"/>
      <c r="L981" s="63"/>
      <c r="M981" s="63"/>
      <c r="N981" s="63"/>
      <c r="O981" s="63"/>
      <c r="P981" s="63"/>
      <c r="Q981" s="63"/>
      <c r="R981" s="63"/>
      <c r="S981" s="63"/>
      <c r="U981" s="71"/>
      <c r="V981" s="71"/>
      <c r="Z981" s="71"/>
      <c r="BW981" s="64"/>
      <c r="BX981" s="64"/>
      <c r="BY981" s="64"/>
      <c r="BZ981" s="66"/>
      <c r="CA981" s="64"/>
      <c r="CB981" s="64"/>
      <c r="CC981" s="64"/>
      <c r="CD981" s="64"/>
      <c r="CE981" s="64"/>
      <c r="CF981" s="64"/>
      <c r="CG981" s="64" t="str">
        <f t="shared" si="6"/>
        <v/>
      </c>
    </row>
    <row r="982">
      <c r="A982" s="74"/>
      <c r="B982" s="75"/>
      <c r="C982" s="76"/>
      <c r="F982" s="71"/>
      <c r="G982" s="77"/>
      <c r="J982" s="78"/>
      <c r="K982" s="63"/>
      <c r="L982" s="63"/>
      <c r="M982" s="63"/>
      <c r="N982" s="63"/>
      <c r="O982" s="63"/>
      <c r="P982" s="63"/>
      <c r="Q982" s="63"/>
      <c r="R982" s="63"/>
      <c r="S982" s="63"/>
      <c r="U982" s="71"/>
      <c r="V982" s="71"/>
      <c r="Z982" s="71"/>
      <c r="BW982" s="64"/>
      <c r="BX982" s="64"/>
      <c r="BY982" s="64"/>
      <c r="BZ982" s="66"/>
      <c r="CA982" s="64"/>
      <c r="CB982" s="64"/>
      <c r="CC982" s="64"/>
      <c r="CD982" s="64"/>
      <c r="CE982" s="64"/>
      <c r="CF982" s="64"/>
      <c r="CG982" s="64" t="str">
        <f t="shared" si="6"/>
        <v/>
      </c>
    </row>
    <row r="983">
      <c r="A983" s="74"/>
      <c r="B983" s="75"/>
      <c r="C983" s="76"/>
      <c r="F983" s="71"/>
      <c r="G983" s="77"/>
      <c r="J983" s="78"/>
      <c r="K983" s="63"/>
      <c r="L983" s="63"/>
      <c r="M983" s="63"/>
      <c r="N983" s="63"/>
      <c r="O983" s="63"/>
      <c r="P983" s="63"/>
      <c r="Q983" s="63"/>
      <c r="R983" s="63"/>
      <c r="S983" s="63"/>
      <c r="U983" s="71"/>
      <c r="V983" s="71"/>
      <c r="Z983" s="71"/>
      <c r="BW983" s="64"/>
      <c r="BX983" s="64"/>
      <c r="BY983" s="64"/>
      <c r="BZ983" s="66"/>
      <c r="CA983" s="64"/>
      <c r="CB983" s="64"/>
      <c r="CC983" s="64"/>
      <c r="CD983" s="64"/>
      <c r="CE983" s="64"/>
      <c r="CF983" s="64"/>
      <c r="CG983" s="64" t="str">
        <f t="shared" si="6"/>
        <v/>
      </c>
    </row>
    <row r="984">
      <c r="A984" s="74"/>
      <c r="B984" s="75"/>
      <c r="C984" s="76"/>
      <c r="F984" s="71"/>
      <c r="G984" s="77"/>
      <c r="J984" s="78"/>
      <c r="K984" s="63"/>
      <c r="L984" s="63"/>
      <c r="M984" s="63"/>
      <c r="N984" s="63"/>
      <c r="O984" s="63"/>
      <c r="P984" s="63"/>
      <c r="Q984" s="63"/>
      <c r="R984" s="63"/>
      <c r="S984" s="63"/>
      <c r="U984" s="71"/>
      <c r="V984" s="71"/>
      <c r="Z984" s="71"/>
      <c r="BW984" s="64"/>
      <c r="BX984" s="64"/>
      <c r="BY984" s="64"/>
      <c r="BZ984" s="66"/>
      <c r="CA984" s="64"/>
      <c r="CB984" s="64"/>
      <c r="CC984" s="64"/>
      <c r="CD984" s="64"/>
      <c r="CE984" s="64"/>
      <c r="CF984" s="64"/>
      <c r="CG984" s="64" t="str">
        <f t="shared" si="6"/>
        <v/>
      </c>
    </row>
    <row r="985">
      <c r="A985" s="74"/>
      <c r="B985" s="75"/>
      <c r="C985" s="76"/>
      <c r="F985" s="71"/>
      <c r="G985" s="77"/>
      <c r="J985" s="78"/>
      <c r="K985" s="63"/>
      <c r="L985" s="63"/>
      <c r="M985" s="63"/>
      <c r="N985" s="63"/>
      <c r="O985" s="63"/>
      <c r="P985" s="63"/>
      <c r="Q985" s="63"/>
      <c r="R985" s="63"/>
      <c r="S985" s="63"/>
      <c r="U985" s="71"/>
      <c r="V985" s="71"/>
      <c r="Z985" s="71"/>
      <c r="BW985" s="64"/>
      <c r="BX985" s="64"/>
      <c r="BY985" s="64"/>
      <c r="BZ985" s="66"/>
      <c r="CA985" s="64"/>
      <c r="CB985" s="64"/>
      <c r="CC985" s="64"/>
      <c r="CD985" s="64"/>
      <c r="CE985" s="64"/>
      <c r="CF985" s="64"/>
      <c r="CG985" s="64" t="str">
        <f t="shared" si="6"/>
        <v/>
      </c>
    </row>
    <row r="986">
      <c r="A986" s="74"/>
      <c r="B986" s="75"/>
      <c r="C986" s="76"/>
      <c r="F986" s="71"/>
      <c r="G986" s="77"/>
      <c r="J986" s="78"/>
      <c r="K986" s="63"/>
      <c r="L986" s="63"/>
      <c r="M986" s="63"/>
      <c r="N986" s="63"/>
      <c r="O986" s="63"/>
      <c r="P986" s="63"/>
      <c r="Q986" s="63"/>
      <c r="R986" s="63"/>
      <c r="S986" s="63"/>
      <c r="U986" s="71"/>
      <c r="V986" s="71"/>
      <c r="Z986" s="71"/>
      <c r="BW986" s="64"/>
      <c r="BX986" s="64"/>
      <c r="BY986" s="64"/>
      <c r="BZ986" s="66"/>
      <c r="CA986" s="64"/>
      <c r="CB986" s="64"/>
      <c r="CC986" s="64"/>
      <c r="CD986" s="64"/>
      <c r="CE986" s="64"/>
      <c r="CF986" s="64"/>
      <c r="CG986" s="64" t="str">
        <f t="shared" si="6"/>
        <v/>
      </c>
    </row>
    <row r="987">
      <c r="A987" s="74"/>
      <c r="B987" s="75"/>
      <c r="C987" s="76"/>
      <c r="F987" s="71"/>
      <c r="G987" s="77"/>
      <c r="J987" s="78"/>
      <c r="K987" s="63"/>
      <c r="L987" s="63"/>
      <c r="M987" s="63"/>
      <c r="N987" s="63"/>
      <c r="O987" s="63"/>
      <c r="P987" s="63"/>
      <c r="Q987" s="63"/>
      <c r="R987" s="63"/>
      <c r="S987" s="63"/>
      <c r="U987" s="71"/>
      <c r="V987" s="71"/>
      <c r="Z987" s="71"/>
      <c r="BW987" s="64"/>
      <c r="BX987" s="64"/>
      <c r="BY987" s="64"/>
      <c r="BZ987" s="66"/>
      <c r="CA987" s="64"/>
      <c r="CB987" s="64"/>
      <c r="CC987" s="64"/>
      <c r="CD987" s="64"/>
      <c r="CE987" s="64"/>
      <c r="CF987" s="64"/>
      <c r="CG987" s="64" t="str">
        <f t="shared" si="6"/>
        <v/>
      </c>
    </row>
    <row r="988">
      <c r="A988" s="74"/>
      <c r="B988" s="75"/>
      <c r="C988" s="76"/>
      <c r="F988" s="71"/>
      <c r="G988" s="77"/>
      <c r="J988" s="78"/>
      <c r="K988" s="63"/>
      <c r="L988" s="63"/>
      <c r="M988" s="63"/>
      <c r="N988" s="63"/>
      <c r="O988" s="63"/>
      <c r="P988" s="63"/>
      <c r="Q988" s="63"/>
      <c r="R988" s="63"/>
      <c r="S988" s="63"/>
      <c r="U988" s="71"/>
      <c r="V988" s="71"/>
      <c r="Z988" s="71"/>
      <c r="BW988" s="64"/>
      <c r="BX988" s="64"/>
      <c r="BY988" s="64"/>
      <c r="BZ988" s="66"/>
      <c r="CA988" s="64"/>
      <c r="CB988" s="64"/>
      <c r="CC988" s="64"/>
      <c r="CD988" s="64"/>
      <c r="CE988" s="64"/>
      <c r="CF988" s="64"/>
      <c r="CG988" s="64" t="str">
        <f t="shared" si="6"/>
        <v/>
      </c>
    </row>
    <row r="989">
      <c r="A989" s="74"/>
      <c r="B989" s="75"/>
      <c r="C989" s="76"/>
      <c r="F989" s="71"/>
      <c r="G989" s="77"/>
      <c r="J989" s="78"/>
      <c r="K989" s="63"/>
      <c r="L989" s="63"/>
      <c r="M989" s="63"/>
      <c r="N989" s="63"/>
      <c r="O989" s="63"/>
      <c r="P989" s="63"/>
      <c r="Q989" s="63"/>
      <c r="R989" s="63"/>
      <c r="S989" s="63"/>
      <c r="U989" s="71"/>
      <c r="V989" s="71"/>
      <c r="Z989" s="71"/>
      <c r="BW989" s="64"/>
      <c r="BX989" s="64"/>
      <c r="BY989" s="64"/>
      <c r="BZ989" s="66"/>
      <c r="CA989" s="64"/>
      <c r="CB989" s="64"/>
      <c r="CC989" s="64"/>
      <c r="CD989" s="64"/>
      <c r="CE989" s="64"/>
      <c r="CF989" s="64"/>
      <c r="CG989" s="64" t="str">
        <f t="shared" si="6"/>
        <v/>
      </c>
    </row>
    <row r="990">
      <c r="A990" s="74"/>
      <c r="B990" s="75"/>
      <c r="C990" s="76"/>
      <c r="F990" s="71"/>
      <c r="G990" s="77"/>
      <c r="J990" s="78"/>
      <c r="K990" s="63"/>
      <c r="L990" s="63"/>
      <c r="M990" s="63"/>
      <c r="N990" s="63"/>
      <c r="O990" s="63"/>
      <c r="P990" s="63"/>
      <c r="Q990" s="63"/>
      <c r="R990" s="63"/>
      <c r="S990" s="63"/>
      <c r="U990" s="71"/>
      <c r="V990" s="71"/>
      <c r="Z990" s="71"/>
      <c r="BW990" s="64"/>
      <c r="BX990" s="64"/>
      <c r="BY990" s="64"/>
      <c r="BZ990" s="66"/>
      <c r="CA990" s="64"/>
      <c r="CB990" s="64"/>
      <c r="CC990" s="64"/>
      <c r="CD990" s="64"/>
      <c r="CE990" s="64"/>
      <c r="CF990" s="64"/>
      <c r="CG990" s="64" t="str">
        <f t="shared" si="6"/>
        <v/>
      </c>
    </row>
    <row r="991">
      <c r="A991" s="74"/>
      <c r="B991" s="75"/>
      <c r="C991" s="76"/>
      <c r="F991" s="71"/>
      <c r="G991" s="77"/>
      <c r="J991" s="78"/>
      <c r="K991" s="63"/>
      <c r="L991" s="63"/>
      <c r="M991" s="63"/>
      <c r="N991" s="63"/>
      <c r="O991" s="63"/>
      <c r="P991" s="63"/>
      <c r="Q991" s="63"/>
      <c r="R991" s="63"/>
      <c r="S991" s="63"/>
      <c r="U991" s="71"/>
      <c r="V991" s="71"/>
      <c r="Z991" s="71"/>
      <c r="BW991" s="64"/>
      <c r="BX991" s="64"/>
      <c r="BY991" s="64"/>
      <c r="BZ991" s="66"/>
      <c r="CA991" s="64"/>
      <c r="CB991" s="64"/>
      <c r="CC991" s="64"/>
      <c r="CD991" s="64"/>
      <c r="CE991" s="64"/>
      <c r="CF991" s="64"/>
      <c r="CG991" s="64" t="str">
        <f t="shared" si="6"/>
        <v/>
      </c>
    </row>
    <row r="992">
      <c r="A992" s="74"/>
      <c r="B992" s="75"/>
      <c r="C992" s="76"/>
      <c r="F992" s="71"/>
      <c r="G992" s="77"/>
      <c r="J992" s="78"/>
      <c r="K992" s="63"/>
      <c r="L992" s="63"/>
      <c r="M992" s="63"/>
      <c r="N992" s="63"/>
      <c r="O992" s="63"/>
      <c r="P992" s="63"/>
      <c r="Q992" s="63"/>
      <c r="R992" s="63"/>
      <c r="S992" s="63"/>
      <c r="U992" s="71"/>
      <c r="V992" s="71"/>
      <c r="Z992" s="71"/>
      <c r="BW992" s="64"/>
      <c r="BX992" s="64"/>
      <c r="BY992" s="64"/>
      <c r="BZ992" s="66"/>
      <c r="CA992" s="64"/>
      <c r="CB992" s="64"/>
      <c r="CC992" s="64"/>
      <c r="CD992" s="64"/>
      <c r="CE992" s="64"/>
      <c r="CF992" s="64"/>
      <c r="CG992" s="64" t="str">
        <f t="shared" si="6"/>
        <v/>
      </c>
    </row>
    <row r="993">
      <c r="A993" s="74"/>
      <c r="B993" s="75"/>
      <c r="C993" s="76"/>
      <c r="F993" s="71"/>
      <c r="G993" s="77"/>
      <c r="J993" s="78"/>
      <c r="K993" s="63"/>
      <c r="L993" s="63"/>
      <c r="M993" s="63"/>
      <c r="N993" s="63"/>
      <c r="O993" s="63"/>
      <c r="P993" s="63"/>
      <c r="Q993" s="63"/>
      <c r="R993" s="63"/>
      <c r="S993" s="63"/>
      <c r="U993" s="71"/>
      <c r="V993" s="71"/>
      <c r="Z993" s="71"/>
      <c r="BW993" s="64"/>
      <c r="BX993" s="64"/>
      <c r="BY993" s="64"/>
      <c r="BZ993" s="66"/>
      <c r="CA993" s="64"/>
      <c r="CB993" s="64"/>
      <c r="CC993" s="64"/>
      <c r="CD993" s="64"/>
      <c r="CE993" s="64"/>
      <c r="CF993" s="64"/>
      <c r="CG993" s="64" t="str">
        <f t="shared" si="6"/>
        <v/>
      </c>
    </row>
    <row r="994">
      <c r="A994" s="74"/>
      <c r="B994" s="75"/>
      <c r="C994" s="76"/>
      <c r="F994" s="71"/>
      <c r="G994" s="77"/>
      <c r="J994" s="78"/>
      <c r="K994" s="63"/>
      <c r="L994" s="63"/>
      <c r="M994" s="63"/>
      <c r="N994" s="63"/>
      <c r="O994" s="63"/>
      <c r="P994" s="63"/>
      <c r="Q994" s="63"/>
      <c r="R994" s="63"/>
      <c r="S994" s="63"/>
      <c r="U994" s="71"/>
      <c r="V994" s="71"/>
      <c r="Z994" s="71"/>
      <c r="BW994" s="64"/>
      <c r="BX994" s="64"/>
      <c r="BY994" s="64"/>
      <c r="BZ994" s="66"/>
      <c r="CA994" s="64"/>
      <c r="CB994" s="64"/>
      <c r="CC994" s="64"/>
      <c r="CD994" s="64"/>
      <c r="CE994" s="64"/>
      <c r="CF994" s="64"/>
      <c r="CG994" s="64" t="str">
        <f t="shared" si="6"/>
        <v/>
      </c>
    </row>
    <row r="995">
      <c r="A995" s="74"/>
      <c r="B995" s="75"/>
      <c r="C995" s="76"/>
      <c r="F995" s="71"/>
      <c r="G995" s="77"/>
      <c r="J995" s="78"/>
      <c r="K995" s="63"/>
      <c r="L995" s="63"/>
      <c r="M995" s="63"/>
      <c r="N995" s="63"/>
      <c r="O995" s="63"/>
      <c r="P995" s="63"/>
      <c r="Q995" s="63"/>
      <c r="R995" s="63"/>
      <c r="S995" s="63"/>
      <c r="U995" s="71"/>
      <c r="V995" s="71"/>
      <c r="Z995" s="71"/>
      <c r="BW995" s="64"/>
      <c r="BX995" s="64"/>
      <c r="BY995" s="64"/>
      <c r="BZ995" s="66"/>
      <c r="CA995" s="64"/>
      <c r="CB995" s="64"/>
      <c r="CC995" s="64"/>
      <c r="CD995" s="64"/>
      <c r="CE995" s="64"/>
      <c r="CF995" s="64"/>
      <c r="CG995" s="64" t="str">
        <f t="shared" si="6"/>
        <v/>
      </c>
    </row>
    <row r="996">
      <c r="A996" s="74"/>
      <c r="B996" s="75"/>
      <c r="C996" s="76"/>
      <c r="F996" s="71"/>
      <c r="G996" s="77"/>
      <c r="J996" s="78"/>
      <c r="K996" s="63"/>
      <c r="L996" s="63"/>
      <c r="M996" s="63"/>
      <c r="N996" s="63"/>
      <c r="O996" s="63"/>
      <c r="P996" s="63"/>
      <c r="Q996" s="63"/>
      <c r="R996" s="63"/>
      <c r="S996" s="63"/>
      <c r="U996" s="71"/>
      <c r="V996" s="71"/>
      <c r="Z996" s="71"/>
      <c r="BW996" s="64"/>
      <c r="BX996" s="64"/>
      <c r="BY996" s="64"/>
      <c r="BZ996" s="66"/>
      <c r="CA996" s="64"/>
      <c r="CB996" s="64"/>
      <c r="CC996" s="64"/>
      <c r="CD996" s="64"/>
      <c r="CE996" s="64"/>
      <c r="CF996" s="64"/>
      <c r="CG996" s="64" t="str">
        <f t="shared" si="6"/>
        <v/>
      </c>
    </row>
    <row r="997">
      <c r="A997" s="74"/>
      <c r="B997" s="75"/>
      <c r="C997" s="76"/>
      <c r="F997" s="71"/>
      <c r="G997" s="77"/>
      <c r="J997" s="78"/>
      <c r="K997" s="63"/>
      <c r="L997" s="63"/>
      <c r="M997" s="63"/>
      <c r="N997" s="63"/>
      <c r="O997" s="63"/>
      <c r="P997" s="63"/>
      <c r="Q997" s="63"/>
      <c r="R997" s="63"/>
      <c r="S997" s="63"/>
      <c r="U997" s="71"/>
      <c r="V997" s="71"/>
      <c r="Z997" s="71"/>
      <c r="BW997" s="64"/>
      <c r="BX997" s="64"/>
      <c r="BY997" s="64"/>
      <c r="BZ997" s="66"/>
      <c r="CA997" s="64"/>
      <c r="CB997" s="64"/>
      <c r="CC997" s="64"/>
      <c r="CD997" s="64"/>
      <c r="CE997" s="64"/>
      <c r="CF997" s="64"/>
      <c r="CG997" s="64" t="str">
        <f t="shared" si="6"/>
        <v/>
      </c>
    </row>
    <row r="998">
      <c r="A998" s="74"/>
      <c r="B998" s="75"/>
      <c r="C998" s="76"/>
      <c r="F998" s="71"/>
      <c r="G998" s="77"/>
      <c r="J998" s="78"/>
      <c r="K998" s="63"/>
      <c r="L998" s="63"/>
      <c r="M998" s="63"/>
      <c r="N998" s="63"/>
      <c r="O998" s="63"/>
      <c r="P998" s="63"/>
      <c r="Q998" s="63"/>
      <c r="R998" s="63"/>
      <c r="S998" s="63"/>
      <c r="U998" s="71"/>
      <c r="V998" s="71"/>
      <c r="Z998" s="71"/>
      <c r="BW998" s="64"/>
      <c r="BX998" s="64"/>
      <c r="BY998" s="64"/>
      <c r="BZ998" s="66"/>
      <c r="CA998" s="64"/>
      <c r="CB998" s="64"/>
      <c r="CC998" s="64"/>
      <c r="CD998" s="64"/>
      <c r="CE998" s="64"/>
      <c r="CF998" s="64"/>
      <c r="CG998" s="64" t="str">
        <f t="shared" si="6"/>
        <v/>
      </c>
    </row>
    <row r="999">
      <c r="A999" s="74"/>
      <c r="B999" s="75"/>
      <c r="C999" s="76"/>
      <c r="F999" s="71"/>
      <c r="G999" s="77"/>
      <c r="J999" s="78"/>
      <c r="K999" s="63"/>
      <c r="L999" s="63"/>
      <c r="M999" s="63"/>
      <c r="N999" s="63"/>
      <c r="O999" s="63"/>
      <c r="P999" s="63"/>
      <c r="Q999" s="63"/>
      <c r="R999" s="63"/>
      <c r="S999" s="63"/>
      <c r="U999" s="71"/>
      <c r="V999" s="71"/>
      <c r="Z999" s="71"/>
      <c r="BW999" s="64"/>
      <c r="BX999" s="64"/>
      <c r="BY999" s="64"/>
      <c r="BZ999" s="66"/>
      <c r="CA999" s="64"/>
      <c r="CB999" s="64"/>
      <c r="CC999" s="64"/>
      <c r="CD999" s="64"/>
      <c r="CE999" s="64"/>
      <c r="CF999" s="64"/>
      <c r="CG999" s="64" t="str">
        <f t="shared" si="6"/>
        <v/>
      </c>
    </row>
    <row r="1000">
      <c r="A1000" s="74"/>
      <c r="B1000" s="75"/>
      <c r="C1000" s="76"/>
      <c r="F1000" s="71"/>
      <c r="G1000" s="77"/>
      <c r="J1000" s="78"/>
      <c r="K1000" s="63"/>
      <c r="L1000" s="63"/>
      <c r="M1000" s="63"/>
      <c r="N1000" s="63"/>
      <c r="O1000" s="63"/>
      <c r="P1000" s="63"/>
      <c r="Q1000" s="63"/>
      <c r="R1000" s="63"/>
      <c r="S1000" s="63"/>
      <c r="U1000" s="71"/>
      <c r="V1000" s="71"/>
      <c r="Z1000" s="71"/>
      <c r="BW1000" s="64"/>
      <c r="BX1000" s="64"/>
      <c r="BY1000" s="64"/>
      <c r="BZ1000" s="66"/>
      <c r="CA1000" s="64"/>
      <c r="CB1000" s="64"/>
      <c r="CC1000" s="64"/>
      <c r="CD1000" s="64"/>
      <c r="CE1000" s="64"/>
      <c r="CF1000" s="64"/>
      <c r="CG1000" s="64" t="str">
        <f t="shared" si="6"/>
        <v/>
      </c>
    </row>
  </sheetData>
  <autoFilter ref="$A$1:$CG$105"/>
  <mergeCells count="506">
    <mergeCell ref="BK230:BL230"/>
    <mergeCell ref="BK231:BL231"/>
    <mergeCell ref="BK232:BL232"/>
    <mergeCell ref="BK233:BL233"/>
    <mergeCell ref="BK234:BL234"/>
    <mergeCell ref="BK235:BL235"/>
    <mergeCell ref="BI236:BJ236"/>
    <mergeCell ref="BK237:BL237"/>
    <mergeCell ref="BK238:BL238"/>
    <mergeCell ref="BK239:BL239"/>
    <mergeCell ref="BI240:BJ240"/>
    <mergeCell ref="BK241:BL241"/>
    <mergeCell ref="BI242:BJ242"/>
    <mergeCell ref="BI243:BJ243"/>
    <mergeCell ref="BK199:BL199"/>
    <mergeCell ref="BK200:BL200"/>
    <mergeCell ref="BK201:BL201"/>
    <mergeCell ref="BK202:BL202"/>
    <mergeCell ref="BK203:BL203"/>
    <mergeCell ref="BK205:BL205"/>
    <mergeCell ref="BK206:BL206"/>
    <mergeCell ref="BI213:BJ213"/>
    <mergeCell ref="BI214:BJ214"/>
    <mergeCell ref="BI218:BJ218"/>
    <mergeCell ref="BI221:BJ221"/>
    <mergeCell ref="BK207:BL207"/>
    <mergeCell ref="BK208:BL208"/>
    <mergeCell ref="BK209:BL209"/>
    <mergeCell ref="BK210:BL210"/>
    <mergeCell ref="BK211:BL211"/>
    <mergeCell ref="BO213:BP213"/>
    <mergeCell ref="BO214:BP214"/>
    <mergeCell ref="BK212:BL212"/>
    <mergeCell ref="BK215:BL215"/>
    <mergeCell ref="BK216:BL216"/>
    <mergeCell ref="BK217:BL217"/>
    <mergeCell ref="BK219:BL219"/>
    <mergeCell ref="BK220:BL220"/>
    <mergeCell ref="BK222:BL222"/>
    <mergeCell ref="BK223:BL223"/>
    <mergeCell ref="BK224:BL224"/>
    <mergeCell ref="BK225:BL225"/>
    <mergeCell ref="BK226:BL226"/>
    <mergeCell ref="BK227:BL227"/>
    <mergeCell ref="BK228:BL228"/>
    <mergeCell ref="BI229:BJ229"/>
    <mergeCell ref="BO244:BP244"/>
    <mergeCell ref="BO245:BP245"/>
    <mergeCell ref="BO246:BP246"/>
    <mergeCell ref="BO248:BP248"/>
    <mergeCell ref="BO218:BP218"/>
    <mergeCell ref="BO221:BP221"/>
    <mergeCell ref="BO229:BP229"/>
    <mergeCell ref="BO236:BP236"/>
    <mergeCell ref="BO240:BP240"/>
    <mergeCell ref="BO242:BP242"/>
    <mergeCell ref="BO243:BP243"/>
    <mergeCell ref="BK280:BL280"/>
    <mergeCell ref="BK281:BL281"/>
    <mergeCell ref="BI282:BJ282"/>
    <mergeCell ref="BO282:BP282"/>
    <mergeCell ref="BI283:BJ283"/>
    <mergeCell ref="BO283:BP283"/>
    <mergeCell ref="BK284:BL284"/>
    <mergeCell ref="BK285:BL285"/>
    <mergeCell ref="BI286:BJ286"/>
    <mergeCell ref="BO286:BP286"/>
    <mergeCell ref="BK287:BL287"/>
    <mergeCell ref="BK288:BL288"/>
    <mergeCell ref="BK289:BL289"/>
    <mergeCell ref="BK290:BL290"/>
    <mergeCell ref="BI244:BJ244"/>
    <mergeCell ref="BI245:BJ245"/>
    <mergeCell ref="BI246:BJ246"/>
    <mergeCell ref="BK247:BL247"/>
    <mergeCell ref="BI248:BJ248"/>
    <mergeCell ref="BK249:BL249"/>
    <mergeCell ref="BK250:BL250"/>
    <mergeCell ref="BK251:BL251"/>
    <mergeCell ref="BK252:BL252"/>
    <mergeCell ref="BK253:BL253"/>
    <mergeCell ref="BK254:BL254"/>
    <mergeCell ref="BK255:BL255"/>
    <mergeCell ref="BI257:BJ257"/>
    <mergeCell ref="BO257:BP257"/>
    <mergeCell ref="BK256:BL256"/>
    <mergeCell ref="BK258:BL258"/>
    <mergeCell ref="BK259:BL259"/>
    <mergeCell ref="BK260:BL260"/>
    <mergeCell ref="BK261:BL261"/>
    <mergeCell ref="BK262:BL262"/>
    <mergeCell ref="BK263:BL263"/>
    <mergeCell ref="BK264:BL264"/>
    <mergeCell ref="BK265:BL265"/>
    <mergeCell ref="BK266:BL266"/>
    <mergeCell ref="BI267:BJ267"/>
    <mergeCell ref="BO267:BP267"/>
    <mergeCell ref="BK268:BL268"/>
    <mergeCell ref="BK269:BL269"/>
    <mergeCell ref="BI270:BJ270"/>
    <mergeCell ref="BO270:BP270"/>
    <mergeCell ref="BI271:BJ271"/>
    <mergeCell ref="BO271:BP271"/>
    <mergeCell ref="BK272:BL272"/>
    <mergeCell ref="BI274:BK274"/>
    <mergeCell ref="BO274:BP274"/>
    <mergeCell ref="BK273:BL273"/>
    <mergeCell ref="BK275:BL275"/>
    <mergeCell ref="BK276:BL276"/>
    <mergeCell ref="BK277:BL277"/>
    <mergeCell ref="BI278:BJ278"/>
    <mergeCell ref="BO278:BP278"/>
    <mergeCell ref="BK279:BL279"/>
    <mergeCell ref="BI298:BJ298"/>
    <mergeCell ref="BO298:BP298"/>
    <mergeCell ref="BI320:BJ320"/>
    <mergeCell ref="BK321:BL321"/>
    <mergeCell ref="BI322:BJ322"/>
    <mergeCell ref="BO322:BP322"/>
    <mergeCell ref="BI323:BJ323"/>
    <mergeCell ref="BO323:BP323"/>
    <mergeCell ref="BO324:BP324"/>
    <mergeCell ref="BI324:BJ324"/>
    <mergeCell ref="BK325:BL325"/>
    <mergeCell ref="BI326:BJ326"/>
    <mergeCell ref="BO326:BP326"/>
    <mergeCell ref="BK327:BL327"/>
    <mergeCell ref="BI328:BJ328"/>
    <mergeCell ref="BI329:BJ329"/>
    <mergeCell ref="BK291:BL291"/>
    <mergeCell ref="BK292:BL292"/>
    <mergeCell ref="BK293:BL293"/>
    <mergeCell ref="BK294:BL294"/>
    <mergeCell ref="BK295:BL295"/>
    <mergeCell ref="BK296:BL296"/>
    <mergeCell ref="BK297:BL297"/>
    <mergeCell ref="BK299:BL299"/>
    <mergeCell ref="BK300:BL300"/>
    <mergeCell ref="BI301:BK301"/>
    <mergeCell ref="BO301:BP301"/>
    <mergeCell ref="BK302:BL302"/>
    <mergeCell ref="BI304:BJ304"/>
    <mergeCell ref="BO304:BP304"/>
    <mergeCell ref="BK303:BL303"/>
    <mergeCell ref="BK305:BL305"/>
    <mergeCell ref="BK306:BL306"/>
    <mergeCell ref="BK307:BL307"/>
    <mergeCell ref="BK308:BL308"/>
    <mergeCell ref="BI309:BK309"/>
    <mergeCell ref="BO309:BP309"/>
    <mergeCell ref="BK310:BL310"/>
    <mergeCell ref="BK311:BL311"/>
    <mergeCell ref="BK312:BL312"/>
    <mergeCell ref="BI313:BJ313"/>
    <mergeCell ref="BO313:BP313"/>
    <mergeCell ref="BI315:BJ315"/>
    <mergeCell ref="BO315:BP315"/>
    <mergeCell ref="BK314:BL314"/>
    <mergeCell ref="BK316:BL316"/>
    <mergeCell ref="BK317:BL317"/>
    <mergeCell ref="BK318:BL318"/>
    <mergeCell ref="BI319:BJ319"/>
    <mergeCell ref="BO319:BP319"/>
    <mergeCell ref="BO320:BP320"/>
    <mergeCell ref="BO328:BP328"/>
    <mergeCell ref="BO329:BP329"/>
    <mergeCell ref="BI330:BJ330"/>
    <mergeCell ref="BO330:BP330"/>
    <mergeCell ref="BI331:BJ331"/>
    <mergeCell ref="BO331:BP331"/>
    <mergeCell ref="BI332:BJ332"/>
    <mergeCell ref="BO332:BP332"/>
    <mergeCell ref="BO333:BP333"/>
    <mergeCell ref="BI333:BJ333"/>
    <mergeCell ref="BK334:BL334"/>
    <mergeCell ref="BK335:BL335"/>
    <mergeCell ref="BK336:BL336"/>
    <mergeCell ref="BK337:BL337"/>
    <mergeCell ref="BK338:BL338"/>
    <mergeCell ref="BK339:BL339"/>
    <mergeCell ref="BK340:BL340"/>
    <mergeCell ref="BK341:BL341"/>
    <mergeCell ref="BK342:BL342"/>
    <mergeCell ref="BK343:BL343"/>
    <mergeCell ref="BK344:BL344"/>
    <mergeCell ref="BK345:BL345"/>
    <mergeCell ref="BK346:BL346"/>
    <mergeCell ref="BK347:BL347"/>
    <mergeCell ref="BK348:BL348"/>
    <mergeCell ref="BK349:BL349"/>
    <mergeCell ref="BI350:BK350"/>
    <mergeCell ref="BO350:BP350"/>
    <mergeCell ref="BK351:BL351"/>
    <mergeCell ref="BK352:BL352"/>
    <mergeCell ref="BK353:BL353"/>
    <mergeCell ref="BK354:BL354"/>
    <mergeCell ref="BK355:BL355"/>
    <mergeCell ref="BK356:BL356"/>
    <mergeCell ref="BK357:BL357"/>
    <mergeCell ref="BK358:BL358"/>
    <mergeCell ref="BK359:BL359"/>
    <mergeCell ref="BK360:BL360"/>
    <mergeCell ref="BK361:BL361"/>
    <mergeCell ref="BK362:BL362"/>
    <mergeCell ref="BK363:BL363"/>
    <mergeCell ref="BK364:BL364"/>
    <mergeCell ref="BI365:BK365"/>
    <mergeCell ref="BO365:BP365"/>
    <mergeCell ref="BI370:BJ370"/>
    <mergeCell ref="BI372:BJ372"/>
    <mergeCell ref="BI374:BK374"/>
    <mergeCell ref="BK366:BL366"/>
    <mergeCell ref="BK367:BL367"/>
    <mergeCell ref="BI368:BJ368"/>
    <mergeCell ref="BO368:BP368"/>
    <mergeCell ref="BK369:BL369"/>
    <mergeCell ref="BO370:BP370"/>
    <mergeCell ref="BO372:BP372"/>
    <mergeCell ref="BO374:BP374"/>
    <mergeCell ref="BK371:BL371"/>
    <mergeCell ref="BK373:BL373"/>
    <mergeCell ref="BK375:BL375"/>
    <mergeCell ref="BK376:BL376"/>
    <mergeCell ref="BK377:BL377"/>
    <mergeCell ref="BK378:BL378"/>
    <mergeCell ref="BK379:BL379"/>
    <mergeCell ref="BK380:BL380"/>
    <mergeCell ref="BK381:BL381"/>
    <mergeCell ref="BK382:BL382"/>
    <mergeCell ref="BI383:BK383"/>
    <mergeCell ref="BO383:BP383"/>
    <mergeCell ref="BK384:BL384"/>
    <mergeCell ref="BK385:BL385"/>
    <mergeCell ref="BI393:BK393"/>
    <mergeCell ref="BO393:BP393"/>
    <mergeCell ref="BI394:BJ394"/>
    <mergeCell ref="BO394:BP394"/>
    <mergeCell ref="BI396:BJ396"/>
    <mergeCell ref="BO396:BP396"/>
    <mergeCell ref="BK386:BL386"/>
    <mergeCell ref="BK387:BL387"/>
    <mergeCell ref="BK388:BL388"/>
    <mergeCell ref="BK389:BL389"/>
    <mergeCell ref="BK390:BL390"/>
    <mergeCell ref="BK391:BL391"/>
    <mergeCell ref="BK392:BL392"/>
    <mergeCell ref="BK395:BL395"/>
    <mergeCell ref="BK397:BL397"/>
    <mergeCell ref="BK398:BL398"/>
    <mergeCell ref="BI399:BJ399"/>
    <mergeCell ref="BO399:BP399"/>
    <mergeCell ref="BK400:BL400"/>
    <mergeCell ref="BK401:BL401"/>
    <mergeCell ref="BI402:BK402"/>
    <mergeCell ref="BO402:BP402"/>
    <mergeCell ref="BK403:BL403"/>
    <mergeCell ref="BK404:BL404"/>
    <mergeCell ref="BI405:BJ405"/>
    <mergeCell ref="BO405:BP405"/>
    <mergeCell ref="BK406:BL406"/>
    <mergeCell ref="BK407:BL407"/>
    <mergeCell ref="BI408:BK408"/>
    <mergeCell ref="BO408:BP408"/>
    <mergeCell ref="BK409:BL409"/>
    <mergeCell ref="BI410:BJ410"/>
    <mergeCell ref="BO410:BP410"/>
    <mergeCell ref="BK411:BL411"/>
    <mergeCell ref="BK446:BL446"/>
    <mergeCell ref="BI447:BJ447"/>
    <mergeCell ref="BO447:BP447"/>
    <mergeCell ref="BK448:BL448"/>
    <mergeCell ref="BK449:BL449"/>
    <mergeCell ref="BK450:BL450"/>
    <mergeCell ref="BK451:BL451"/>
    <mergeCell ref="BI452:BK452"/>
    <mergeCell ref="BO452:BP452"/>
    <mergeCell ref="BK453:BL453"/>
    <mergeCell ref="BO415:BP415"/>
    <mergeCell ref="BO417:BP417"/>
    <mergeCell ref="BO419:BP419"/>
    <mergeCell ref="BO421:BP421"/>
    <mergeCell ref="BO423:BP423"/>
    <mergeCell ref="BO430:BP430"/>
    <mergeCell ref="BO435:BP435"/>
    <mergeCell ref="BK412:BL412"/>
    <mergeCell ref="BI413:BK413"/>
    <mergeCell ref="BO413:BP413"/>
    <mergeCell ref="BK414:BL414"/>
    <mergeCell ref="BI415:BJ415"/>
    <mergeCell ref="BK416:BL416"/>
    <mergeCell ref="BI417:BJ417"/>
    <mergeCell ref="BK418:BL418"/>
    <mergeCell ref="BI419:BK419"/>
    <mergeCell ref="BK420:BL420"/>
    <mergeCell ref="BI421:BJ421"/>
    <mergeCell ref="BK422:BL422"/>
    <mergeCell ref="BI423:BJ423"/>
    <mergeCell ref="BK424:BL424"/>
    <mergeCell ref="BK425:BL425"/>
    <mergeCell ref="BK426:BL426"/>
    <mergeCell ref="BK427:BL427"/>
    <mergeCell ref="BK428:BL428"/>
    <mergeCell ref="BK429:BL429"/>
    <mergeCell ref="BI430:BJ430"/>
    <mergeCell ref="BK431:BL431"/>
    <mergeCell ref="BK432:BL432"/>
    <mergeCell ref="BK433:BL433"/>
    <mergeCell ref="BK434:BL434"/>
    <mergeCell ref="BI435:BJ435"/>
    <mergeCell ref="BK436:BL436"/>
    <mergeCell ref="BK437:BL437"/>
    <mergeCell ref="BK438:BL438"/>
    <mergeCell ref="BK439:BL439"/>
    <mergeCell ref="BK440:BL440"/>
    <mergeCell ref="BK441:BL441"/>
    <mergeCell ref="BK442:BL442"/>
    <mergeCell ref="BK443:BL443"/>
    <mergeCell ref="BK444:BL444"/>
    <mergeCell ref="BK445:BL445"/>
    <mergeCell ref="BI461:BK461"/>
    <mergeCell ref="BO461:BP461"/>
    <mergeCell ref="BK85:BL85"/>
    <mergeCell ref="BK86:BL86"/>
    <mergeCell ref="BK87:BL87"/>
    <mergeCell ref="BK88:BL88"/>
    <mergeCell ref="BK89:BL89"/>
    <mergeCell ref="BK90:BL90"/>
    <mergeCell ref="BK91:BL91"/>
    <mergeCell ref="BK92:BL92"/>
    <mergeCell ref="BK93:BL93"/>
    <mergeCell ref="BK94:BL94"/>
    <mergeCell ref="BK95:BL95"/>
    <mergeCell ref="BK96:BL96"/>
    <mergeCell ref="BK97:BL97"/>
    <mergeCell ref="BK98:BL98"/>
    <mergeCell ref="BO103:BP103"/>
    <mergeCell ref="BO104:BP104"/>
    <mergeCell ref="BK99:BL99"/>
    <mergeCell ref="BK100:BL100"/>
    <mergeCell ref="BK101:BL101"/>
    <mergeCell ref="BI102:BJ102"/>
    <mergeCell ref="BO102:BP102"/>
    <mergeCell ref="BI103:BJ103"/>
    <mergeCell ref="BI104:BJ104"/>
    <mergeCell ref="BI105:BJ105"/>
    <mergeCell ref="BO105:BP105"/>
    <mergeCell ref="BK106:BL106"/>
    <mergeCell ref="BK107:BL107"/>
    <mergeCell ref="BK108:BL108"/>
    <mergeCell ref="BI109:BJ109"/>
    <mergeCell ref="BO109:BP109"/>
    <mergeCell ref="BO114:BP114"/>
    <mergeCell ref="BO116:BP116"/>
    <mergeCell ref="BK110:BL110"/>
    <mergeCell ref="BK111:BL111"/>
    <mergeCell ref="BK112:BL112"/>
    <mergeCell ref="BK113:BL113"/>
    <mergeCell ref="BI114:BJ114"/>
    <mergeCell ref="BK115:BL115"/>
    <mergeCell ref="BI116:BJ116"/>
    <mergeCell ref="BK156:BL156"/>
    <mergeCell ref="BK158:BL158"/>
    <mergeCell ref="BK159:BL159"/>
    <mergeCell ref="BK150:BL150"/>
    <mergeCell ref="BK151:BL151"/>
    <mergeCell ref="BK152:BL152"/>
    <mergeCell ref="BK153:BL153"/>
    <mergeCell ref="BK154:BL154"/>
    <mergeCell ref="BO155:BP155"/>
    <mergeCell ref="BO157:BP157"/>
    <mergeCell ref="BI155:BJ155"/>
    <mergeCell ref="BI157:BJ157"/>
    <mergeCell ref="BI160:BJ160"/>
    <mergeCell ref="BO160:BP160"/>
    <mergeCell ref="BK161:BL161"/>
    <mergeCell ref="BI162:BJ162"/>
    <mergeCell ref="BO162:BP162"/>
    <mergeCell ref="BK163:BL163"/>
    <mergeCell ref="BK164:BL164"/>
    <mergeCell ref="BK165:BL165"/>
    <mergeCell ref="BI166:BJ166"/>
    <mergeCell ref="BO166:BP166"/>
    <mergeCell ref="BI167:BJ167"/>
    <mergeCell ref="BO167:BP167"/>
    <mergeCell ref="BK168:BL168"/>
    <mergeCell ref="BK169:BL169"/>
    <mergeCell ref="BK170:BL170"/>
    <mergeCell ref="BK171:BL171"/>
    <mergeCell ref="BK172:BL172"/>
    <mergeCell ref="BI173:BJ173"/>
    <mergeCell ref="BO173:BP173"/>
    <mergeCell ref="BK174:BL174"/>
    <mergeCell ref="BK175:BL175"/>
    <mergeCell ref="BI176:BJ176"/>
    <mergeCell ref="BO176:BP176"/>
    <mergeCell ref="BK177:BL177"/>
    <mergeCell ref="BK178:BL178"/>
    <mergeCell ref="BK179:BL179"/>
    <mergeCell ref="BK180:BL180"/>
    <mergeCell ref="BK181:BL181"/>
    <mergeCell ref="BK182:BL182"/>
    <mergeCell ref="BI183:BJ183"/>
    <mergeCell ref="BO183:BP183"/>
    <mergeCell ref="BK184:BL184"/>
    <mergeCell ref="BK185:BL185"/>
    <mergeCell ref="BK186:BL186"/>
    <mergeCell ref="BK187:BL187"/>
    <mergeCell ref="BK188:BL188"/>
    <mergeCell ref="BK189:BL189"/>
    <mergeCell ref="BK190:BL190"/>
    <mergeCell ref="BI192:BJ192"/>
    <mergeCell ref="BO192:BP192"/>
    <mergeCell ref="BK117:BL117"/>
    <mergeCell ref="BK118:BL118"/>
    <mergeCell ref="BK119:BL119"/>
    <mergeCell ref="BK120:BL120"/>
    <mergeCell ref="BK121:BL121"/>
    <mergeCell ref="BK122:BL122"/>
    <mergeCell ref="BK123:BL123"/>
    <mergeCell ref="BI131:BJ131"/>
    <mergeCell ref="BO131:BP131"/>
    <mergeCell ref="BK124:BL124"/>
    <mergeCell ref="BK125:BL125"/>
    <mergeCell ref="BK126:BL126"/>
    <mergeCell ref="BK127:BL127"/>
    <mergeCell ref="BK128:BL128"/>
    <mergeCell ref="BK129:BL129"/>
    <mergeCell ref="BK130:BL130"/>
    <mergeCell ref="BK132:BL132"/>
    <mergeCell ref="BK133:BL133"/>
    <mergeCell ref="BI134:BJ134"/>
    <mergeCell ref="BO134:BP134"/>
    <mergeCell ref="BK135:BL135"/>
    <mergeCell ref="BI136:BJ136"/>
    <mergeCell ref="BO136:BP136"/>
    <mergeCell ref="BK137:BL137"/>
    <mergeCell ref="BK138:BL138"/>
    <mergeCell ref="BK139:BL139"/>
    <mergeCell ref="BK140:BL140"/>
    <mergeCell ref="BK141:BL141"/>
    <mergeCell ref="BK142:BL142"/>
    <mergeCell ref="BK143:BL143"/>
    <mergeCell ref="BK144:BL144"/>
    <mergeCell ref="BK145:BL145"/>
    <mergeCell ref="BK146:BL146"/>
    <mergeCell ref="BK147:BL147"/>
    <mergeCell ref="BK148:BL148"/>
    <mergeCell ref="BI149:BJ149"/>
    <mergeCell ref="BO149:BP149"/>
    <mergeCell ref="BK191:BL191"/>
    <mergeCell ref="BK193:BL193"/>
    <mergeCell ref="BK194:BL194"/>
    <mergeCell ref="BK195:BL195"/>
    <mergeCell ref="BK196:BL196"/>
    <mergeCell ref="BK197:BL197"/>
    <mergeCell ref="BK198:BL198"/>
    <mergeCell ref="BK454:BL454"/>
    <mergeCell ref="BK455:BL455"/>
    <mergeCell ref="BK456:BL456"/>
    <mergeCell ref="BK457:BL457"/>
    <mergeCell ref="BK458:BL458"/>
    <mergeCell ref="BK459:BL459"/>
    <mergeCell ref="BK460:BL460"/>
    <mergeCell ref="BK462:BL462"/>
    <mergeCell ref="BK463:BL463"/>
    <mergeCell ref="BI464:BJ464"/>
    <mergeCell ref="BO464:BP464"/>
    <mergeCell ref="BK465:BL465"/>
    <mergeCell ref="BK466:BL466"/>
    <mergeCell ref="BK467:BL467"/>
    <mergeCell ref="BO474:BP474"/>
    <mergeCell ref="BO476:BP476"/>
    <mergeCell ref="BO477:BP477"/>
    <mergeCell ref="BO478:BP478"/>
    <mergeCell ref="BO481:BP481"/>
    <mergeCell ref="BO484:BP484"/>
    <mergeCell ref="BO490:BP490"/>
    <mergeCell ref="BO492:BP492"/>
    <mergeCell ref="BI468:BK468"/>
    <mergeCell ref="BO468:BP468"/>
    <mergeCell ref="BK469:BL469"/>
    <mergeCell ref="BI470:BJ470"/>
    <mergeCell ref="BO470:BP470"/>
    <mergeCell ref="BI472:BJ472"/>
    <mergeCell ref="BO472:BP472"/>
    <mergeCell ref="BK471:BL471"/>
    <mergeCell ref="BK473:BL473"/>
    <mergeCell ref="BI474:BJ474"/>
    <mergeCell ref="BK475:BL475"/>
    <mergeCell ref="BI476:BK476"/>
    <mergeCell ref="BI477:BK477"/>
    <mergeCell ref="BI478:BK478"/>
    <mergeCell ref="BK486:BL486"/>
    <mergeCell ref="BK487:BL487"/>
    <mergeCell ref="BK488:BL488"/>
    <mergeCell ref="BK489:BL489"/>
    <mergeCell ref="BI490:BJ490"/>
    <mergeCell ref="BK491:BL491"/>
    <mergeCell ref="BI492:BJ492"/>
    <mergeCell ref="BK479:BL479"/>
    <mergeCell ref="BK480:BL480"/>
    <mergeCell ref="BI481:BK481"/>
    <mergeCell ref="BK482:BL482"/>
    <mergeCell ref="BK483:BL483"/>
    <mergeCell ref="BI484:BJ484"/>
    <mergeCell ref="BK485:BL485"/>
  </mergeCells>
  <conditionalFormatting sqref="CB1:CB1000">
    <cfRule type="cellIs" dxfId="0" priority="1" operator="lessThanOrEqual">
      <formula>0</formula>
    </cfRule>
  </conditionalFormatting>
  <conditionalFormatting sqref="CB1:CB1000">
    <cfRule type="cellIs" dxfId="1" priority="2" operator="lessThanOrEqual">
      <formula>10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706</v>
      </c>
      <c r="B1" s="79" t="s">
        <v>707</v>
      </c>
      <c r="C1" s="79" t="s">
        <v>90</v>
      </c>
      <c r="D1" s="80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>
      <c r="A2" s="79" t="s">
        <v>431</v>
      </c>
      <c r="B2" s="79">
        <v>1215.0</v>
      </c>
      <c r="C2" s="79" t="s">
        <v>6</v>
      </c>
      <c r="D2" s="82">
        <v>62.76</v>
      </c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>
      <c r="A3" s="79" t="s">
        <v>708</v>
      </c>
      <c r="B3" s="79" t="s">
        <v>709</v>
      </c>
      <c r="C3" s="79" t="s">
        <v>6</v>
      </c>
      <c r="D3" s="82">
        <v>22.88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>
      <c r="A4" s="79" t="s">
        <v>710</v>
      </c>
      <c r="B4" s="79" t="s">
        <v>711</v>
      </c>
      <c r="C4" s="79" t="s">
        <v>6</v>
      </c>
      <c r="D4" s="82">
        <v>25.25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>
      <c r="A5" s="79" t="s">
        <v>712</v>
      </c>
      <c r="B5" s="79" t="s">
        <v>713</v>
      </c>
      <c r="C5" s="79" t="s">
        <v>6</v>
      </c>
      <c r="D5" s="82">
        <v>27.22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>
      <c r="A6" s="79" t="s">
        <v>714</v>
      </c>
      <c r="B6" s="79" t="s">
        <v>715</v>
      </c>
      <c r="C6" s="79" t="s">
        <v>6</v>
      </c>
      <c r="D6" s="82">
        <v>25.25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>
      <c r="A7" s="79" t="s">
        <v>716</v>
      </c>
      <c r="B7" s="79" t="s">
        <v>717</v>
      </c>
      <c r="C7" s="79" t="s">
        <v>6</v>
      </c>
      <c r="D7" s="82">
        <v>24.85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>
      <c r="A8" s="79" t="s">
        <v>718</v>
      </c>
      <c r="B8" s="79" t="s">
        <v>719</v>
      </c>
      <c r="C8" s="79" t="s">
        <v>6</v>
      </c>
      <c r="D8" s="82">
        <v>22.88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>
      <c r="A9" s="79" t="s">
        <v>524</v>
      </c>
      <c r="B9" s="79" t="s">
        <v>720</v>
      </c>
      <c r="C9" s="79" t="s">
        <v>6</v>
      </c>
      <c r="D9" s="82">
        <v>27.22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>
      <c r="A10" s="79" t="s">
        <v>648</v>
      </c>
      <c r="B10" s="79" t="s">
        <v>721</v>
      </c>
      <c r="C10" s="79" t="s">
        <v>6</v>
      </c>
      <c r="D10" s="82">
        <v>25.25</v>
      </c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>
      <c r="A11" s="79" t="s">
        <v>429</v>
      </c>
      <c r="B11" s="79" t="s">
        <v>722</v>
      </c>
      <c r="C11" s="79" t="s">
        <v>6</v>
      </c>
      <c r="D11" s="82">
        <v>27.22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>
      <c r="A12" s="79" t="s">
        <v>398</v>
      </c>
      <c r="B12" s="79" t="s">
        <v>723</v>
      </c>
      <c r="C12" s="79" t="s">
        <v>6</v>
      </c>
      <c r="D12" s="82">
        <v>25.25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>
      <c r="A13" s="79" t="s">
        <v>724</v>
      </c>
      <c r="B13" s="79" t="s">
        <v>725</v>
      </c>
      <c r="C13" s="79" t="s">
        <v>6</v>
      </c>
      <c r="D13" s="82">
        <v>24.0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>
      <c r="A14" s="79" t="s">
        <v>726</v>
      </c>
      <c r="B14" s="79" t="s">
        <v>727</v>
      </c>
      <c r="C14" s="79" t="s">
        <v>6</v>
      </c>
      <c r="D14" s="82">
        <v>28.87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>
      <c r="A15" s="79" t="s">
        <v>728</v>
      </c>
      <c r="B15" s="79" t="s">
        <v>729</v>
      </c>
      <c r="C15" s="79" t="s">
        <v>6</v>
      </c>
      <c r="D15" s="82">
        <v>31.22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79" t="s">
        <v>730</v>
      </c>
      <c r="B16" s="79" t="s">
        <v>731</v>
      </c>
      <c r="C16" s="79" t="s">
        <v>6</v>
      </c>
      <c r="D16" s="82">
        <v>26.43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>
      <c r="A17" s="79" t="s">
        <v>732</v>
      </c>
      <c r="B17" s="79" t="s">
        <v>733</v>
      </c>
      <c r="C17" s="79" t="s">
        <v>6</v>
      </c>
      <c r="D17" s="82">
        <v>26.04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>
      <c r="A18" s="79" t="s">
        <v>734</v>
      </c>
      <c r="B18" s="79" t="s">
        <v>735</v>
      </c>
      <c r="C18" s="79" t="s">
        <v>6</v>
      </c>
      <c r="D18" s="82">
        <v>22.88</v>
      </c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>
      <c r="A19" s="79" t="s">
        <v>396</v>
      </c>
      <c r="B19" s="79" t="s">
        <v>736</v>
      </c>
      <c r="C19" s="79" t="s">
        <v>6</v>
      </c>
      <c r="D19" s="82">
        <v>26.04</v>
      </c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>
      <c r="A20" s="79" t="s">
        <v>737</v>
      </c>
      <c r="B20" s="79" t="s">
        <v>738</v>
      </c>
      <c r="C20" s="79" t="s">
        <v>6</v>
      </c>
      <c r="D20" s="82">
        <v>58.38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>
      <c r="A21" s="79" t="s">
        <v>739</v>
      </c>
      <c r="B21" s="79" t="s">
        <v>740</v>
      </c>
      <c r="C21" s="79" t="s">
        <v>6</v>
      </c>
      <c r="D21" s="82">
        <v>55.23</v>
      </c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>
      <c r="A22" s="79" t="s">
        <v>487</v>
      </c>
      <c r="B22" s="79" t="s">
        <v>741</v>
      </c>
      <c r="C22" s="79" t="s">
        <v>6</v>
      </c>
      <c r="D22" s="82">
        <v>53.25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>
      <c r="A23" s="79" t="s">
        <v>742</v>
      </c>
      <c r="B23" s="79" t="s">
        <v>743</v>
      </c>
      <c r="C23" s="79" t="s">
        <v>6</v>
      </c>
      <c r="D23" s="82">
        <v>32.35</v>
      </c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>
      <c r="A24" s="79" t="s">
        <v>744</v>
      </c>
      <c r="B24" s="79" t="s">
        <v>745</v>
      </c>
      <c r="C24" s="79" t="s">
        <v>6</v>
      </c>
      <c r="D24" s="82">
        <v>39.05</v>
      </c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>
      <c r="A25" s="79" t="s">
        <v>746</v>
      </c>
      <c r="B25" s="79" t="s">
        <v>747</v>
      </c>
      <c r="C25" s="79" t="s">
        <v>6</v>
      </c>
      <c r="D25" s="82">
        <v>47.34</v>
      </c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>
      <c r="A26" s="79" t="s">
        <v>748</v>
      </c>
      <c r="B26" s="79" t="s">
        <v>749</v>
      </c>
      <c r="C26" s="79" t="s">
        <v>6</v>
      </c>
      <c r="D26" s="82">
        <v>54.05</v>
      </c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>
      <c r="A27" s="79" t="s">
        <v>750</v>
      </c>
      <c r="B27" s="79" t="s">
        <v>751</v>
      </c>
      <c r="C27" s="79" t="s">
        <v>6</v>
      </c>
      <c r="D27" s="82">
        <v>32.35</v>
      </c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>
      <c r="A28" s="79" t="s">
        <v>412</v>
      </c>
      <c r="B28" s="79" t="s">
        <v>752</v>
      </c>
      <c r="C28" s="79" t="s">
        <v>6</v>
      </c>
      <c r="D28" s="82">
        <v>23.27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>
      <c r="A29" s="79" t="s">
        <v>753</v>
      </c>
      <c r="B29" s="79" t="s">
        <v>754</v>
      </c>
      <c r="C29" s="79" t="s">
        <v>6</v>
      </c>
      <c r="D29" s="82">
        <v>39.05</v>
      </c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>
      <c r="A30" s="79" t="s">
        <v>377</v>
      </c>
      <c r="B30" s="79" t="s">
        <v>755</v>
      </c>
      <c r="C30" s="79" t="s">
        <v>6</v>
      </c>
      <c r="D30" s="82">
        <v>26.82</v>
      </c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>
      <c r="A31" s="79" t="s">
        <v>756</v>
      </c>
      <c r="B31" s="79" t="s">
        <v>757</v>
      </c>
      <c r="C31" s="79" t="s">
        <v>6</v>
      </c>
      <c r="D31" s="82">
        <v>21.69</v>
      </c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>
      <c r="A32" s="79" t="s">
        <v>758</v>
      </c>
      <c r="B32" s="79" t="s">
        <v>759</v>
      </c>
      <c r="C32" s="79" t="s">
        <v>6</v>
      </c>
      <c r="D32" s="82">
        <v>22.88</v>
      </c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>
      <c r="A33" s="79" t="s">
        <v>404</v>
      </c>
      <c r="B33" s="79" t="s">
        <v>760</v>
      </c>
      <c r="C33" s="79" t="s">
        <v>6</v>
      </c>
      <c r="D33" s="82">
        <v>26.04</v>
      </c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>
      <c r="A34" s="79" t="s">
        <v>443</v>
      </c>
      <c r="B34" s="79" t="s">
        <v>761</v>
      </c>
      <c r="C34" s="79" t="s">
        <v>6</v>
      </c>
      <c r="D34" s="82">
        <v>43.39</v>
      </c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>
      <c r="A35" s="79" t="s">
        <v>762</v>
      </c>
      <c r="B35" s="79" t="s">
        <v>763</v>
      </c>
      <c r="C35" s="79" t="s">
        <v>6</v>
      </c>
      <c r="D35" s="82">
        <v>26.04</v>
      </c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>
      <c r="A36" s="79" t="s">
        <v>369</v>
      </c>
      <c r="B36" s="79" t="s">
        <v>764</v>
      </c>
      <c r="C36" s="79" t="s">
        <v>6</v>
      </c>
      <c r="D36" s="82">
        <v>26.04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>
      <c r="A37" s="79" t="s">
        <v>335</v>
      </c>
      <c r="B37" s="79" t="s">
        <v>765</v>
      </c>
      <c r="C37" s="79" t="s">
        <v>6</v>
      </c>
      <c r="D37" s="82">
        <v>32.74</v>
      </c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>
      <c r="A38" s="79" t="s">
        <v>766</v>
      </c>
      <c r="B38" s="79" t="s">
        <v>767</v>
      </c>
      <c r="C38" s="79" t="s">
        <v>6</v>
      </c>
      <c r="D38" s="82">
        <v>26.04</v>
      </c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>
      <c r="A39" s="79" t="s">
        <v>768</v>
      </c>
      <c r="B39" s="79" t="s">
        <v>769</v>
      </c>
      <c r="C39" s="79" t="s">
        <v>6</v>
      </c>
      <c r="D39" s="82">
        <v>39.45</v>
      </c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>
      <c r="A40" s="79" t="s">
        <v>770</v>
      </c>
      <c r="B40" s="79" t="s">
        <v>771</v>
      </c>
      <c r="C40" s="79" t="s">
        <v>6</v>
      </c>
      <c r="D40" s="82">
        <v>31.56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>
      <c r="A41" s="79" t="s">
        <v>772</v>
      </c>
      <c r="B41" s="79" t="s">
        <v>773</v>
      </c>
      <c r="C41" s="79" t="s">
        <v>6</v>
      </c>
      <c r="D41" s="82">
        <v>39.45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>
      <c r="A42" s="79" t="s">
        <v>387</v>
      </c>
      <c r="B42" s="79" t="s">
        <v>774</v>
      </c>
      <c r="C42" s="79" t="s">
        <v>6</v>
      </c>
      <c r="D42" s="82">
        <v>20.83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>
      <c r="A43" s="79" t="s">
        <v>775</v>
      </c>
      <c r="B43" s="79" t="s">
        <v>776</v>
      </c>
      <c r="C43" s="79" t="s">
        <v>6</v>
      </c>
      <c r="D43" s="82">
        <v>39.45</v>
      </c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>
      <c r="A44" s="79" t="s">
        <v>453</v>
      </c>
      <c r="B44" s="79" t="s">
        <v>777</v>
      </c>
      <c r="C44" s="79" t="s">
        <v>6</v>
      </c>
      <c r="D44" s="82">
        <v>26.04</v>
      </c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>
      <c r="A45" s="79" t="s">
        <v>778</v>
      </c>
      <c r="B45" s="79" t="s">
        <v>779</v>
      </c>
      <c r="C45" s="79" t="s">
        <v>6</v>
      </c>
      <c r="D45" s="82">
        <v>37.08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>
      <c r="A46" s="79" t="s">
        <v>780</v>
      </c>
      <c r="B46" s="79" t="s">
        <v>781</v>
      </c>
      <c r="C46" s="79" t="s">
        <v>6</v>
      </c>
      <c r="D46" s="82">
        <v>47.34</v>
      </c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>
      <c r="A47" s="79" t="s">
        <v>782</v>
      </c>
      <c r="B47" s="79" t="s">
        <v>783</v>
      </c>
      <c r="C47" s="79" t="s">
        <v>6</v>
      </c>
      <c r="D47" s="82">
        <v>32.35</v>
      </c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>
      <c r="A48" s="79" t="s">
        <v>382</v>
      </c>
      <c r="B48" s="79" t="s">
        <v>784</v>
      </c>
      <c r="C48" s="79" t="s">
        <v>6</v>
      </c>
      <c r="D48" s="82">
        <v>34.32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>
      <c r="A49" s="79" t="s">
        <v>785</v>
      </c>
      <c r="B49" s="79" t="s">
        <v>786</v>
      </c>
      <c r="C49" s="79" t="s">
        <v>6</v>
      </c>
      <c r="D49" s="82">
        <v>50.1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>
      <c r="A50" s="79" t="s">
        <v>319</v>
      </c>
      <c r="B50" s="79" t="s">
        <v>787</v>
      </c>
      <c r="C50" s="79" t="s">
        <v>6</v>
      </c>
      <c r="D50" s="82">
        <v>32.35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>
      <c r="A51" s="79" t="s">
        <v>788</v>
      </c>
      <c r="B51" s="79" t="s">
        <v>789</v>
      </c>
      <c r="C51" s="79" t="s">
        <v>6</v>
      </c>
      <c r="D51" s="82">
        <v>43.39</v>
      </c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>
      <c r="A52" s="79" t="s">
        <v>790</v>
      </c>
      <c r="B52" s="79" t="s">
        <v>791</v>
      </c>
      <c r="C52" s="79" t="s">
        <v>6</v>
      </c>
      <c r="D52" s="82">
        <v>48.13</v>
      </c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>
      <c r="A53" s="79" t="s">
        <v>435</v>
      </c>
      <c r="B53" s="79" t="s">
        <v>792</v>
      </c>
      <c r="C53" s="79" t="s">
        <v>6</v>
      </c>
      <c r="D53" s="82">
        <v>33.93</v>
      </c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>
      <c r="A54" s="79" t="s">
        <v>354</v>
      </c>
      <c r="B54" s="79" t="s">
        <v>793</v>
      </c>
      <c r="C54" s="79" t="s">
        <v>6</v>
      </c>
      <c r="D54" s="82">
        <v>59.17</v>
      </c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>
      <c r="A55" s="79" t="s">
        <v>414</v>
      </c>
      <c r="B55" s="79" t="s">
        <v>794</v>
      </c>
      <c r="C55" s="79" t="s">
        <v>6</v>
      </c>
      <c r="D55" s="82">
        <v>26.04</v>
      </c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>
      <c r="A56" s="79" t="s">
        <v>795</v>
      </c>
      <c r="B56" s="79" t="s">
        <v>796</v>
      </c>
      <c r="C56" s="79" t="s">
        <v>6</v>
      </c>
      <c r="D56" s="82">
        <v>46.94</v>
      </c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>
      <c r="A57" s="79" t="s">
        <v>797</v>
      </c>
      <c r="B57" s="79" t="s">
        <v>798</v>
      </c>
      <c r="C57" s="79" t="s">
        <v>6</v>
      </c>
      <c r="D57" s="82">
        <v>43.79</v>
      </c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>
      <c r="A58" s="79" t="s">
        <v>279</v>
      </c>
      <c r="B58" s="79" t="s">
        <v>799</v>
      </c>
      <c r="C58" s="79" t="s">
        <v>6</v>
      </c>
      <c r="D58" s="82">
        <v>33.53</v>
      </c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>
      <c r="A59" s="79" t="s">
        <v>131</v>
      </c>
      <c r="B59" s="79" t="s">
        <v>800</v>
      </c>
      <c r="C59" s="79" t="s">
        <v>6</v>
      </c>
      <c r="D59" s="82">
        <v>14.99</v>
      </c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>
      <c r="A60" s="79" t="s">
        <v>801</v>
      </c>
      <c r="B60" s="79" t="s">
        <v>802</v>
      </c>
      <c r="C60" s="79" t="s">
        <v>6</v>
      </c>
      <c r="D60" s="82">
        <v>24.85</v>
      </c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>
      <c r="A61" s="79" t="s">
        <v>359</v>
      </c>
      <c r="B61" s="79" t="s">
        <v>803</v>
      </c>
      <c r="C61" s="79" t="s">
        <v>6</v>
      </c>
      <c r="D61" s="82">
        <v>32.35</v>
      </c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>
      <c r="A62" s="79" t="s">
        <v>511</v>
      </c>
      <c r="B62" s="79" t="s">
        <v>804</v>
      </c>
      <c r="C62" s="79" t="s">
        <v>6</v>
      </c>
      <c r="D62" s="82">
        <v>47.73</v>
      </c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>
      <c r="A63" s="79" t="s">
        <v>805</v>
      </c>
      <c r="B63" s="79" t="s">
        <v>806</v>
      </c>
      <c r="C63" s="79" t="s">
        <v>6</v>
      </c>
      <c r="D63" s="82">
        <v>28.01</v>
      </c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>
      <c r="A64" s="79" t="s">
        <v>560</v>
      </c>
      <c r="B64" s="79" t="s">
        <v>807</v>
      </c>
      <c r="C64" s="79" t="s">
        <v>6</v>
      </c>
      <c r="D64" s="82">
        <v>44.97</v>
      </c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>
      <c r="A65" s="79" t="s">
        <v>808</v>
      </c>
      <c r="B65" s="79" t="s">
        <v>809</v>
      </c>
      <c r="C65" s="79" t="s">
        <v>6</v>
      </c>
      <c r="D65" s="82">
        <v>26.82</v>
      </c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>
      <c r="A66" s="79" t="s">
        <v>810</v>
      </c>
      <c r="B66" s="79" t="s">
        <v>811</v>
      </c>
      <c r="C66" s="79" t="s">
        <v>6</v>
      </c>
      <c r="D66" s="82">
        <v>23.27</v>
      </c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>
      <c r="A67" s="79" t="s">
        <v>812</v>
      </c>
      <c r="B67" s="79" t="s">
        <v>813</v>
      </c>
      <c r="C67" s="79" t="s">
        <v>6</v>
      </c>
      <c r="D67" s="82">
        <v>41.42</v>
      </c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>
      <c r="A68" s="79" t="s">
        <v>814</v>
      </c>
      <c r="B68" s="79" t="s">
        <v>815</v>
      </c>
      <c r="C68" s="79" t="s">
        <v>6</v>
      </c>
      <c r="D68" s="82">
        <v>20.51</v>
      </c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>
      <c r="A69" s="79" t="s">
        <v>362</v>
      </c>
      <c r="B69" s="79" t="s">
        <v>816</v>
      </c>
      <c r="C69" s="79" t="s">
        <v>6</v>
      </c>
      <c r="D69" s="82">
        <v>23.27</v>
      </c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>
      <c r="A70" s="79" t="s">
        <v>515</v>
      </c>
      <c r="B70" s="79" t="s">
        <v>817</v>
      </c>
      <c r="C70" s="79" t="s">
        <v>6</v>
      </c>
      <c r="D70" s="82">
        <v>34.32</v>
      </c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>
      <c r="A71" s="79" t="s">
        <v>818</v>
      </c>
      <c r="B71" s="79" t="s">
        <v>819</v>
      </c>
      <c r="C71" s="79" t="s">
        <v>6</v>
      </c>
      <c r="D71" s="82">
        <v>46.94</v>
      </c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>
      <c r="A72" s="79" t="s">
        <v>820</v>
      </c>
      <c r="B72" s="79" t="s">
        <v>821</v>
      </c>
      <c r="C72" s="79" t="s">
        <v>6</v>
      </c>
      <c r="D72" s="82">
        <v>29.98</v>
      </c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>
      <c r="A73" s="79" t="s">
        <v>323</v>
      </c>
      <c r="B73" s="79" t="s">
        <v>822</v>
      </c>
      <c r="C73" s="79" t="s">
        <v>6</v>
      </c>
      <c r="D73" s="82">
        <v>14.99</v>
      </c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>
      <c r="A74" s="79" t="s">
        <v>597</v>
      </c>
      <c r="B74" s="79" t="s">
        <v>823</v>
      </c>
      <c r="C74" s="79" t="s">
        <v>6</v>
      </c>
      <c r="D74" s="82">
        <v>29.98</v>
      </c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>
      <c r="A75" s="79" t="s">
        <v>824</v>
      </c>
      <c r="B75" s="79" t="s">
        <v>825</v>
      </c>
      <c r="C75" s="79" t="s">
        <v>6</v>
      </c>
      <c r="D75" s="82">
        <v>35.9</v>
      </c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>
      <c r="A76" s="79" t="s">
        <v>826</v>
      </c>
      <c r="B76" s="79" t="s">
        <v>827</v>
      </c>
      <c r="C76" s="79" t="s">
        <v>6</v>
      </c>
      <c r="D76" s="82">
        <v>14.99</v>
      </c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>
      <c r="A77" s="79" t="s">
        <v>828</v>
      </c>
      <c r="B77" s="79" t="s">
        <v>829</v>
      </c>
      <c r="C77" s="79" t="s">
        <v>6</v>
      </c>
      <c r="D77" s="82">
        <v>38.66</v>
      </c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>
      <c r="A78" s="79" t="s">
        <v>305</v>
      </c>
      <c r="B78" s="79" t="s">
        <v>830</v>
      </c>
      <c r="C78" s="79" t="s">
        <v>6</v>
      </c>
      <c r="D78" s="82">
        <v>30.77</v>
      </c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>
      <c r="A79" s="79" t="s">
        <v>413</v>
      </c>
      <c r="B79" s="79" t="s">
        <v>831</v>
      </c>
      <c r="C79" s="79" t="s">
        <v>6</v>
      </c>
      <c r="D79" s="82">
        <v>27.22</v>
      </c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>
      <c r="A80" s="79" t="s">
        <v>832</v>
      </c>
      <c r="B80" s="79" t="s">
        <v>833</v>
      </c>
      <c r="C80" s="79" t="s">
        <v>6</v>
      </c>
      <c r="D80" s="82">
        <v>35.9</v>
      </c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>
      <c r="A81" s="79" t="s">
        <v>334</v>
      </c>
      <c r="B81" s="79" t="s">
        <v>834</v>
      </c>
      <c r="C81" s="79" t="s">
        <v>6</v>
      </c>
      <c r="D81" s="82">
        <v>23.67</v>
      </c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>
      <c r="A82" s="79" t="s">
        <v>835</v>
      </c>
      <c r="B82" s="79" t="s">
        <v>836</v>
      </c>
      <c r="C82" s="79" t="s">
        <v>6</v>
      </c>
      <c r="D82" s="82">
        <v>44.58</v>
      </c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>
      <c r="A83" s="79" t="s">
        <v>837</v>
      </c>
      <c r="B83" s="79" t="s">
        <v>838</v>
      </c>
      <c r="C83" s="79" t="s">
        <v>6</v>
      </c>
      <c r="D83" s="82">
        <v>37.87</v>
      </c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>
      <c r="A84" s="79" t="s">
        <v>839</v>
      </c>
      <c r="B84" s="79" t="s">
        <v>840</v>
      </c>
      <c r="C84" s="79" t="s">
        <v>6</v>
      </c>
      <c r="D84" s="82">
        <v>23.67</v>
      </c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>
      <c r="A85" s="79" t="s">
        <v>391</v>
      </c>
      <c r="B85" s="79" t="s">
        <v>841</v>
      </c>
      <c r="C85" s="79" t="s">
        <v>6</v>
      </c>
      <c r="D85" s="82">
        <v>44.58</v>
      </c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>
      <c r="A86" s="79" t="s">
        <v>355</v>
      </c>
      <c r="B86" s="79" t="s">
        <v>842</v>
      </c>
      <c r="C86" s="79" t="s">
        <v>6</v>
      </c>
      <c r="D86" s="82">
        <v>36.69</v>
      </c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>
      <c r="A87" s="79" t="s">
        <v>843</v>
      </c>
      <c r="B87" s="79" t="s">
        <v>844</v>
      </c>
      <c r="C87" s="79" t="s">
        <v>6</v>
      </c>
      <c r="D87" s="82">
        <v>43.39</v>
      </c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>
      <c r="A88" s="79" t="s">
        <v>433</v>
      </c>
      <c r="B88" s="79" t="s">
        <v>845</v>
      </c>
      <c r="C88" s="79" t="s">
        <v>6</v>
      </c>
      <c r="D88" s="82">
        <v>25.25</v>
      </c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>
      <c r="A89" s="79" t="s">
        <v>589</v>
      </c>
      <c r="B89" s="79" t="s">
        <v>846</v>
      </c>
      <c r="C89" s="79" t="s">
        <v>6</v>
      </c>
      <c r="D89" s="82">
        <v>43.0</v>
      </c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>
      <c r="A90" s="79" t="s">
        <v>847</v>
      </c>
      <c r="B90" s="79" t="s">
        <v>848</v>
      </c>
      <c r="C90" s="79" t="s">
        <v>6</v>
      </c>
      <c r="D90" s="82">
        <v>27.22</v>
      </c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>
      <c r="A91" s="79" t="s">
        <v>849</v>
      </c>
      <c r="B91" s="79" t="s">
        <v>850</v>
      </c>
      <c r="C91" s="79" t="s">
        <v>6</v>
      </c>
      <c r="D91" s="82">
        <v>24.85</v>
      </c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>
      <c r="A92" s="79" t="s">
        <v>395</v>
      </c>
      <c r="B92" s="79" t="s">
        <v>851</v>
      </c>
      <c r="C92" s="79" t="s">
        <v>6</v>
      </c>
      <c r="D92" s="82">
        <v>30.38</v>
      </c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>
      <c r="A93" s="79" t="s">
        <v>852</v>
      </c>
      <c r="B93" s="79" t="s">
        <v>853</v>
      </c>
      <c r="C93" s="79" t="s">
        <v>6</v>
      </c>
      <c r="D93" s="82">
        <v>42.21</v>
      </c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>
      <c r="A94" s="79" t="s">
        <v>854</v>
      </c>
      <c r="B94" s="79" t="s">
        <v>855</v>
      </c>
      <c r="C94" s="79" t="s">
        <v>6</v>
      </c>
      <c r="D94" s="82">
        <v>28.01</v>
      </c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>
      <c r="A95" s="79" t="s">
        <v>856</v>
      </c>
      <c r="B95" s="79" t="s">
        <v>857</v>
      </c>
      <c r="C95" s="79" t="s">
        <v>6</v>
      </c>
      <c r="D95" s="82">
        <v>65.09</v>
      </c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>
      <c r="A96" s="79" t="s">
        <v>331</v>
      </c>
      <c r="B96" s="79" t="s">
        <v>858</v>
      </c>
      <c r="C96" s="79" t="s">
        <v>6</v>
      </c>
      <c r="D96" s="82">
        <v>39.84</v>
      </c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>
      <c r="A97" s="79" t="s">
        <v>342</v>
      </c>
      <c r="B97" s="79" t="s">
        <v>859</v>
      </c>
      <c r="C97" s="79" t="s">
        <v>6</v>
      </c>
      <c r="D97" s="82">
        <v>33.53</v>
      </c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>
      <c r="A98" s="79" t="s">
        <v>350</v>
      </c>
      <c r="B98" s="79" t="s">
        <v>860</v>
      </c>
      <c r="C98" s="79" t="s">
        <v>6</v>
      </c>
      <c r="D98" s="82">
        <v>44.18</v>
      </c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>
      <c r="A99" s="79" t="s">
        <v>416</v>
      </c>
      <c r="B99" s="79" t="s">
        <v>861</v>
      </c>
      <c r="C99" s="79" t="s">
        <v>6</v>
      </c>
      <c r="D99" s="82">
        <v>50.89</v>
      </c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>
      <c r="A100" s="79" t="s">
        <v>291</v>
      </c>
      <c r="B100" s="79" t="s">
        <v>862</v>
      </c>
      <c r="C100" s="79" t="s">
        <v>6</v>
      </c>
      <c r="D100" s="82">
        <v>34.71</v>
      </c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>
      <c r="A101" s="79" t="s">
        <v>863</v>
      </c>
      <c r="B101" s="79" t="s">
        <v>864</v>
      </c>
      <c r="C101" s="79" t="s">
        <v>6</v>
      </c>
      <c r="D101" s="82">
        <v>48.33</v>
      </c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>
      <c r="A102" s="79" t="s">
        <v>654</v>
      </c>
      <c r="B102" s="79" t="s">
        <v>865</v>
      </c>
      <c r="C102" s="79" t="s">
        <v>6</v>
      </c>
      <c r="D102" s="82">
        <v>38.27</v>
      </c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>
      <c r="A103" s="79" t="s">
        <v>866</v>
      </c>
      <c r="B103" s="79" t="s">
        <v>867</v>
      </c>
      <c r="C103" s="79" t="s">
        <v>6</v>
      </c>
      <c r="D103" s="82">
        <v>34.32</v>
      </c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>
      <c r="A104" s="79" t="s">
        <v>388</v>
      </c>
      <c r="B104" s="79" t="s">
        <v>868</v>
      </c>
      <c r="C104" s="79" t="s">
        <v>6</v>
      </c>
      <c r="D104" s="82">
        <v>29.58</v>
      </c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>
      <c r="A105" s="79" t="s">
        <v>869</v>
      </c>
      <c r="B105" s="79" t="s">
        <v>870</v>
      </c>
      <c r="C105" s="79" t="s">
        <v>6</v>
      </c>
      <c r="D105" s="82">
        <v>30.38</v>
      </c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>
      <c r="A106" s="79" t="s">
        <v>871</v>
      </c>
      <c r="B106" s="79" t="s">
        <v>872</v>
      </c>
      <c r="C106" s="79" t="s">
        <v>6</v>
      </c>
      <c r="D106" s="82">
        <v>36.29</v>
      </c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>
      <c r="A107" s="79" t="s">
        <v>873</v>
      </c>
      <c r="B107" s="79" t="s">
        <v>874</v>
      </c>
      <c r="C107" s="79" t="s">
        <v>6</v>
      </c>
      <c r="D107" s="82">
        <v>36.29</v>
      </c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>
      <c r="A108" s="79" t="s">
        <v>875</v>
      </c>
      <c r="B108" s="79" t="s">
        <v>876</v>
      </c>
      <c r="C108" s="79" t="s">
        <v>6</v>
      </c>
      <c r="D108" s="82">
        <v>25.64</v>
      </c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>
      <c r="A109" s="79" t="s">
        <v>877</v>
      </c>
      <c r="B109" s="79" t="s">
        <v>878</v>
      </c>
      <c r="C109" s="79" t="s">
        <v>6</v>
      </c>
      <c r="D109" s="82">
        <v>25.25</v>
      </c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>
      <c r="A110" s="79" t="s">
        <v>879</v>
      </c>
      <c r="B110" s="79" t="s">
        <v>880</v>
      </c>
      <c r="C110" s="79" t="s">
        <v>6</v>
      </c>
      <c r="D110" s="82">
        <v>29.58</v>
      </c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>
      <c r="A111" s="79" t="s">
        <v>401</v>
      </c>
      <c r="B111" s="79" t="s">
        <v>881</v>
      </c>
      <c r="C111" s="79" t="s">
        <v>6</v>
      </c>
      <c r="D111" s="82">
        <v>33.14</v>
      </c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>
      <c r="A112" s="79" t="s">
        <v>327</v>
      </c>
      <c r="B112" s="79" t="s">
        <v>882</v>
      </c>
      <c r="C112" s="79" t="s">
        <v>6</v>
      </c>
      <c r="D112" s="82">
        <v>41.42</v>
      </c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>
      <c r="A113" s="79" t="s">
        <v>287</v>
      </c>
      <c r="B113" s="79" t="s">
        <v>883</v>
      </c>
      <c r="C113" s="79" t="s">
        <v>6</v>
      </c>
      <c r="D113" s="82">
        <v>22.1</v>
      </c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>
      <c r="A114" s="79" t="s">
        <v>884</v>
      </c>
      <c r="B114" s="79" t="s">
        <v>885</v>
      </c>
      <c r="C114" s="79" t="s">
        <v>6</v>
      </c>
      <c r="D114" s="82">
        <v>30.77</v>
      </c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>
      <c r="A115" s="79" t="s">
        <v>886</v>
      </c>
      <c r="B115" s="79" t="s">
        <v>887</v>
      </c>
      <c r="C115" s="79" t="s">
        <v>6</v>
      </c>
      <c r="D115" s="82">
        <v>44.96</v>
      </c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>
      <c r="A116" s="79" t="s">
        <v>888</v>
      </c>
      <c r="B116" s="79" t="s">
        <v>889</v>
      </c>
      <c r="C116" s="79" t="s">
        <v>6</v>
      </c>
      <c r="D116" s="82">
        <v>28.8</v>
      </c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>
      <c r="A117" s="79" t="s">
        <v>498</v>
      </c>
      <c r="B117" s="79" t="s">
        <v>890</v>
      </c>
      <c r="C117" s="79" t="s">
        <v>6</v>
      </c>
      <c r="D117" s="82">
        <v>30.77</v>
      </c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>
      <c r="A118" s="79" t="s">
        <v>891</v>
      </c>
      <c r="B118" s="79" t="s">
        <v>892</v>
      </c>
      <c r="C118" s="79" t="s">
        <v>6</v>
      </c>
      <c r="D118" s="82">
        <v>42.6</v>
      </c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>
      <c r="A119" s="79" t="s">
        <v>893</v>
      </c>
      <c r="B119" s="79" t="s">
        <v>894</v>
      </c>
      <c r="C119" s="79" t="s">
        <v>6</v>
      </c>
      <c r="D119" s="82">
        <v>28.8</v>
      </c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>
      <c r="A120" s="79" t="s">
        <v>347</v>
      </c>
      <c r="B120" s="79" t="s">
        <v>895</v>
      </c>
      <c r="C120" s="79" t="s">
        <v>6</v>
      </c>
      <c r="D120" s="82">
        <v>28.8</v>
      </c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>
      <c r="A121" s="79" t="s">
        <v>664</v>
      </c>
      <c r="B121" s="79" t="s">
        <v>896</v>
      </c>
      <c r="C121" s="79" t="s">
        <v>6</v>
      </c>
      <c r="D121" s="82">
        <v>43.0</v>
      </c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>
      <c r="A122" s="79" t="s">
        <v>897</v>
      </c>
      <c r="B122" s="79" t="s">
        <v>898</v>
      </c>
      <c r="C122" s="79" t="s">
        <v>6</v>
      </c>
      <c r="D122" s="82">
        <v>43.0</v>
      </c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>
      <c r="A123" s="79" t="s">
        <v>899</v>
      </c>
      <c r="B123" s="79" t="s">
        <v>900</v>
      </c>
      <c r="C123" s="79" t="s">
        <v>6</v>
      </c>
      <c r="D123" s="82">
        <v>37.47</v>
      </c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>
      <c r="A124" s="79" t="s">
        <v>901</v>
      </c>
      <c r="B124" s="79" t="s">
        <v>902</v>
      </c>
      <c r="C124" s="79" t="s">
        <v>6</v>
      </c>
      <c r="D124" s="82">
        <v>47.73</v>
      </c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>
      <c r="A125" s="79" t="s">
        <v>903</v>
      </c>
      <c r="B125" s="79" t="s">
        <v>904</v>
      </c>
      <c r="C125" s="79" t="s">
        <v>6</v>
      </c>
      <c r="D125" s="82">
        <v>30.77</v>
      </c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>
      <c r="A126" s="79" t="s">
        <v>311</v>
      </c>
      <c r="B126" s="79" t="s">
        <v>905</v>
      </c>
      <c r="C126" s="79" t="s">
        <v>6</v>
      </c>
      <c r="D126" s="82">
        <v>28.01</v>
      </c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>
      <c r="A127" s="79" t="s">
        <v>906</v>
      </c>
      <c r="B127" s="79" t="s">
        <v>907</v>
      </c>
      <c r="C127" s="79" t="s">
        <v>6</v>
      </c>
      <c r="D127" s="82">
        <v>31.88</v>
      </c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>
      <c r="A128" s="79" t="s">
        <v>408</v>
      </c>
      <c r="B128" s="79" t="s">
        <v>908</v>
      </c>
      <c r="C128" s="79" t="s">
        <v>6</v>
      </c>
      <c r="D128" s="82">
        <v>24.38</v>
      </c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>
      <c r="A129" s="79" t="s">
        <v>909</v>
      </c>
      <c r="B129" s="79" t="s">
        <v>910</v>
      </c>
      <c r="C129" s="79" t="s">
        <v>6</v>
      </c>
      <c r="D129" s="82">
        <v>35.11</v>
      </c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>
      <c r="A130" s="79" t="s">
        <v>330</v>
      </c>
      <c r="B130" s="79" t="s">
        <v>911</v>
      </c>
      <c r="C130" s="79" t="s">
        <v>6</v>
      </c>
      <c r="D130" s="82">
        <v>37.08</v>
      </c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>
      <c r="A131" s="79" t="s">
        <v>912</v>
      </c>
      <c r="B131" s="79" t="s">
        <v>913</v>
      </c>
      <c r="C131" s="79" t="s">
        <v>6</v>
      </c>
      <c r="D131" s="82">
        <v>22.88</v>
      </c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>
      <c r="A132" s="79" t="s">
        <v>914</v>
      </c>
      <c r="B132" s="79" t="s">
        <v>915</v>
      </c>
      <c r="C132" s="79" t="s">
        <v>6</v>
      </c>
      <c r="D132" s="82">
        <v>39.37</v>
      </c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>
      <c r="A133" s="79" t="s">
        <v>436</v>
      </c>
      <c r="B133" s="79" t="s">
        <v>916</v>
      </c>
      <c r="C133" s="79" t="s">
        <v>6</v>
      </c>
      <c r="D133" s="82">
        <v>29.58</v>
      </c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>
      <c r="A134" s="79" t="s">
        <v>557</v>
      </c>
      <c r="B134" s="79" t="s">
        <v>917</v>
      </c>
      <c r="C134" s="79" t="s">
        <v>6</v>
      </c>
      <c r="D134" s="82">
        <v>48.52</v>
      </c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>
      <c r="A135" s="79" t="s">
        <v>120</v>
      </c>
      <c r="B135" s="79" t="s">
        <v>918</v>
      </c>
      <c r="C135" s="79" t="s">
        <v>6</v>
      </c>
      <c r="D135" s="82">
        <v>27.22</v>
      </c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>
      <c r="A136" s="79" t="s">
        <v>351</v>
      </c>
      <c r="B136" s="79" t="s">
        <v>919</v>
      </c>
      <c r="C136" s="79" t="s">
        <v>6</v>
      </c>
      <c r="D136" s="82">
        <v>41.42</v>
      </c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>
      <c r="A137" s="79" t="s">
        <v>322</v>
      </c>
      <c r="B137" s="79" t="s">
        <v>920</v>
      </c>
      <c r="C137" s="79" t="s">
        <v>6</v>
      </c>
      <c r="D137" s="82">
        <v>39.05</v>
      </c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>
      <c r="A138" s="79" t="s">
        <v>411</v>
      </c>
      <c r="B138" s="79" t="s">
        <v>921</v>
      </c>
      <c r="C138" s="79" t="s">
        <v>6</v>
      </c>
      <c r="D138" s="82">
        <v>48.52</v>
      </c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>
      <c r="A139" s="79" t="s">
        <v>345</v>
      </c>
      <c r="B139" s="79" t="s">
        <v>922</v>
      </c>
      <c r="C139" s="79" t="s">
        <v>6</v>
      </c>
      <c r="D139" s="82">
        <v>32.35</v>
      </c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>
      <c r="A140" s="79" t="s">
        <v>542</v>
      </c>
      <c r="B140" s="79" t="s">
        <v>923</v>
      </c>
      <c r="C140" s="79" t="s">
        <v>6</v>
      </c>
      <c r="D140" s="82">
        <v>51.28</v>
      </c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>
      <c r="A141" s="79" t="s">
        <v>410</v>
      </c>
      <c r="B141" s="79" t="s">
        <v>924</v>
      </c>
      <c r="C141" s="79" t="s">
        <v>6</v>
      </c>
      <c r="D141" s="82">
        <v>31.95</v>
      </c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>
      <c r="A142" s="79" t="s">
        <v>925</v>
      </c>
      <c r="B142" s="79" t="s">
        <v>926</v>
      </c>
      <c r="C142" s="79" t="s">
        <v>6</v>
      </c>
      <c r="D142" s="82" t="s">
        <v>927</v>
      </c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>
      <c r="A143" s="79" t="s">
        <v>328</v>
      </c>
      <c r="B143" s="79" t="s">
        <v>928</v>
      </c>
      <c r="C143" s="79" t="s">
        <v>6</v>
      </c>
      <c r="D143" s="82">
        <v>30.77</v>
      </c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>
      <c r="A144" s="79" t="s">
        <v>929</v>
      </c>
      <c r="B144" s="79" t="s">
        <v>930</v>
      </c>
      <c r="C144" s="79" t="s">
        <v>6</v>
      </c>
      <c r="D144" s="82" t="s">
        <v>927</v>
      </c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>
      <c r="A145" s="79" t="s">
        <v>931</v>
      </c>
      <c r="B145" s="79" t="s">
        <v>932</v>
      </c>
      <c r="C145" s="79" t="s">
        <v>6</v>
      </c>
      <c r="D145" s="82">
        <v>35.5</v>
      </c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>
      <c r="A146" s="79" t="s">
        <v>389</v>
      </c>
      <c r="B146" s="79" t="s">
        <v>933</v>
      </c>
      <c r="C146" s="79" t="s">
        <v>6</v>
      </c>
      <c r="D146" s="82">
        <v>45.36</v>
      </c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>
      <c r="A147" s="79" t="s">
        <v>934</v>
      </c>
      <c r="B147" s="79" t="s">
        <v>935</v>
      </c>
      <c r="C147" s="79" t="s">
        <v>6</v>
      </c>
      <c r="D147" s="82">
        <v>53.96</v>
      </c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>
      <c r="A148" s="79" t="s">
        <v>697</v>
      </c>
      <c r="B148" s="79" t="s">
        <v>936</v>
      </c>
      <c r="C148" s="79" t="s">
        <v>6</v>
      </c>
      <c r="D148" s="82">
        <v>39.05</v>
      </c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>
      <c r="A149" s="79" t="s">
        <v>937</v>
      </c>
      <c r="B149" s="79" t="s">
        <v>938</v>
      </c>
      <c r="C149" s="79" t="s">
        <v>6</v>
      </c>
      <c r="D149" s="82">
        <v>35.35</v>
      </c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>
      <c r="A150" s="79" t="s">
        <v>939</v>
      </c>
      <c r="B150" s="79" t="s">
        <v>940</v>
      </c>
      <c r="C150" s="79" t="s">
        <v>6</v>
      </c>
      <c r="D150" s="82">
        <v>35.9</v>
      </c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>
      <c r="A151" s="79" t="s">
        <v>371</v>
      </c>
      <c r="B151" s="79" t="s">
        <v>941</v>
      </c>
      <c r="C151" s="79" t="s">
        <v>6</v>
      </c>
      <c r="D151" s="82">
        <v>25.64</v>
      </c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>
      <c r="A152" s="79" t="s">
        <v>380</v>
      </c>
      <c r="B152" s="79" t="s">
        <v>942</v>
      </c>
      <c r="C152" s="79" t="s">
        <v>6</v>
      </c>
      <c r="D152" s="82">
        <v>23.27</v>
      </c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>
      <c r="A153" s="79" t="s">
        <v>943</v>
      </c>
      <c r="B153" s="79" t="s">
        <v>944</v>
      </c>
      <c r="C153" s="79" t="s">
        <v>6</v>
      </c>
      <c r="D153" s="82">
        <v>30.77</v>
      </c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>
      <c r="A154" s="79" t="s">
        <v>945</v>
      </c>
      <c r="B154" s="79" t="s">
        <v>946</v>
      </c>
      <c r="C154" s="79" t="s">
        <v>6</v>
      </c>
      <c r="D154" s="82">
        <v>42.6</v>
      </c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>
      <c r="A155" s="79" t="s">
        <v>947</v>
      </c>
      <c r="B155" s="79" t="s">
        <v>948</v>
      </c>
      <c r="C155" s="79" t="s">
        <v>6</v>
      </c>
      <c r="D155" s="82">
        <v>47.34</v>
      </c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>
      <c r="A156" s="79" t="s">
        <v>949</v>
      </c>
      <c r="B156" s="79" t="s">
        <v>950</v>
      </c>
      <c r="C156" s="79" t="s">
        <v>6</v>
      </c>
      <c r="D156" s="82" t="s">
        <v>927</v>
      </c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>
      <c r="A157" s="79" t="s">
        <v>951</v>
      </c>
      <c r="B157" s="79" t="s">
        <v>952</v>
      </c>
      <c r="C157" s="79" t="s">
        <v>6</v>
      </c>
      <c r="D157" s="82">
        <v>33.53</v>
      </c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>
      <c r="A158" s="79" t="s">
        <v>953</v>
      </c>
      <c r="B158" s="79" t="s">
        <v>954</v>
      </c>
      <c r="C158" s="79" t="s">
        <v>6</v>
      </c>
      <c r="D158" s="82">
        <v>31.56</v>
      </c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>
      <c r="A159" s="79" t="s">
        <v>955</v>
      </c>
      <c r="B159" s="79" t="s">
        <v>956</v>
      </c>
      <c r="C159" s="79" t="s">
        <v>6</v>
      </c>
      <c r="D159" s="82">
        <v>37.47</v>
      </c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>
      <c r="A160" s="79" t="s">
        <v>957</v>
      </c>
      <c r="B160" s="79" t="s">
        <v>958</v>
      </c>
      <c r="C160" s="79" t="s">
        <v>6</v>
      </c>
      <c r="D160" s="82">
        <v>33.53</v>
      </c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>
      <c r="A161" s="79" t="s">
        <v>959</v>
      </c>
      <c r="B161" s="79" t="s">
        <v>960</v>
      </c>
      <c r="C161" s="79" t="s">
        <v>6</v>
      </c>
      <c r="D161" s="82">
        <v>39.84</v>
      </c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>
      <c r="A162" s="79" t="s">
        <v>961</v>
      </c>
      <c r="B162" s="79" t="s">
        <v>962</v>
      </c>
      <c r="C162" s="79" t="s">
        <v>6</v>
      </c>
      <c r="D162" s="82">
        <v>42.6</v>
      </c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>
      <c r="A163" s="79" t="s">
        <v>963</v>
      </c>
      <c r="B163" s="79" t="s">
        <v>964</v>
      </c>
      <c r="C163" s="79" t="s">
        <v>6</v>
      </c>
      <c r="D163" s="82">
        <v>30.77</v>
      </c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>
      <c r="A164" s="79" t="s">
        <v>965</v>
      </c>
      <c r="B164" s="79" t="s">
        <v>966</v>
      </c>
      <c r="C164" s="79" t="s">
        <v>6</v>
      </c>
      <c r="D164" s="82">
        <v>31.95</v>
      </c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>
      <c r="A165" s="79" t="s">
        <v>967</v>
      </c>
      <c r="B165" s="79" t="s">
        <v>968</v>
      </c>
      <c r="C165" s="79" t="s">
        <v>6</v>
      </c>
      <c r="D165" s="82">
        <v>51.68</v>
      </c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>
      <c r="A166" s="79" t="s">
        <v>969</v>
      </c>
      <c r="B166" s="79" t="s">
        <v>970</v>
      </c>
      <c r="C166" s="79" t="s">
        <v>6</v>
      </c>
      <c r="D166" s="82">
        <v>33.14</v>
      </c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>
      <c r="A167" s="79" t="s">
        <v>971</v>
      </c>
      <c r="B167" s="79" t="s">
        <v>972</v>
      </c>
      <c r="C167" s="79" t="s">
        <v>6</v>
      </c>
      <c r="D167" s="82">
        <v>42.6</v>
      </c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>
      <c r="A168" s="79" t="s">
        <v>973</v>
      </c>
      <c r="B168" s="79" t="s">
        <v>974</v>
      </c>
      <c r="C168" s="79" t="s">
        <v>6</v>
      </c>
      <c r="D168" s="82">
        <v>30.77</v>
      </c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>
      <c r="A169" s="79" t="s">
        <v>975</v>
      </c>
      <c r="B169" s="79" t="s">
        <v>976</v>
      </c>
      <c r="C169" s="79" t="s">
        <v>6</v>
      </c>
      <c r="D169" s="82">
        <v>31.16</v>
      </c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>
      <c r="A170" s="79" t="s">
        <v>977</v>
      </c>
      <c r="B170" s="79" t="s">
        <v>978</v>
      </c>
      <c r="C170" s="79" t="s">
        <v>6</v>
      </c>
      <c r="D170" s="82">
        <v>35.9</v>
      </c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>
      <c r="A171" s="79" t="s">
        <v>570</v>
      </c>
      <c r="B171" s="79" t="s">
        <v>979</v>
      </c>
      <c r="C171" s="79" t="s">
        <v>6</v>
      </c>
      <c r="D171" s="82">
        <v>29.99</v>
      </c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>
      <c r="A172" s="79" t="s">
        <v>980</v>
      </c>
      <c r="B172" s="79" t="s">
        <v>981</v>
      </c>
      <c r="C172" s="79" t="s">
        <v>6</v>
      </c>
      <c r="D172" s="82">
        <v>36.3</v>
      </c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>
      <c r="A173" s="79" t="s">
        <v>367</v>
      </c>
      <c r="B173" s="79" t="s">
        <v>982</v>
      </c>
      <c r="C173" s="79" t="s">
        <v>6</v>
      </c>
      <c r="D173" s="82">
        <v>40.4</v>
      </c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>
      <c r="A174" s="79" t="s">
        <v>983</v>
      </c>
      <c r="B174" s="79" t="s">
        <v>984</v>
      </c>
      <c r="C174" s="79" t="s">
        <v>6</v>
      </c>
      <c r="D174" s="82">
        <v>46.16</v>
      </c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>
      <c r="A175" s="79" t="s">
        <v>985</v>
      </c>
      <c r="B175" s="79" t="s">
        <v>986</v>
      </c>
      <c r="C175" s="79" t="s">
        <v>6</v>
      </c>
      <c r="D175" s="82">
        <v>48.13</v>
      </c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>
      <c r="A176" s="79" t="s">
        <v>987</v>
      </c>
      <c r="B176" s="79" t="s">
        <v>988</v>
      </c>
      <c r="C176" s="79" t="s">
        <v>6</v>
      </c>
      <c r="D176" s="82">
        <v>50.79</v>
      </c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>
      <c r="A177" s="79" t="s">
        <v>989</v>
      </c>
      <c r="B177" s="79" t="s">
        <v>990</v>
      </c>
      <c r="C177" s="79" t="s">
        <v>6</v>
      </c>
      <c r="D177" s="82" t="s">
        <v>927</v>
      </c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>
      <c r="A178" s="79" t="s">
        <v>991</v>
      </c>
      <c r="B178" s="79" t="s">
        <v>992</v>
      </c>
      <c r="C178" s="79" t="s">
        <v>6</v>
      </c>
      <c r="D178" s="82">
        <v>39.45</v>
      </c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>
      <c r="A179" s="79" t="s">
        <v>993</v>
      </c>
      <c r="B179" s="79" t="s">
        <v>994</v>
      </c>
      <c r="C179" s="79" t="s">
        <v>6</v>
      </c>
      <c r="D179" s="82">
        <v>35.98</v>
      </c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>
      <c r="A180" s="79" t="s">
        <v>338</v>
      </c>
      <c r="B180" s="79" t="s">
        <v>995</v>
      </c>
      <c r="C180" s="79" t="s">
        <v>6</v>
      </c>
      <c r="D180" s="82">
        <v>33.14</v>
      </c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>
      <c r="A181" s="79" t="s">
        <v>415</v>
      </c>
      <c r="B181" s="79" t="s">
        <v>996</v>
      </c>
      <c r="C181" s="79" t="s">
        <v>6</v>
      </c>
      <c r="D181" s="82">
        <v>29.67</v>
      </c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>
      <c r="A182" s="79" t="s">
        <v>997</v>
      </c>
      <c r="B182" s="79" t="s">
        <v>998</v>
      </c>
      <c r="C182" s="79" t="s">
        <v>6</v>
      </c>
      <c r="D182" s="82">
        <v>31.88</v>
      </c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>
      <c r="A183" s="79" t="s">
        <v>358</v>
      </c>
      <c r="B183" s="79" t="s">
        <v>999</v>
      </c>
      <c r="C183" s="79" t="s">
        <v>6</v>
      </c>
      <c r="D183" s="82">
        <v>28.72</v>
      </c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>
      <c r="A184" s="79" t="s">
        <v>1000</v>
      </c>
      <c r="B184" s="79" t="s">
        <v>1001</v>
      </c>
      <c r="C184" s="79" t="s">
        <v>6</v>
      </c>
      <c r="D184" s="82">
        <v>29.58</v>
      </c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>
      <c r="A185" s="79" t="s">
        <v>1002</v>
      </c>
      <c r="B185" s="79" t="s">
        <v>1003</v>
      </c>
      <c r="C185" s="79" t="s">
        <v>6</v>
      </c>
      <c r="D185" s="82">
        <v>28.8</v>
      </c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>
      <c r="A186" s="79" t="s">
        <v>1004</v>
      </c>
      <c r="B186" s="79" t="s">
        <v>1005</v>
      </c>
      <c r="C186" s="79" t="s">
        <v>6</v>
      </c>
      <c r="D186" s="82">
        <v>51.68</v>
      </c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>
      <c r="A187" s="79" t="s">
        <v>1006</v>
      </c>
      <c r="B187" s="79" t="s">
        <v>1007</v>
      </c>
      <c r="C187" s="79" t="s">
        <v>6</v>
      </c>
      <c r="D187" s="82">
        <v>34.71</v>
      </c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>
      <c r="A188" s="79" t="s">
        <v>1008</v>
      </c>
      <c r="B188" s="79" t="s">
        <v>1009</v>
      </c>
      <c r="C188" s="79" t="s">
        <v>6</v>
      </c>
      <c r="D188" s="82">
        <v>34.71</v>
      </c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>
      <c r="A189" s="79" t="s">
        <v>428</v>
      </c>
      <c r="B189" s="79" t="s">
        <v>1010</v>
      </c>
      <c r="C189" s="79" t="s">
        <v>6</v>
      </c>
      <c r="D189" s="82">
        <v>52.86</v>
      </c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>
      <c r="A190" s="79" t="s">
        <v>1011</v>
      </c>
      <c r="B190" s="79" t="s">
        <v>1012</v>
      </c>
      <c r="C190" s="79" t="s">
        <v>6</v>
      </c>
      <c r="D190" s="82">
        <v>34.71</v>
      </c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>
      <c r="A191" s="79" t="s">
        <v>378</v>
      </c>
      <c r="B191" s="79" t="s">
        <v>1013</v>
      </c>
      <c r="C191" s="79" t="s">
        <v>6</v>
      </c>
      <c r="D191" s="82">
        <v>49.71</v>
      </c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>
      <c r="A192" s="79" t="s">
        <v>1014</v>
      </c>
      <c r="B192" s="79" t="s">
        <v>1015</v>
      </c>
      <c r="C192" s="79" t="s">
        <v>6</v>
      </c>
      <c r="D192" s="82">
        <v>32.35</v>
      </c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>
      <c r="A193" s="79" t="s">
        <v>341</v>
      </c>
      <c r="B193" s="79" t="s">
        <v>1016</v>
      </c>
      <c r="C193" s="79" t="s">
        <v>6</v>
      </c>
      <c r="D193" s="82">
        <v>58.38</v>
      </c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>
      <c r="A194" s="79" t="s">
        <v>1017</v>
      </c>
      <c r="B194" s="79" t="s">
        <v>1018</v>
      </c>
      <c r="C194" s="79" t="s">
        <v>6</v>
      </c>
      <c r="D194" s="82">
        <v>36.69</v>
      </c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>
      <c r="A195" s="79" t="s">
        <v>1019</v>
      </c>
      <c r="B195" s="79" t="s">
        <v>1020</v>
      </c>
      <c r="C195" s="79" t="s">
        <v>6</v>
      </c>
      <c r="D195" s="82">
        <v>34.71</v>
      </c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>
      <c r="A196" s="79" t="s">
        <v>1021</v>
      </c>
      <c r="B196" s="79" t="s">
        <v>1022</v>
      </c>
      <c r="C196" s="79" t="s">
        <v>6</v>
      </c>
      <c r="D196" s="82">
        <v>46.94</v>
      </c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>
      <c r="A197" s="79" t="s">
        <v>579</v>
      </c>
      <c r="B197" s="79" t="s">
        <v>1023</v>
      </c>
      <c r="C197" s="79" t="s">
        <v>6</v>
      </c>
      <c r="D197" s="82">
        <v>50.89</v>
      </c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>
      <c r="A198" s="79" t="s">
        <v>1024</v>
      </c>
      <c r="B198" s="79" t="s">
        <v>1025</v>
      </c>
      <c r="C198" s="79" t="s">
        <v>6</v>
      </c>
      <c r="D198" s="82">
        <v>34.71</v>
      </c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>
      <c r="A199" s="79" t="s">
        <v>308</v>
      </c>
      <c r="B199" s="79" t="s">
        <v>1026</v>
      </c>
      <c r="C199" s="79" t="s">
        <v>6</v>
      </c>
      <c r="D199" s="82">
        <v>34.71</v>
      </c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>
      <c r="A200" s="79" t="s">
        <v>1027</v>
      </c>
      <c r="B200" s="79" t="s">
        <v>1028</v>
      </c>
      <c r="C200" s="79" t="s">
        <v>6</v>
      </c>
      <c r="D200" s="82">
        <v>50.89</v>
      </c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>
      <c r="A201" s="79" t="s">
        <v>1029</v>
      </c>
      <c r="B201" s="79" t="s">
        <v>1030</v>
      </c>
      <c r="C201" s="79" t="s">
        <v>6</v>
      </c>
      <c r="D201" s="82">
        <v>34.71</v>
      </c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>
      <c r="A202" s="79" t="s">
        <v>1031</v>
      </c>
      <c r="B202" s="79" t="s">
        <v>1032</v>
      </c>
      <c r="C202" s="79" t="s">
        <v>6</v>
      </c>
      <c r="D202" s="82">
        <v>34.71</v>
      </c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>
      <c r="A203" s="79" t="s">
        <v>584</v>
      </c>
      <c r="B203" s="79" t="s">
        <v>1033</v>
      </c>
      <c r="C203" s="79" t="s">
        <v>6</v>
      </c>
      <c r="D203" s="82">
        <v>41.42</v>
      </c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>
      <c r="A204" s="79" t="s">
        <v>1034</v>
      </c>
      <c r="B204" s="79" t="s">
        <v>1035</v>
      </c>
      <c r="C204" s="79" t="s">
        <v>6</v>
      </c>
      <c r="D204" s="82">
        <v>39.05</v>
      </c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>
      <c r="A205" s="79" t="s">
        <v>357</v>
      </c>
      <c r="B205" s="79" t="s">
        <v>1036</v>
      </c>
      <c r="C205" s="79" t="s">
        <v>6</v>
      </c>
      <c r="D205" s="82">
        <v>53.65</v>
      </c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>
      <c r="A206" s="79" t="s">
        <v>1037</v>
      </c>
      <c r="B206" s="79" t="s">
        <v>1038</v>
      </c>
      <c r="C206" s="79" t="s">
        <v>6</v>
      </c>
      <c r="D206" s="82">
        <v>37.87</v>
      </c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>
      <c r="A207" s="79" t="s">
        <v>1039</v>
      </c>
      <c r="B207" s="79" t="s">
        <v>1040</v>
      </c>
      <c r="C207" s="79" t="s">
        <v>6</v>
      </c>
      <c r="D207" s="82">
        <v>42.21</v>
      </c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>
      <c r="A208" s="79" t="s">
        <v>1041</v>
      </c>
      <c r="B208" s="79" t="s">
        <v>1042</v>
      </c>
      <c r="C208" s="79" t="s">
        <v>6</v>
      </c>
      <c r="D208" s="82">
        <v>46.16</v>
      </c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>
      <c r="A209" s="79" t="s">
        <v>1043</v>
      </c>
      <c r="B209" s="79" t="s">
        <v>1044</v>
      </c>
      <c r="C209" s="79" t="s">
        <v>6</v>
      </c>
      <c r="D209" s="82">
        <v>35.5</v>
      </c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>
      <c r="A210" s="79" t="s">
        <v>1045</v>
      </c>
      <c r="B210" s="79" t="s">
        <v>1046</v>
      </c>
      <c r="C210" s="79" t="s">
        <v>6</v>
      </c>
      <c r="D210" s="82">
        <v>35.5</v>
      </c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>
      <c r="A211" s="79" t="s">
        <v>1047</v>
      </c>
      <c r="B211" s="79" t="s">
        <v>1048</v>
      </c>
      <c r="C211" s="79" t="s">
        <v>6</v>
      </c>
      <c r="D211" s="82">
        <v>48.75</v>
      </c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>
      <c r="A212" s="79" t="s">
        <v>1049</v>
      </c>
      <c r="B212" s="79" t="s">
        <v>1050</v>
      </c>
      <c r="C212" s="79" t="s">
        <v>6</v>
      </c>
      <c r="D212" s="82">
        <v>38.27</v>
      </c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>
      <c r="A213" s="79" t="s">
        <v>1051</v>
      </c>
      <c r="B213" s="79" t="s">
        <v>1052</v>
      </c>
      <c r="C213" s="79" t="s">
        <v>6</v>
      </c>
      <c r="D213" s="82" t="s">
        <v>927</v>
      </c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>
      <c r="A214" s="79" t="s">
        <v>1053</v>
      </c>
      <c r="B214" s="79" t="s">
        <v>1054</v>
      </c>
      <c r="C214" s="79" t="s">
        <v>6</v>
      </c>
      <c r="D214" s="82">
        <v>52.07</v>
      </c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>
      <c r="A215" s="79" t="s">
        <v>1055</v>
      </c>
      <c r="B215" s="79" t="s">
        <v>1056</v>
      </c>
      <c r="C215" s="79" t="s">
        <v>6</v>
      </c>
      <c r="D215" s="82">
        <v>78.5</v>
      </c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>
      <c r="A216" s="79" t="s">
        <v>1057</v>
      </c>
      <c r="B216" s="79" t="s">
        <v>1058</v>
      </c>
      <c r="C216" s="79" t="s">
        <v>6</v>
      </c>
      <c r="D216" s="82">
        <v>20.51</v>
      </c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>
      <c r="A217" s="79" t="s">
        <v>1059</v>
      </c>
      <c r="B217" s="79" t="s">
        <v>1060</v>
      </c>
      <c r="C217" s="79" t="s">
        <v>6</v>
      </c>
      <c r="D217" s="82">
        <v>14.99</v>
      </c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>
      <c r="A218" s="79" t="s">
        <v>393</v>
      </c>
      <c r="B218" s="79" t="s">
        <v>1061</v>
      </c>
      <c r="C218" s="79" t="s">
        <v>6</v>
      </c>
      <c r="D218" s="82">
        <v>14.99</v>
      </c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>
      <c r="A219" s="79" t="s">
        <v>1062</v>
      </c>
      <c r="B219" s="79" t="s">
        <v>1063</v>
      </c>
      <c r="C219" s="79" t="s">
        <v>6</v>
      </c>
      <c r="D219" s="82">
        <v>14.2</v>
      </c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>
      <c r="A220" s="79" t="s">
        <v>315</v>
      </c>
      <c r="B220" s="79" t="s">
        <v>1064</v>
      </c>
      <c r="C220" s="79" t="s">
        <v>6</v>
      </c>
      <c r="D220" s="82">
        <v>14.2</v>
      </c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>
      <c r="A221" s="79" t="s">
        <v>1065</v>
      </c>
      <c r="B221" s="79" t="s">
        <v>1066</v>
      </c>
      <c r="C221" s="79" t="s">
        <v>6</v>
      </c>
      <c r="D221" s="82">
        <v>16.96</v>
      </c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>
      <c r="A222" s="79" t="s">
        <v>440</v>
      </c>
      <c r="B222" s="79" t="s">
        <v>1067</v>
      </c>
      <c r="C222" s="79" t="s">
        <v>6</v>
      </c>
      <c r="D222" s="82">
        <v>23.27</v>
      </c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>
      <c r="A223" s="79" t="s">
        <v>147</v>
      </c>
      <c r="B223" s="79" t="s">
        <v>1068</v>
      </c>
      <c r="C223" s="79" t="s">
        <v>6</v>
      </c>
      <c r="D223" s="82">
        <v>24.85</v>
      </c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>
      <c r="A224" s="79" t="s">
        <v>1069</v>
      </c>
      <c r="B224" s="79" t="s">
        <v>1070</v>
      </c>
      <c r="C224" s="79" t="s">
        <v>6</v>
      </c>
      <c r="D224" s="82">
        <v>16.96</v>
      </c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>
      <c r="A225" s="79" t="s">
        <v>384</v>
      </c>
      <c r="B225" s="79" t="s">
        <v>1071</v>
      </c>
      <c r="C225" s="79" t="s">
        <v>6</v>
      </c>
      <c r="D225" s="82">
        <v>44.18</v>
      </c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>
      <c r="A226" s="79" t="s">
        <v>1072</v>
      </c>
      <c r="B226" s="79" t="s">
        <v>1073</v>
      </c>
      <c r="C226" s="79" t="s">
        <v>6</v>
      </c>
      <c r="D226" s="82">
        <v>20.51</v>
      </c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>
      <c r="A227" s="79" t="s">
        <v>374</v>
      </c>
      <c r="B227" s="79" t="s">
        <v>1074</v>
      </c>
      <c r="C227" s="79" t="s">
        <v>6</v>
      </c>
      <c r="D227" s="82">
        <v>14.99</v>
      </c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>
      <c r="A228" s="79" t="s">
        <v>1075</v>
      </c>
      <c r="B228" s="79" t="s">
        <v>1076</v>
      </c>
      <c r="C228" s="79" t="s">
        <v>6</v>
      </c>
      <c r="D228" s="82">
        <v>80.48</v>
      </c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>
      <c r="A229" s="79" t="s">
        <v>1077</v>
      </c>
      <c r="B229" s="79" t="s">
        <v>1078</v>
      </c>
      <c r="C229" s="79" t="s">
        <v>6</v>
      </c>
      <c r="D229" s="82">
        <v>88.76</v>
      </c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>
      <c r="A230" s="79" t="s">
        <v>1079</v>
      </c>
      <c r="B230" s="79" t="s">
        <v>1080</v>
      </c>
      <c r="C230" s="79" t="s">
        <v>6</v>
      </c>
      <c r="D230" s="82">
        <v>100.99</v>
      </c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>
      <c r="A231" s="79" t="s">
        <v>1081</v>
      </c>
      <c r="B231" s="79" t="s">
        <v>1082</v>
      </c>
      <c r="C231" s="79" t="s">
        <v>6</v>
      </c>
      <c r="D231" s="82">
        <v>56.41</v>
      </c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>
      <c r="A232" s="79" t="s">
        <v>321</v>
      </c>
      <c r="B232" s="79" t="s">
        <v>1083</v>
      </c>
      <c r="C232" s="79" t="s">
        <v>6</v>
      </c>
      <c r="D232" s="82">
        <v>54.44</v>
      </c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>
      <c r="A233" s="79" t="s">
        <v>403</v>
      </c>
      <c r="B233" s="79" t="s">
        <v>1084</v>
      </c>
      <c r="C233" s="79" t="s">
        <v>6</v>
      </c>
      <c r="D233" s="82">
        <v>54.44</v>
      </c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>
      <c r="A234" s="79" t="s">
        <v>674</v>
      </c>
      <c r="B234" s="79" t="s">
        <v>1085</v>
      </c>
      <c r="C234" s="79" t="s">
        <v>6</v>
      </c>
      <c r="D234" s="82">
        <v>45.75</v>
      </c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>
      <c r="A235" s="79" t="s">
        <v>1086</v>
      </c>
      <c r="B235" s="79" t="s">
        <v>1087</v>
      </c>
      <c r="C235" s="79" t="s">
        <v>6</v>
      </c>
      <c r="D235" s="82">
        <v>68.64</v>
      </c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>
      <c r="A236" s="79" t="s">
        <v>179</v>
      </c>
      <c r="B236" s="79" t="s">
        <v>1088</v>
      </c>
      <c r="C236" s="79" t="s">
        <v>6</v>
      </c>
      <c r="D236" s="82">
        <v>41.03</v>
      </c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>
      <c r="A237" s="79" t="s">
        <v>631</v>
      </c>
      <c r="B237" s="79" t="s">
        <v>1089</v>
      </c>
      <c r="C237" s="79" t="s">
        <v>6</v>
      </c>
      <c r="D237" s="82">
        <v>61.54</v>
      </c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>
      <c r="A238" s="79" t="s">
        <v>1090</v>
      </c>
      <c r="B238" s="79" t="s">
        <v>1091</v>
      </c>
      <c r="C238" s="79" t="s">
        <v>6</v>
      </c>
      <c r="D238" s="82">
        <v>61.94</v>
      </c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>
      <c r="A239" s="79" t="s">
        <v>1092</v>
      </c>
      <c r="B239" s="79" t="s">
        <v>1093</v>
      </c>
      <c r="C239" s="79" t="s">
        <v>6</v>
      </c>
      <c r="D239" s="82">
        <v>64.7</v>
      </c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>
      <c r="A240" s="79" t="s">
        <v>1094</v>
      </c>
      <c r="B240" s="79" t="s">
        <v>1095</v>
      </c>
      <c r="C240" s="79" t="s">
        <v>6</v>
      </c>
      <c r="D240" s="82">
        <v>61.54</v>
      </c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>
      <c r="A241" s="79" t="s">
        <v>220</v>
      </c>
      <c r="B241" s="79" t="s">
        <v>1096</v>
      </c>
      <c r="C241" s="79" t="s">
        <v>6</v>
      </c>
      <c r="D241" s="82">
        <v>50.49</v>
      </c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>
      <c r="A242" s="79" t="s">
        <v>1097</v>
      </c>
      <c r="B242" s="79" t="s">
        <v>1098</v>
      </c>
      <c r="C242" s="79" t="s">
        <v>6</v>
      </c>
      <c r="D242" s="82">
        <v>48.52</v>
      </c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>
      <c r="A243" s="79" t="s">
        <v>409</v>
      </c>
      <c r="B243" s="79" t="s">
        <v>1099</v>
      </c>
      <c r="C243" s="79" t="s">
        <v>6</v>
      </c>
      <c r="D243" s="82">
        <v>53.65</v>
      </c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>
      <c r="A244" s="79" t="s">
        <v>1100</v>
      </c>
      <c r="B244" s="79" t="s">
        <v>1101</v>
      </c>
      <c r="C244" s="79" t="s">
        <v>6</v>
      </c>
      <c r="D244" s="82">
        <v>50.89</v>
      </c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>
      <c r="A245" s="79" t="s">
        <v>1102</v>
      </c>
      <c r="B245" s="79" t="s">
        <v>1103</v>
      </c>
      <c r="C245" s="79" t="s">
        <v>6</v>
      </c>
      <c r="D245" s="82">
        <v>50.89</v>
      </c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>
      <c r="A246" s="79" t="s">
        <v>1104</v>
      </c>
      <c r="B246" s="79" t="s">
        <v>1105</v>
      </c>
      <c r="C246" s="79" t="s">
        <v>6</v>
      </c>
      <c r="D246" s="82">
        <v>49.71</v>
      </c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>
      <c r="A247" s="79" t="s">
        <v>1106</v>
      </c>
      <c r="B247" s="79" t="s">
        <v>1107</v>
      </c>
      <c r="C247" s="79" t="s">
        <v>6</v>
      </c>
      <c r="D247" s="82">
        <v>51.68</v>
      </c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>
      <c r="A248" s="79" t="s">
        <v>390</v>
      </c>
      <c r="B248" s="79" t="s">
        <v>1108</v>
      </c>
      <c r="C248" s="79" t="s">
        <v>6</v>
      </c>
      <c r="D248" s="82">
        <v>49.71</v>
      </c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>
      <c r="A249" s="79" t="s">
        <v>1109</v>
      </c>
      <c r="B249" s="79" t="s">
        <v>1110</v>
      </c>
      <c r="C249" s="79" t="s">
        <v>6</v>
      </c>
      <c r="D249" s="82">
        <v>41.82</v>
      </c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>
      <c r="A250" s="79" t="s">
        <v>1111</v>
      </c>
      <c r="B250" s="79" t="s">
        <v>1112</v>
      </c>
      <c r="C250" s="79" t="s">
        <v>6</v>
      </c>
      <c r="D250" s="82">
        <v>49.31</v>
      </c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>
      <c r="A251" s="79" t="s">
        <v>187</v>
      </c>
      <c r="B251" s="79" t="s">
        <v>1113</v>
      </c>
      <c r="C251" s="79" t="s">
        <v>6</v>
      </c>
      <c r="D251" s="82">
        <v>51.28</v>
      </c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>
      <c r="A252" s="79" t="s">
        <v>1114</v>
      </c>
      <c r="B252" s="79" t="s">
        <v>1115</v>
      </c>
      <c r="C252" s="79" t="s">
        <v>6</v>
      </c>
      <c r="D252" s="82">
        <v>52.47</v>
      </c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>
      <c r="A253" s="79" t="s">
        <v>1116</v>
      </c>
      <c r="B253" s="79" t="s">
        <v>1117</v>
      </c>
      <c r="C253" s="79" t="s">
        <v>6</v>
      </c>
      <c r="D253" s="82">
        <v>40.63</v>
      </c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>
      <c r="A254" s="79" t="s">
        <v>349</v>
      </c>
      <c r="B254" s="79" t="s">
        <v>1118</v>
      </c>
      <c r="C254" s="79" t="s">
        <v>6</v>
      </c>
      <c r="D254" s="82">
        <v>37.08</v>
      </c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>
      <c r="A255" s="79" t="s">
        <v>1119</v>
      </c>
      <c r="B255" s="79" t="s">
        <v>1120</v>
      </c>
      <c r="C255" s="79" t="s">
        <v>6</v>
      </c>
      <c r="D255" s="82">
        <v>43.87</v>
      </c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>
      <c r="A256" s="79" t="s">
        <v>1121</v>
      </c>
      <c r="B256" s="79" t="s">
        <v>1122</v>
      </c>
      <c r="C256" s="79" t="s">
        <v>6</v>
      </c>
      <c r="D256" s="82">
        <v>52.5</v>
      </c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>
      <c r="A257" s="79" t="s">
        <v>529</v>
      </c>
      <c r="B257" s="79" t="s">
        <v>1123</v>
      </c>
      <c r="C257" s="79" t="s">
        <v>6</v>
      </c>
      <c r="D257" s="82">
        <v>59.57</v>
      </c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>
      <c r="A258" s="79" t="s">
        <v>1124</v>
      </c>
      <c r="B258" s="79" t="s">
        <v>1125</v>
      </c>
      <c r="C258" s="79" t="s">
        <v>6</v>
      </c>
      <c r="D258" s="82">
        <v>59.62</v>
      </c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>
      <c r="A259" s="79" t="s">
        <v>1126</v>
      </c>
      <c r="B259" s="79" t="s">
        <v>1127</v>
      </c>
      <c r="C259" s="79" t="s">
        <v>6</v>
      </c>
      <c r="D259" s="82">
        <v>55.23</v>
      </c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>
      <c r="A260" s="79" t="s">
        <v>1128</v>
      </c>
      <c r="B260" s="79" t="s">
        <v>1129</v>
      </c>
      <c r="C260" s="79" t="s">
        <v>6</v>
      </c>
      <c r="D260" s="82">
        <v>49.71</v>
      </c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>
      <c r="A261" s="79" t="s">
        <v>445</v>
      </c>
      <c r="B261" s="79" t="s">
        <v>1130</v>
      </c>
      <c r="C261" s="79" t="s">
        <v>6</v>
      </c>
      <c r="D261" s="82">
        <v>44.97</v>
      </c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>
      <c r="A262" s="79" t="s">
        <v>419</v>
      </c>
      <c r="B262" s="79" t="s">
        <v>1131</v>
      </c>
      <c r="C262" s="79" t="s">
        <v>6</v>
      </c>
      <c r="D262" s="82">
        <v>59.17</v>
      </c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>
      <c r="A263" s="79" t="s">
        <v>1132</v>
      </c>
      <c r="B263" s="79" t="s">
        <v>1133</v>
      </c>
      <c r="C263" s="79" t="s">
        <v>6</v>
      </c>
      <c r="D263" s="82">
        <v>61.54</v>
      </c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>
      <c r="A264" s="79" t="s">
        <v>1134</v>
      </c>
      <c r="B264" s="79" t="s">
        <v>1135</v>
      </c>
      <c r="C264" s="79" t="s">
        <v>6</v>
      </c>
      <c r="D264" s="82">
        <v>52.47</v>
      </c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>
      <c r="A265" s="79" t="s">
        <v>283</v>
      </c>
      <c r="B265" s="79" t="s">
        <v>1136</v>
      </c>
      <c r="C265" s="79" t="s">
        <v>6</v>
      </c>
      <c r="D265" s="82">
        <v>42.21</v>
      </c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>
      <c r="A266" s="79" t="s">
        <v>168</v>
      </c>
      <c r="B266" s="79" t="s">
        <v>1137</v>
      </c>
      <c r="C266" s="79" t="s">
        <v>6</v>
      </c>
      <c r="D266" s="82">
        <v>61.94</v>
      </c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>
      <c r="A267" s="79" t="s">
        <v>1138</v>
      </c>
      <c r="B267" s="79" t="s">
        <v>1139</v>
      </c>
      <c r="C267" s="79" t="s">
        <v>6</v>
      </c>
      <c r="D267" s="82">
        <v>80.21</v>
      </c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>
      <c r="A268" s="79" t="s">
        <v>244</v>
      </c>
      <c r="B268" s="79" t="s">
        <v>1140</v>
      </c>
      <c r="C268" s="79" t="s">
        <v>6</v>
      </c>
      <c r="D268" s="82">
        <v>43.79</v>
      </c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>
      <c r="A269" s="79" t="s">
        <v>1141</v>
      </c>
      <c r="B269" s="79" t="s">
        <v>1142</v>
      </c>
      <c r="C269" s="79" t="s">
        <v>6</v>
      </c>
      <c r="D269" s="82">
        <v>57.2</v>
      </c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>
      <c r="A270" s="79" t="s">
        <v>539</v>
      </c>
      <c r="B270" s="79" t="s">
        <v>1143</v>
      </c>
      <c r="C270" s="79" t="s">
        <v>6</v>
      </c>
      <c r="D270" s="82">
        <v>46.16</v>
      </c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>
      <c r="A271" s="79" t="s">
        <v>1144</v>
      </c>
      <c r="B271" s="79" t="s">
        <v>1145</v>
      </c>
      <c r="C271" s="79" t="s">
        <v>6</v>
      </c>
      <c r="D271" s="82">
        <v>51.94</v>
      </c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>
      <c r="A272" s="79" t="s">
        <v>1146</v>
      </c>
      <c r="B272" s="79" t="s">
        <v>1147</v>
      </c>
      <c r="C272" s="79" t="s">
        <v>6</v>
      </c>
      <c r="D272" s="82">
        <v>77.72</v>
      </c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>
      <c r="A273" s="79" t="s">
        <v>190</v>
      </c>
      <c r="B273" s="79" t="s">
        <v>1148</v>
      </c>
      <c r="C273" s="79" t="s">
        <v>6</v>
      </c>
      <c r="D273" s="82">
        <v>59.57</v>
      </c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>
      <c r="A274" s="79" t="s">
        <v>1149</v>
      </c>
      <c r="B274" s="79" t="s">
        <v>1150</v>
      </c>
      <c r="C274" s="79" t="s">
        <v>6</v>
      </c>
      <c r="D274" s="82">
        <v>43.79</v>
      </c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>
      <c r="A275" s="79" t="s">
        <v>397</v>
      </c>
      <c r="B275" s="79" t="s">
        <v>1151</v>
      </c>
      <c r="C275" s="79" t="s">
        <v>6</v>
      </c>
      <c r="D275" s="82">
        <v>43.79</v>
      </c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>
      <c r="A276" s="79" t="s">
        <v>552</v>
      </c>
      <c r="B276" s="79" t="s">
        <v>1152</v>
      </c>
      <c r="C276" s="79" t="s">
        <v>6</v>
      </c>
      <c r="D276" s="82">
        <v>62.33</v>
      </c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>
      <c r="A277" s="79" t="s">
        <v>1153</v>
      </c>
      <c r="B277" s="79" t="s">
        <v>1154</v>
      </c>
      <c r="C277" s="79" t="s">
        <v>6</v>
      </c>
      <c r="D277" s="82">
        <v>46.16</v>
      </c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>
      <c r="A278" s="79" t="s">
        <v>385</v>
      </c>
      <c r="B278" s="79" t="s">
        <v>1155</v>
      </c>
      <c r="C278" s="79" t="s">
        <v>6</v>
      </c>
      <c r="D278" s="82">
        <v>54.44</v>
      </c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>
      <c r="A279" s="79" t="s">
        <v>1156</v>
      </c>
      <c r="B279" s="79" t="s">
        <v>1157</v>
      </c>
      <c r="C279" s="79" t="s">
        <v>6</v>
      </c>
      <c r="D279" s="82">
        <v>61.94</v>
      </c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>
      <c r="A280" s="79" t="s">
        <v>1158</v>
      </c>
      <c r="B280" s="79" t="s">
        <v>1159</v>
      </c>
      <c r="C280" s="79" t="s">
        <v>6</v>
      </c>
      <c r="D280" s="82">
        <v>52.07</v>
      </c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>
      <c r="A281" s="79" t="s">
        <v>356</v>
      </c>
      <c r="B281" s="79" t="s">
        <v>1160</v>
      </c>
      <c r="C281" s="79" t="s">
        <v>6</v>
      </c>
      <c r="D281" s="82">
        <v>51.28</v>
      </c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>
      <c r="A282" s="79" t="s">
        <v>1161</v>
      </c>
      <c r="B282" s="79" t="s">
        <v>1162</v>
      </c>
      <c r="C282" s="79" t="s">
        <v>6</v>
      </c>
      <c r="D282" s="82">
        <v>53.65</v>
      </c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>
      <c r="A283" s="79" t="s">
        <v>259</v>
      </c>
      <c r="B283" s="79" t="s">
        <v>1163</v>
      </c>
      <c r="C283" s="79" t="s">
        <v>6</v>
      </c>
      <c r="D283" s="82">
        <v>62.72</v>
      </c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>
      <c r="A284" s="79" t="s">
        <v>1164</v>
      </c>
      <c r="B284" s="79" t="s">
        <v>1165</v>
      </c>
      <c r="C284" s="79" t="s">
        <v>6</v>
      </c>
      <c r="D284" s="82">
        <v>46.55</v>
      </c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>
      <c r="A285" s="79" t="s">
        <v>1166</v>
      </c>
      <c r="B285" s="79" t="s">
        <v>1167</v>
      </c>
      <c r="C285" s="79" t="s">
        <v>6</v>
      </c>
      <c r="D285" s="82">
        <v>67.85</v>
      </c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>
      <c r="A286" s="79" t="s">
        <v>1168</v>
      </c>
      <c r="B286" s="79" t="s">
        <v>1169</v>
      </c>
      <c r="C286" s="79" t="s">
        <v>6</v>
      </c>
      <c r="D286" s="82">
        <v>71.8</v>
      </c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>
      <c r="A287" s="79" t="s">
        <v>444</v>
      </c>
      <c r="B287" s="79" t="s">
        <v>1170</v>
      </c>
      <c r="C287" s="79" t="s">
        <v>6</v>
      </c>
      <c r="D287" s="82">
        <v>48.52</v>
      </c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>
      <c r="A288" s="79" t="s">
        <v>1171</v>
      </c>
      <c r="B288" s="79" t="s">
        <v>1172</v>
      </c>
      <c r="C288" s="79" t="s">
        <v>6</v>
      </c>
      <c r="D288" s="82">
        <v>57.2</v>
      </c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>
      <c r="A289" s="79" t="s">
        <v>159</v>
      </c>
      <c r="B289" s="79" t="s">
        <v>1173</v>
      </c>
      <c r="C289" s="79" t="s">
        <v>6</v>
      </c>
      <c r="D289" s="82">
        <v>43.79</v>
      </c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>
      <c r="A290" s="79" t="s">
        <v>143</v>
      </c>
      <c r="B290" s="79" t="s">
        <v>1174</v>
      </c>
      <c r="C290" s="79" t="s">
        <v>6</v>
      </c>
      <c r="D290" s="82">
        <v>45.36</v>
      </c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>
      <c r="A291" s="79" t="s">
        <v>1175</v>
      </c>
      <c r="B291" s="79" t="s">
        <v>1176</v>
      </c>
      <c r="C291" s="79" t="s">
        <v>6</v>
      </c>
      <c r="D291" s="82">
        <v>56.96</v>
      </c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>
      <c r="A292" s="79" t="s">
        <v>326</v>
      </c>
      <c r="B292" s="79" t="s">
        <v>1177</v>
      </c>
      <c r="C292" s="79" t="s">
        <v>6</v>
      </c>
      <c r="D292" s="82">
        <v>44.97</v>
      </c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>
      <c r="A293" s="79" t="s">
        <v>1178</v>
      </c>
      <c r="B293" s="79" t="s">
        <v>1179</v>
      </c>
      <c r="C293" s="79" t="s">
        <v>6</v>
      </c>
      <c r="D293" s="82">
        <v>67.85</v>
      </c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>
      <c r="A294" s="79" t="s">
        <v>1180</v>
      </c>
      <c r="B294" s="79" t="s">
        <v>1181</v>
      </c>
      <c r="C294" s="79" t="s">
        <v>6</v>
      </c>
      <c r="D294" s="82">
        <v>46.94</v>
      </c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>
      <c r="A295" s="79" t="s">
        <v>172</v>
      </c>
      <c r="B295" s="79" t="s">
        <v>1182</v>
      </c>
      <c r="C295" s="79" t="s">
        <v>6</v>
      </c>
      <c r="D295" s="82">
        <v>51.68</v>
      </c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>
      <c r="A296" s="79" t="s">
        <v>1183</v>
      </c>
      <c r="B296" s="79" t="s">
        <v>1184</v>
      </c>
      <c r="C296" s="79" t="s">
        <v>6</v>
      </c>
      <c r="D296" s="82">
        <v>59.58</v>
      </c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>
      <c r="A297" s="79" t="s">
        <v>607</v>
      </c>
      <c r="B297" s="79" t="s">
        <v>1185</v>
      </c>
      <c r="C297" s="79" t="s">
        <v>6</v>
      </c>
      <c r="D297" s="82">
        <v>46.94</v>
      </c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>
      <c r="A298" s="79" t="s">
        <v>1186</v>
      </c>
      <c r="B298" s="79" t="s">
        <v>1187</v>
      </c>
      <c r="C298" s="79" t="s">
        <v>6</v>
      </c>
      <c r="D298" s="82">
        <v>67.46</v>
      </c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>
      <c r="A299" s="79" t="s">
        <v>230</v>
      </c>
      <c r="B299" s="79" t="s">
        <v>1188</v>
      </c>
      <c r="C299" s="79" t="s">
        <v>6</v>
      </c>
      <c r="D299" s="82">
        <v>54.05</v>
      </c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>
      <c r="A300" s="79" t="s">
        <v>1189</v>
      </c>
      <c r="B300" s="79" t="s">
        <v>1190</v>
      </c>
      <c r="C300" s="79" t="s">
        <v>6</v>
      </c>
      <c r="D300" s="82">
        <v>61.54</v>
      </c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>
      <c r="A301" s="79" t="s">
        <v>1191</v>
      </c>
      <c r="B301" s="79" t="s">
        <v>1192</v>
      </c>
      <c r="C301" s="79" t="s">
        <v>6</v>
      </c>
      <c r="D301" s="82">
        <v>40.24</v>
      </c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>
      <c r="A302" s="79" t="s">
        <v>248</v>
      </c>
      <c r="B302" s="79" t="s">
        <v>1193</v>
      </c>
      <c r="C302" s="79" t="s">
        <v>6</v>
      </c>
      <c r="D302" s="82">
        <v>62.33</v>
      </c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>
      <c r="A303" s="79" t="s">
        <v>364</v>
      </c>
      <c r="B303" s="79" t="s">
        <v>1194</v>
      </c>
      <c r="C303" s="79" t="s">
        <v>6</v>
      </c>
      <c r="D303" s="82">
        <v>61.94</v>
      </c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>
      <c r="A304" s="79" t="s">
        <v>213</v>
      </c>
      <c r="B304" s="79" t="s">
        <v>1195</v>
      </c>
      <c r="C304" s="79" t="s">
        <v>6</v>
      </c>
      <c r="D304" s="82">
        <v>49.71</v>
      </c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>
      <c r="A305" s="79" t="s">
        <v>1196</v>
      </c>
      <c r="B305" s="79" t="s">
        <v>1197</v>
      </c>
      <c r="C305" s="79" t="s">
        <v>6</v>
      </c>
      <c r="D305" s="82">
        <v>50.1</v>
      </c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>
      <c r="A306" s="79" t="s">
        <v>263</v>
      </c>
      <c r="B306" s="79" t="s">
        <v>1198</v>
      </c>
      <c r="C306" s="79" t="s">
        <v>6</v>
      </c>
      <c r="D306" s="82">
        <v>49.71</v>
      </c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>
      <c r="A307" s="79" t="s">
        <v>223</v>
      </c>
      <c r="B307" s="79" t="s">
        <v>1199</v>
      </c>
      <c r="C307" s="79" t="s">
        <v>6</v>
      </c>
      <c r="D307" s="82">
        <v>46.16</v>
      </c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>
      <c r="A308" s="79" t="s">
        <v>1200</v>
      </c>
      <c r="B308" s="79" t="s">
        <v>1201</v>
      </c>
      <c r="C308" s="79" t="s">
        <v>6</v>
      </c>
      <c r="D308" s="82">
        <v>64.7</v>
      </c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>
      <c r="A309" s="79" t="s">
        <v>492</v>
      </c>
      <c r="B309" s="79" t="s">
        <v>1202</v>
      </c>
      <c r="C309" s="79" t="s">
        <v>6</v>
      </c>
      <c r="D309" s="82">
        <v>42.6</v>
      </c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>
      <c r="A310" s="79" t="s">
        <v>1203</v>
      </c>
      <c r="B310" s="79" t="s">
        <v>1204</v>
      </c>
      <c r="C310" s="79" t="s">
        <v>6</v>
      </c>
      <c r="D310" s="82">
        <v>42.6</v>
      </c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>
      <c r="A311" s="79" t="s">
        <v>1205</v>
      </c>
      <c r="B311" s="79" t="s">
        <v>1206</v>
      </c>
      <c r="C311" s="79" t="s">
        <v>6</v>
      </c>
      <c r="D311" s="82">
        <v>44.58</v>
      </c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>
      <c r="A312" s="79" t="s">
        <v>1207</v>
      </c>
      <c r="B312" s="79" t="s">
        <v>1208</v>
      </c>
      <c r="C312" s="79" t="s">
        <v>6</v>
      </c>
      <c r="D312" s="82">
        <v>54.05</v>
      </c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>
      <c r="A313" s="79" t="s">
        <v>299</v>
      </c>
      <c r="B313" s="79" t="s">
        <v>1209</v>
      </c>
      <c r="C313" s="79" t="s">
        <v>6</v>
      </c>
      <c r="D313" s="82">
        <v>43.39</v>
      </c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>
      <c r="A314" s="79" t="s">
        <v>340</v>
      </c>
      <c r="B314" s="79" t="s">
        <v>1210</v>
      </c>
      <c r="C314" s="79" t="s">
        <v>6</v>
      </c>
      <c r="D314" s="82">
        <v>56.81</v>
      </c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>
      <c r="A315" s="79" t="s">
        <v>1211</v>
      </c>
      <c r="B315" s="79" t="s">
        <v>1212</v>
      </c>
      <c r="C315" s="79" t="s">
        <v>6</v>
      </c>
      <c r="D315" s="82">
        <v>60.71</v>
      </c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>
      <c r="A316" s="79" t="s">
        <v>1213</v>
      </c>
      <c r="B316" s="79" t="s">
        <v>1214</v>
      </c>
      <c r="C316" s="79" t="s">
        <v>6</v>
      </c>
      <c r="D316" s="82">
        <v>60.71</v>
      </c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>
      <c r="A317" s="79" t="s">
        <v>1215</v>
      </c>
      <c r="B317" s="79" t="s">
        <v>1216</v>
      </c>
      <c r="C317" s="79" t="s">
        <v>6</v>
      </c>
      <c r="D317" s="82">
        <v>50.62</v>
      </c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>
      <c r="A318" s="79" t="s">
        <v>1217</v>
      </c>
      <c r="B318" s="79" t="s">
        <v>1218</v>
      </c>
      <c r="C318" s="79" t="s">
        <v>6</v>
      </c>
      <c r="D318" s="82">
        <v>46.55</v>
      </c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>
      <c r="A319" s="79" t="s">
        <v>337</v>
      </c>
      <c r="B319" s="79" t="s">
        <v>1219</v>
      </c>
      <c r="C319" s="79" t="s">
        <v>6</v>
      </c>
      <c r="D319" s="82">
        <v>45.76</v>
      </c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>
      <c r="A320" s="79" t="s">
        <v>1220</v>
      </c>
      <c r="B320" s="79" t="s">
        <v>1221</v>
      </c>
      <c r="C320" s="79" t="s">
        <v>6</v>
      </c>
      <c r="D320" s="82">
        <v>42.6</v>
      </c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>
      <c r="A321" s="79" t="s">
        <v>703</v>
      </c>
      <c r="B321" s="79" t="s">
        <v>1222</v>
      </c>
      <c r="C321" s="79" t="s">
        <v>6</v>
      </c>
      <c r="D321" s="82">
        <v>42.6</v>
      </c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>
      <c r="A322" s="79" t="s">
        <v>1223</v>
      </c>
      <c r="B322" s="79" t="s">
        <v>1224</v>
      </c>
      <c r="C322" s="79" t="s">
        <v>6</v>
      </c>
      <c r="D322" s="82">
        <v>43.79</v>
      </c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>
      <c r="A323" s="79" t="s">
        <v>1225</v>
      </c>
      <c r="B323" s="79" t="s">
        <v>1226</v>
      </c>
      <c r="C323" s="79" t="s">
        <v>6</v>
      </c>
      <c r="D323" s="82">
        <v>65.88</v>
      </c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>
      <c r="A324" s="79" t="s">
        <v>360</v>
      </c>
      <c r="B324" s="79" t="s">
        <v>1227</v>
      </c>
      <c r="C324" s="79" t="s">
        <v>6</v>
      </c>
      <c r="D324" s="82">
        <v>57.2</v>
      </c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>
      <c r="A325" s="79" t="s">
        <v>1228</v>
      </c>
      <c r="B325" s="79" t="s">
        <v>1229</v>
      </c>
      <c r="C325" s="79" t="s">
        <v>6</v>
      </c>
      <c r="D325" s="82">
        <v>50.89</v>
      </c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>
      <c r="A326" s="79" t="s">
        <v>1230</v>
      </c>
      <c r="B326" s="79" t="s">
        <v>1231</v>
      </c>
      <c r="C326" s="79" t="s">
        <v>6</v>
      </c>
      <c r="D326" s="82">
        <v>46.16</v>
      </c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>
      <c r="A327" s="79" t="s">
        <v>1232</v>
      </c>
      <c r="B327" s="79" t="s">
        <v>1233</v>
      </c>
      <c r="C327" s="79" t="s">
        <v>6</v>
      </c>
      <c r="D327" s="82">
        <v>74.56</v>
      </c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>
      <c r="A328" s="79" t="s">
        <v>1234</v>
      </c>
      <c r="B328" s="79" t="s">
        <v>1235</v>
      </c>
      <c r="C328" s="79" t="s">
        <v>6</v>
      </c>
      <c r="D328" s="82">
        <v>42.21</v>
      </c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>
      <c r="A329" s="79" t="s">
        <v>135</v>
      </c>
      <c r="B329" s="79" t="s">
        <v>1236</v>
      </c>
      <c r="C329" s="79" t="s">
        <v>6</v>
      </c>
      <c r="D329" s="82">
        <v>43.79</v>
      </c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>
      <c r="A330" s="79" t="s">
        <v>1237</v>
      </c>
      <c r="B330" s="79" t="s">
        <v>1238</v>
      </c>
      <c r="C330" s="79" t="s">
        <v>6</v>
      </c>
      <c r="D330" s="82">
        <v>44.97</v>
      </c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>
      <c r="A331" s="79" t="s">
        <v>1239</v>
      </c>
      <c r="B331" s="79" t="s">
        <v>1240</v>
      </c>
      <c r="C331" s="79" t="s">
        <v>6</v>
      </c>
      <c r="D331" s="82">
        <v>41.03</v>
      </c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>
      <c r="A332" s="79" t="s">
        <v>183</v>
      </c>
      <c r="B332" s="79" t="s">
        <v>1241</v>
      </c>
      <c r="C332" s="79" t="s">
        <v>6</v>
      </c>
      <c r="D332" s="82">
        <v>67.85</v>
      </c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>
      <c r="A333" s="79" t="s">
        <v>1242</v>
      </c>
      <c r="B333" s="79" t="s">
        <v>1243</v>
      </c>
      <c r="C333" s="79" t="s">
        <v>6</v>
      </c>
      <c r="D333" s="82">
        <v>64.88</v>
      </c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>
      <c r="A334" s="79" t="s">
        <v>205</v>
      </c>
      <c r="B334" s="79" t="s">
        <v>1244</v>
      </c>
      <c r="C334" s="79" t="s">
        <v>6</v>
      </c>
      <c r="D334" s="82">
        <v>45.36</v>
      </c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>
      <c r="A335" s="79" t="s">
        <v>1245</v>
      </c>
      <c r="B335" s="79" t="s">
        <v>1246</v>
      </c>
      <c r="C335" s="79" t="s">
        <v>6</v>
      </c>
      <c r="D335" s="82">
        <v>94.08</v>
      </c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>
      <c r="A336" s="79" t="s">
        <v>1247</v>
      </c>
      <c r="B336" s="79" t="s">
        <v>1248</v>
      </c>
      <c r="C336" s="79" t="s">
        <v>6</v>
      </c>
      <c r="D336" s="82">
        <v>46.55</v>
      </c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>
      <c r="A337" s="79" t="s">
        <v>1249</v>
      </c>
      <c r="B337" s="79" t="s">
        <v>1250</v>
      </c>
      <c r="C337" s="79" t="s">
        <v>6</v>
      </c>
      <c r="D337" s="82">
        <v>50.1</v>
      </c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>
      <c r="A338" s="79" t="s">
        <v>441</v>
      </c>
      <c r="B338" s="79" t="s">
        <v>1251</v>
      </c>
      <c r="C338" s="79" t="s">
        <v>6</v>
      </c>
      <c r="D338" s="82">
        <v>34.32</v>
      </c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>
      <c r="A339" s="79" t="s">
        <v>1252</v>
      </c>
      <c r="B339" s="79" t="s">
        <v>1253</v>
      </c>
      <c r="C339" s="79" t="s">
        <v>6</v>
      </c>
      <c r="D339" s="82">
        <v>65.88</v>
      </c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>
      <c r="A340" s="79" t="s">
        <v>400</v>
      </c>
      <c r="B340" s="79" t="s">
        <v>1254</v>
      </c>
      <c r="C340" s="79" t="s">
        <v>6</v>
      </c>
      <c r="D340" s="82">
        <v>51.68</v>
      </c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>
      <c r="A341" s="79" t="s">
        <v>343</v>
      </c>
      <c r="B341" s="79" t="s">
        <v>1255</v>
      </c>
      <c r="C341" s="79" t="s">
        <v>6</v>
      </c>
      <c r="D341" s="82">
        <v>32.35</v>
      </c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>
      <c r="A342" s="79" t="s">
        <v>252</v>
      </c>
      <c r="B342" s="79" t="s">
        <v>1256</v>
      </c>
      <c r="C342" s="79" t="s">
        <v>6</v>
      </c>
      <c r="D342" s="82">
        <v>45.76</v>
      </c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>
      <c r="A343" s="79" t="s">
        <v>1257</v>
      </c>
      <c r="B343" s="79" t="s">
        <v>1258</v>
      </c>
      <c r="C343" s="79" t="s">
        <v>6</v>
      </c>
      <c r="D343" s="82">
        <v>61.54</v>
      </c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>
      <c r="A344" s="79" t="s">
        <v>1259</v>
      </c>
      <c r="B344" s="79" t="s">
        <v>1260</v>
      </c>
      <c r="C344" s="79" t="s">
        <v>6</v>
      </c>
      <c r="D344" s="82">
        <v>68.96</v>
      </c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>
      <c r="A345" s="79" t="s">
        <v>1261</v>
      </c>
      <c r="B345" s="79" t="s">
        <v>1262</v>
      </c>
      <c r="C345" s="79" t="s">
        <v>6</v>
      </c>
      <c r="D345" s="82">
        <v>54.05</v>
      </c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>
      <c r="A346" s="79" t="s">
        <v>439</v>
      </c>
      <c r="B346" s="79" t="s">
        <v>1263</v>
      </c>
      <c r="C346" s="79" t="s">
        <v>6</v>
      </c>
      <c r="D346" s="82">
        <v>67.06</v>
      </c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>
      <c r="A347" s="79" t="s">
        <v>1264</v>
      </c>
      <c r="B347" s="79" t="s">
        <v>1265</v>
      </c>
      <c r="C347" s="79" t="s">
        <v>6</v>
      </c>
      <c r="D347" s="82">
        <v>61.54</v>
      </c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>
      <c r="A348" s="79" t="s">
        <v>1266</v>
      </c>
      <c r="B348" s="79" t="s">
        <v>1267</v>
      </c>
      <c r="C348" s="79" t="s">
        <v>6</v>
      </c>
      <c r="D348" s="82">
        <v>74.21</v>
      </c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>
      <c r="A349" s="79" t="s">
        <v>1268</v>
      </c>
      <c r="B349" s="79" t="s">
        <v>1269</v>
      </c>
      <c r="C349" s="79" t="s">
        <v>6</v>
      </c>
      <c r="D349" s="82">
        <v>60.36</v>
      </c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>
      <c r="A350" s="79" t="s">
        <v>198</v>
      </c>
      <c r="B350" s="79" t="s">
        <v>1270</v>
      </c>
      <c r="C350" s="79" t="s">
        <v>6</v>
      </c>
      <c r="D350" s="82">
        <v>44.58</v>
      </c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>
      <c r="A351" s="79" t="s">
        <v>1271</v>
      </c>
      <c r="B351" s="79" t="s">
        <v>1272</v>
      </c>
      <c r="C351" s="79" t="s">
        <v>6</v>
      </c>
      <c r="D351" s="82">
        <v>84.71</v>
      </c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>
      <c r="A352" s="79" t="s">
        <v>216</v>
      </c>
      <c r="B352" s="79" t="s">
        <v>1273</v>
      </c>
      <c r="C352" s="79" t="s">
        <v>6</v>
      </c>
      <c r="D352" s="82">
        <v>74.21</v>
      </c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>
      <c r="A353" s="79" t="s">
        <v>462</v>
      </c>
      <c r="B353" s="79" t="s">
        <v>1274</v>
      </c>
      <c r="C353" s="79" t="s">
        <v>6</v>
      </c>
      <c r="D353" s="82">
        <v>46.16</v>
      </c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>
      <c r="A354" s="79" t="s">
        <v>1275</v>
      </c>
      <c r="B354" s="79" t="s">
        <v>1276</v>
      </c>
      <c r="C354" s="79" t="s">
        <v>6</v>
      </c>
      <c r="D354" s="82">
        <v>62.33</v>
      </c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>
      <c r="A355" s="79" t="s">
        <v>1277</v>
      </c>
      <c r="B355" s="79" t="s">
        <v>1278</v>
      </c>
      <c r="C355" s="79" t="s">
        <v>6</v>
      </c>
      <c r="D355" s="82">
        <v>43.79</v>
      </c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>
      <c r="A356" s="79" t="s">
        <v>1279</v>
      </c>
      <c r="B356" s="79" t="s">
        <v>1280</v>
      </c>
      <c r="C356" s="79" t="s">
        <v>6</v>
      </c>
      <c r="D356" s="82">
        <v>37.47</v>
      </c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>
      <c r="A357" s="79" t="s">
        <v>1281</v>
      </c>
      <c r="B357" s="79" t="s">
        <v>1282</v>
      </c>
      <c r="C357" s="79" t="s">
        <v>6</v>
      </c>
      <c r="D357" s="82">
        <v>84.03</v>
      </c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>
      <c r="A358" s="79" t="s">
        <v>426</v>
      </c>
      <c r="B358" s="79" t="s">
        <v>1283</v>
      </c>
      <c r="C358" s="79" t="s">
        <v>6</v>
      </c>
      <c r="D358" s="82">
        <v>61.54</v>
      </c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>
      <c r="A359" s="79" t="s">
        <v>1284</v>
      </c>
      <c r="B359" s="79" t="s">
        <v>1285</v>
      </c>
      <c r="C359" s="79" t="s">
        <v>6</v>
      </c>
      <c r="D359" s="82">
        <v>61.54</v>
      </c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>
      <c r="A360" s="79" t="s">
        <v>402</v>
      </c>
      <c r="B360" s="79" t="s">
        <v>1286</v>
      </c>
      <c r="C360" s="79" t="s">
        <v>6</v>
      </c>
      <c r="D360" s="82">
        <v>61.94</v>
      </c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>
      <c r="A361" s="79" t="s">
        <v>379</v>
      </c>
      <c r="B361" s="79" t="s">
        <v>1287</v>
      </c>
      <c r="C361" s="79" t="s">
        <v>6</v>
      </c>
      <c r="D361" s="82">
        <v>58.38</v>
      </c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>
      <c r="A362" s="79" t="s">
        <v>370</v>
      </c>
      <c r="B362" s="79" t="s">
        <v>1288</v>
      </c>
      <c r="C362" s="79" t="s">
        <v>6</v>
      </c>
      <c r="D362" s="82">
        <v>48.52</v>
      </c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>
      <c r="A363" s="79" t="s">
        <v>1289</v>
      </c>
      <c r="B363" s="79" t="s">
        <v>1290</v>
      </c>
      <c r="C363" s="79" t="s">
        <v>6</v>
      </c>
      <c r="D363" s="82">
        <v>59.57</v>
      </c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>
      <c r="A364" s="79" t="s">
        <v>294</v>
      </c>
      <c r="B364" s="79" t="s">
        <v>1291</v>
      </c>
      <c r="C364" s="79" t="s">
        <v>6</v>
      </c>
      <c r="D364" s="82">
        <v>51.28</v>
      </c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>
      <c r="A365" s="79" t="s">
        <v>1292</v>
      </c>
      <c r="B365" s="79" t="s">
        <v>1293</v>
      </c>
      <c r="C365" s="79" t="s">
        <v>6</v>
      </c>
      <c r="D365" s="82">
        <v>65.96</v>
      </c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>
      <c r="A366" s="79" t="s">
        <v>1294</v>
      </c>
      <c r="B366" s="79" t="s">
        <v>1295</v>
      </c>
      <c r="C366" s="79" t="s">
        <v>6</v>
      </c>
      <c r="D366" s="82">
        <v>48.52</v>
      </c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>
      <c r="A367" s="79" t="s">
        <v>268</v>
      </c>
      <c r="B367" s="79" t="s">
        <v>1296</v>
      </c>
      <c r="C367" s="79" t="s">
        <v>6</v>
      </c>
      <c r="D367" s="82">
        <v>53.65</v>
      </c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>
      <c r="A368" s="79" t="s">
        <v>1297</v>
      </c>
      <c r="B368" s="79" t="s">
        <v>1298</v>
      </c>
      <c r="C368" s="79" t="s">
        <v>6</v>
      </c>
      <c r="D368" s="82">
        <v>62.33</v>
      </c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>
      <c r="A369" s="79" t="s">
        <v>1299</v>
      </c>
      <c r="B369" s="79" t="s">
        <v>1300</v>
      </c>
      <c r="C369" s="79" t="s">
        <v>6</v>
      </c>
      <c r="D369" s="82">
        <v>61.14</v>
      </c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>
      <c r="A370" s="79" t="s">
        <v>344</v>
      </c>
      <c r="B370" s="79" t="s">
        <v>1301</v>
      </c>
      <c r="C370" s="79" t="s">
        <v>6</v>
      </c>
      <c r="D370" s="82">
        <v>61.14</v>
      </c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>
      <c r="A371" s="79" t="s">
        <v>1302</v>
      </c>
      <c r="B371" s="79" t="s">
        <v>1303</v>
      </c>
      <c r="C371" s="79" t="s">
        <v>6</v>
      </c>
      <c r="D371" s="82">
        <v>72.59</v>
      </c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>
      <c r="A372" s="79" t="s">
        <v>383</v>
      </c>
      <c r="B372" s="79" t="s">
        <v>1304</v>
      </c>
      <c r="C372" s="79" t="s">
        <v>6</v>
      </c>
      <c r="D372" s="82">
        <v>72.59</v>
      </c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>
      <c r="A373" s="79" t="s">
        <v>1305</v>
      </c>
      <c r="B373" s="79" t="s">
        <v>1306</v>
      </c>
      <c r="C373" s="79" t="s">
        <v>6</v>
      </c>
      <c r="D373" s="82">
        <v>59.57</v>
      </c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>
      <c r="A374" s="79" t="s">
        <v>1307</v>
      </c>
      <c r="B374" s="79" t="s">
        <v>1308</v>
      </c>
      <c r="C374" s="79" t="s">
        <v>6</v>
      </c>
      <c r="D374" s="82">
        <v>59.57</v>
      </c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>
      <c r="A375" s="79" t="s">
        <v>164</v>
      </c>
      <c r="B375" s="79" t="s">
        <v>1309</v>
      </c>
      <c r="C375" s="79" t="s">
        <v>6</v>
      </c>
      <c r="D375" s="82">
        <v>50.1</v>
      </c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>
      <c r="A376" s="79" t="s">
        <v>1310</v>
      </c>
      <c r="B376" s="79" t="s">
        <v>1311</v>
      </c>
      <c r="C376" s="79" t="s">
        <v>6</v>
      </c>
      <c r="D376" s="82">
        <v>60.36</v>
      </c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>
      <c r="A377" s="79" t="s">
        <v>1312</v>
      </c>
      <c r="B377" s="79" t="s">
        <v>1313</v>
      </c>
      <c r="C377" s="79" t="s">
        <v>6</v>
      </c>
      <c r="D377" s="82">
        <v>52.47</v>
      </c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>
      <c r="A378" s="79" t="s">
        <v>1314</v>
      </c>
      <c r="B378" s="79" t="s">
        <v>1315</v>
      </c>
      <c r="C378" s="79" t="s">
        <v>6</v>
      </c>
      <c r="D378" s="82">
        <v>60.75</v>
      </c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>
      <c r="A379" s="79" t="s">
        <v>1316</v>
      </c>
      <c r="B379" s="79" t="s">
        <v>1317</v>
      </c>
      <c r="C379" s="79" t="s">
        <v>6</v>
      </c>
      <c r="D379" s="82">
        <v>52.07</v>
      </c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>
      <c r="A380" s="79" t="s">
        <v>1318</v>
      </c>
      <c r="B380" s="79" t="s">
        <v>1319</v>
      </c>
      <c r="C380" s="79" t="s">
        <v>6</v>
      </c>
      <c r="D380" s="82">
        <v>60.71</v>
      </c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>
      <c r="A381" s="79" t="s">
        <v>1320</v>
      </c>
      <c r="B381" s="79" t="s">
        <v>1321</v>
      </c>
      <c r="C381" s="79" t="s">
        <v>6</v>
      </c>
      <c r="D381" s="82">
        <v>52.07</v>
      </c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>
      <c r="A382" s="79" t="s">
        <v>1322</v>
      </c>
      <c r="B382" s="79" t="s">
        <v>1323</v>
      </c>
      <c r="C382" s="79" t="s">
        <v>6</v>
      </c>
      <c r="D382" s="82" t="s">
        <v>1324</v>
      </c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>
      <c r="A383" s="79" t="s">
        <v>239</v>
      </c>
      <c r="B383" s="79" t="s">
        <v>1325</v>
      </c>
      <c r="C383" s="79" t="s">
        <v>6</v>
      </c>
      <c r="D383" s="82">
        <v>47.34</v>
      </c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>
      <c r="A384" s="79" t="s">
        <v>1326</v>
      </c>
      <c r="B384" s="79" t="s">
        <v>1327</v>
      </c>
      <c r="C384" s="79" t="s">
        <v>6</v>
      </c>
      <c r="D384" s="82">
        <v>59.96</v>
      </c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>
      <c r="A385" s="79" t="s">
        <v>1328</v>
      </c>
      <c r="B385" s="79" t="s">
        <v>1329</v>
      </c>
      <c r="C385" s="79" t="s">
        <v>6</v>
      </c>
      <c r="D385" s="82">
        <v>85.21</v>
      </c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>
      <c r="A386" s="79" t="s">
        <v>1330</v>
      </c>
      <c r="B386" s="79" t="s">
        <v>1331</v>
      </c>
      <c r="C386" s="79" t="s">
        <v>6</v>
      </c>
      <c r="D386" s="82">
        <v>85.21</v>
      </c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>
      <c r="A387" s="79" t="s">
        <v>1332</v>
      </c>
      <c r="B387" s="79" t="s">
        <v>1333</v>
      </c>
      <c r="C387" s="79" t="s">
        <v>6</v>
      </c>
      <c r="D387" s="82">
        <v>57.2</v>
      </c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>
      <c r="A388" s="79" t="s">
        <v>1334</v>
      </c>
      <c r="B388" s="79" t="s">
        <v>1335</v>
      </c>
      <c r="C388" s="79" t="s">
        <v>6</v>
      </c>
      <c r="D388" s="82">
        <v>57.2</v>
      </c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>
      <c r="A389" s="79" t="s">
        <v>1336</v>
      </c>
      <c r="B389" s="79" t="s">
        <v>1337</v>
      </c>
      <c r="C389" s="79" t="s">
        <v>6</v>
      </c>
      <c r="D389" s="82">
        <v>59.17</v>
      </c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>
      <c r="A390" s="79" t="s">
        <v>1338</v>
      </c>
      <c r="B390" s="79" t="s">
        <v>1339</v>
      </c>
      <c r="C390" s="79" t="s">
        <v>6</v>
      </c>
      <c r="D390" s="82">
        <v>59.17</v>
      </c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>
      <c r="A391" s="79" t="s">
        <v>1340</v>
      </c>
      <c r="B391" s="79" t="s">
        <v>1341</v>
      </c>
      <c r="C391" s="79" t="s">
        <v>6</v>
      </c>
      <c r="D391" s="82">
        <v>85.21</v>
      </c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>
      <c r="A392" s="79" t="s">
        <v>1342</v>
      </c>
      <c r="B392" s="79" t="s">
        <v>1343</v>
      </c>
      <c r="C392" s="79" t="s">
        <v>6</v>
      </c>
      <c r="D392" s="82">
        <v>54.44</v>
      </c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>
      <c r="A393" s="79" t="s">
        <v>489</v>
      </c>
      <c r="B393" s="79" t="s">
        <v>1344</v>
      </c>
      <c r="C393" s="79" t="s">
        <v>6</v>
      </c>
      <c r="D393" s="82">
        <v>61.54</v>
      </c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>
      <c r="A394" s="79" t="s">
        <v>1345</v>
      </c>
      <c r="B394" s="79" t="s">
        <v>1346</v>
      </c>
      <c r="C394" s="79" t="s">
        <v>6</v>
      </c>
      <c r="D394" s="82">
        <v>67.85</v>
      </c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>
      <c r="A395" s="79" t="s">
        <v>1347</v>
      </c>
      <c r="B395" s="79" t="s">
        <v>1348</v>
      </c>
      <c r="C395" s="79" t="s">
        <v>6</v>
      </c>
      <c r="D395" s="82">
        <v>67.85</v>
      </c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>
      <c r="A396" s="79" t="s">
        <v>1349</v>
      </c>
      <c r="B396" s="79" t="s">
        <v>1350</v>
      </c>
      <c r="C396" s="79" t="s">
        <v>6</v>
      </c>
      <c r="D396" s="82">
        <v>52.07</v>
      </c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>
      <c r="A397" s="79" t="s">
        <v>1351</v>
      </c>
      <c r="B397" s="79" t="s">
        <v>1352</v>
      </c>
      <c r="C397" s="79" t="s">
        <v>6</v>
      </c>
      <c r="D397" s="82">
        <v>60.36</v>
      </c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>
      <c r="A398" s="79" t="s">
        <v>1353</v>
      </c>
      <c r="B398" s="79" t="s">
        <v>1354</v>
      </c>
      <c r="C398" s="79" t="s">
        <v>6</v>
      </c>
      <c r="D398" s="82">
        <v>52.47</v>
      </c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>
      <c r="A399" s="79" t="s">
        <v>352</v>
      </c>
      <c r="B399" s="79" t="s">
        <v>1355</v>
      </c>
      <c r="C399" s="79" t="s">
        <v>6</v>
      </c>
      <c r="D399" s="82">
        <v>52.47</v>
      </c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>
      <c r="A400" s="79" t="s">
        <v>234</v>
      </c>
      <c r="B400" s="79" t="s">
        <v>1356</v>
      </c>
      <c r="C400" s="79" t="s">
        <v>6</v>
      </c>
      <c r="D400" s="82">
        <v>61.14</v>
      </c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>
      <c r="A401" s="79" t="s">
        <v>1357</v>
      </c>
      <c r="B401" s="79" t="s">
        <v>1358</v>
      </c>
      <c r="C401" s="79" t="s">
        <v>6</v>
      </c>
      <c r="D401" s="82">
        <v>61.14</v>
      </c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>
      <c r="A402" s="79" t="s">
        <v>1359</v>
      </c>
      <c r="B402" s="79" t="s">
        <v>1360</v>
      </c>
      <c r="C402" s="79" t="s">
        <v>6</v>
      </c>
      <c r="D402" s="82">
        <v>48.52</v>
      </c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>
      <c r="A403" s="79" t="s">
        <v>1361</v>
      </c>
      <c r="B403" s="79" t="s">
        <v>1362</v>
      </c>
      <c r="C403" s="79" t="s">
        <v>6</v>
      </c>
      <c r="D403" s="82">
        <v>57.99</v>
      </c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>
      <c r="A404" s="79" t="s">
        <v>1363</v>
      </c>
      <c r="B404" s="79" t="s">
        <v>1364</v>
      </c>
      <c r="C404" s="79" t="s">
        <v>6</v>
      </c>
      <c r="D404" s="82">
        <v>69.83</v>
      </c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>
      <c r="A405" s="79" t="s">
        <v>201</v>
      </c>
      <c r="B405" s="79" t="s">
        <v>1365</v>
      </c>
      <c r="C405" s="79" t="s">
        <v>6</v>
      </c>
      <c r="D405" s="82">
        <v>69.83</v>
      </c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>
      <c r="A406" s="79" t="s">
        <v>1366</v>
      </c>
      <c r="B406" s="79" t="s">
        <v>1367</v>
      </c>
      <c r="C406" s="79" t="s">
        <v>6</v>
      </c>
      <c r="D406" s="82">
        <v>60.75</v>
      </c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>
      <c r="A407" s="79" t="s">
        <v>1368</v>
      </c>
      <c r="B407" s="79" t="s">
        <v>1369</v>
      </c>
      <c r="C407" s="79" t="s">
        <v>6</v>
      </c>
      <c r="D407" s="82">
        <v>60.75</v>
      </c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>
      <c r="A408" s="79" t="s">
        <v>641</v>
      </c>
      <c r="B408" s="79" t="s">
        <v>1370</v>
      </c>
      <c r="C408" s="79" t="s">
        <v>6</v>
      </c>
      <c r="D408" s="82">
        <v>48.13</v>
      </c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>
      <c r="A409" s="79" t="s">
        <v>1371</v>
      </c>
      <c r="B409" s="79" t="s">
        <v>1372</v>
      </c>
      <c r="C409" s="79" t="s">
        <v>6</v>
      </c>
      <c r="D409" s="82">
        <v>65.09</v>
      </c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>
      <c r="A410" s="79" t="s">
        <v>1373</v>
      </c>
      <c r="B410" s="79" t="s">
        <v>1374</v>
      </c>
      <c r="C410" s="79" t="s">
        <v>6</v>
      </c>
      <c r="D410" s="82">
        <v>65.88</v>
      </c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>
      <c r="A411" s="79" t="s">
        <v>1375</v>
      </c>
      <c r="B411" s="79" t="s">
        <v>1376</v>
      </c>
      <c r="C411" s="79" t="s">
        <v>6</v>
      </c>
      <c r="D411" s="82">
        <v>65.88</v>
      </c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>
      <c r="A412" s="79" t="s">
        <v>1377</v>
      </c>
      <c r="B412" s="79" t="s">
        <v>1378</v>
      </c>
      <c r="C412" s="79" t="s">
        <v>6</v>
      </c>
      <c r="D412" s="82">
        <v>48.92</v>
      </c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>
      <c r="A413" s="79" t="s">
        <v>1379</v>
      </c>
      <c r="B413" s="79" t="s">
        <v>1380</v>
      </c>
      <c r="C413" s="79" t="s">
        <v>6</v>
      </c>
      <c r="D413" s="82">
        <v>63.91</v>
      </c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>
      <c r="A414" s="79" t="s">
        <v>1381</v>
      </c>
      <c r="B414" s="79" t="s">
        <v>1382</v>
      </c>
      <c r="C414" s="79" t="s">
        <v>6</v>
      </c>
      <c r="D414" s="82">
        <v>48.13</v>
      </c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>
      <c r="A415" s="79" t="s">
        <v>151</v>
      </c>
      <c r="B415" s="79" t="s">
        <v>1383</v>
      </c>
      <c r="C415" s="79" t="s">
        <v>6</v>
      </c>
      <c r="D415" s="82">
        <v>54.05</v>
      </c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>
      <c r="A416" s="79" t="s">
        <v>376</v>
      </c>
      <c r="B416" s="79" t="s">
        <v>1384</v>
      </c>
      <c r="C416" s="79" t="s">
        <v>6</v>
      </c>
      <c r="D416" s="82">
        <v>54.05</v>
      </c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>
      <c r="A417" s="79" t="s">
        <v>615</v>
      </c>
      <c r="B417" s="79" t="s">
        <v>1385</v>
      </c>
      <c r="C417" s="79" t="s">
        <v>6</v>
      </c>
      <c r="D417" s="82">
        <v>49.71</v>
      </c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>
      <c r="A418" s="79" t="s">
        <v>101</v>
      </c>
      <c r="B418" s="79" t="s">
        <v>1386</v>
      </c>
      <c r="C418" s="79" t="s">
        <v>6</v>
      </c>
      <c r="D418" s="82">
        <v>49.71</v>
      </c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>
      <c r="A419" s="79" t="s">
        <v>1387</v>
      </c>
      <c r="B419" s="79" t="s">
        <v>1388</v>
      </c>
      <c r="C419" s="79" t="s">
        <v>6</v>
      </c>
      <c r="D419" s="82">
        <v>48.52</v>
      </c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>
      <c r="A420" s="79" t="s">
        <v>427</v>
      </c>
      <c r="B420" s="79" t="s">
        <v>1389</v>
      </c>
      <c r="C420" s="79" t="s">
        <v>6</v>
      </c>
      <c r="D420" s="82">
        <v>49.71</v>
      </c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>
      <c r="A421" s="79" t="s">
        <v>176</v>
      </c>
      <c r="B421" s="79" t="s">
        <v>1390</v>
      </c>
      <c r="C421" s="79" t="s">
        <v>6</v>
      </c>
      <c r="D421" s="82">
        <v>67.46</v>
      </c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>
      <c r="A422" s="79" t="s">
        <v>1391</v>
      </c>
      <c r="B422" s="79" t="s">
        <v>1392</v>
      </c>
      <c r="C422" s="79" t="s">
        <v>6</v>
      </c>
      <c r="D422" s="82">
        <v>61.54</v>
      </c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>
      <c r="A423" s="79" t="s">
        <v>1393</v>
      </c>
      <c r="B423" s="79" t="s">
        <v>1394</v>
      </c>
      <c r="C423" s="79" t="s">
        <v>6</v>
      </c>
      <c r="D423" s="82">
        <v>48.52</v>
      </c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>
      <c r="A424" s="79" t="s">
        <v>1395</v>
      </c>
      <c r="B424" s="79" t="s">
        <v>1396</v>
      </c>
      <c r="C424" s="79" t="s">
        <v>6</v>
      </c>
      <c r="D424" s="82">
        <v>48.52</v>
      </c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>
      <c r="A425" s="79" t="s">
        <v>1397</v>
      </c>
      <c r="B425" s="79" t="s">
        <v>1398</v>
      </c>
      <c r="C425" s="79" t="s">
        <v>6</v>
      </c>
      <c r="D425" s="82">
        <v>60.71</v>
      </c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>
      <c r="A426" s="79" t="s">
        <v>1399</v>
      </c>
      <c r="B426" s="79" t="s">
        <v>1400</v>
      </c>
      <c r="C426" s="79" t="s">
        <v>6</v>
      </c>
      <c r="D426" s="82">
        <v>44.97</v>
      </c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>
      <c r="A427" s="79" t="s">
        <v>272</v>
      </c>
      <c r="B427" s="79" t="s">
        <v>1401</v>
      </c>
      <c r="C427" s="79" t="s">
        <v>6</v>
      </c>
      <c r="D427" s="82">
        <v>44.97</v>
      </c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>
      <c r="A428" s="79" t="s">
        <v>115</v>
      </c>
      <c r="B428" s="79" t="s">
        <v>1402</v>
      </c>
      <c r="C428" s="79" t="s">
        <v>6</v>
      </c>
      <c r="D428" s="82">
        <v>49.71</v>
      </c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>
      <c r="A429" s="79" t="s">
        <v>1403</v>
      </c>
      <c r="B429" s="79" t="s">
        <v>1404</v>
      </c>
      <c r="C429" s="79" t="s">
        <v>6</v>
      </c>
      <c r="D429" s="82">
        <v>43.39</v>
      </c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>
      <c r="A430" s="79" t="s">
        <v>1405</v>
      </c>
      <c r="B430" s="79" t="s">
        <v>1406</v>
      </c>
      <c r="C430" s="79" t="s">
        <v>6</v>
      </c>
      <c r="D430" s="82">
        <v>49.71</v>
      </c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>
      <c r="A431" s="79" t="s">
        <v>1407</v>
      </c>
      <c r="B431" s="79" t="s">
        <v>1408</v>
      </c>
      <c r="C431" s="79" t="s">
        <v>6</v>
      </c>
      <c r="D431" s="82">
        <v>43.39</v>
      </c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>
      <c r="A432" s="79" t="s">
        <v>1409</v>
      </c>
      <c r="B432" s="79" t="s">
        <v>1410</v>
      </c>
      <c r="C432" s="79" t="s">
        <v>6</v>
      </c>
      <c r="D432" s="82">
        <v>46.16</v>
      </c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>
      <c r="A433" s="79" t="s">
        <v>1411</v>
      </c>
      <c r="B433" s="79" t="s">
        <v>1412</v>
      </c>
      <c r="C433" s="79" t="s">
        <v>6</v>
      </c>
      <c r="D433" s="82">
        <v>61.46</v>
      </c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>
      <c r="A434" s="79" t="s">
        <v>1413</v>
      </c>
      <c r="B434" s="79" t="s">
        <v>1414</v>
      </c>
      <c r="C434" s="79" t="s">
        <v>6</v>
      </c>
      <c r="D434" s="82">
        <v>46.16</v>
      </c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>
      <c r="A435" s="79" t="s">
        <v>1415</v>
      </c>
      <c r="B435" s="79" t="s">
        <v>1416</v>
      </c>
      <c r="C435" s="79" t="s">
        <v>6</v>
      </c>
      <c r="D435" s="82">
        <v>52.47</v>
      </c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>
      <c r="A436" s="79" t="s">
        <v>194</v>
      </c>
      <c r="B436" s="79" t="s">
        <v>1417</v>
      </c>
      <c r="C436" s="79" t="s">
        <v>6</v>
      </c>
      <c r="D436" s="82">
        <v>48.52</v>
      </c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>
      <c r="A437" s="79" t="s">
        <v>1418</v>
      </c>
      <c r="B437" s="79" t="s">
        <v>1419</v>
      </c>
      <c r="C437" s="79" t="s">
        <v>6</v>
      </c>
      <c r="D437" s="82">
        <v>48.52</v>
      </c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>
      <c r="A438" s="79" t="s">
        <v>375</v>
      </c>
      <c r="B438" s="79" t="s">
        <v>1420</v>
      </c>
      <c r="C438" s="79" t="s">
        <v>6</v>
      </c>
      <c r="D438" s="82">
        <v>43.0</v>
      </c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>
      <c r="A439" s="79" t="s">
        <v>1421</v>
      </c>
      <c r="B439" s="79" t="s">
        <v>1422</v>
      </c>
      <c r="C439" s="79" t="s">
        <v>6</v>
      </c>
      <c r="D439" s="82">
        <v>49.71</v>
      </c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>
      <c r="A440" s="79" t="s">
        <v>1423</v>
      </c>
      <c r="B440" s="79" t="s">
        <v>1424</v>
      </c>
      <c r="C440" s="79" t="s">
        <v>6</v>
      </c>
      <c r="D440" s="82">
        <v>50.89</v>
      </c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>
      <c r="A441" s="79" t="s">
        <v>302</v>
      </c>
      <c r="B441" s="79" t="s">
        <v>1425</v>
      </c>
      <c r="C441" s="79" t="s">
        <v>6</v>
      </c>
      <c r="D441" s="82">
        <v>50.89</v>
      </c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>
      <c r="A442" s="79" t="s">
        <v>1426</v>
      </c>
      <c r="B442" s="79" t="s">
        <v>1427</v>
      </c>
      <c r="C442" s="79" t="s">
        <v>6</v>
      </c>
      <c r="D442" s="82">
        <v>62.33</v>
      </c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>
      <c r="A443" s="79" t="s">
        <v>139</v>
      </c>
      <c r="B443" s="79" t="s">
        <v>1428</v>
      </c>
      <c r="C443" s="79" t="s">
        <v>6</v>
      </c>
      <c r="D443" s="82">
        <v>62.33</v>
      </c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>
      <c r="A444" s="79" t="s">
        <v>1429</v>
      </c>
      <c r="B444" s="79" t="s">
        <v>1430</v>
      </c>
      <c r="C444" s="79" t="s">
        <v>6</v>
      </c>
      <c r="D444" s="82">
        <v>53.25</v>
      </c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>
      <c r="A445" s="79" t="s">
        <v>620</v>
      </c>
      <c r="B445" s="79" t="s">
        <v>1431</v>
      </c>
      <c r="C445" s="79" t="s">
        <v>6</v>
      </c>
      <c r="D445" s="82">
        <v>46.16</v>
      </c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>
      <c r="A446" s="79" t="s">
        <v>1432</v>
      </c>
      <c r="B446" s="79" t="s">
        <v>1433</v>
      </c>
      <c r="C446" s="79" t="s">
        <v>6</v>
      </c>
      <c r="D446" s="82">
        <v>53.25</v>
      </c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>
      <c r="A447" s="79" t="s">
        <v>361</v>
      </c>
      <c r="B447" s="79" t="s">
        <v>1434</v>
      </c>
      <c r="C447" s="79" t="s">
        <v>6</v>
      </c>
      <c r="D447" s="82">
        <v>46.16</v>
      </c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>
      <c r="A448" s="79" t="s">
        <v>1435</v>
      </c>
      <c r="B448" s="79" t="s">
        <v>1436</v>
      </c>
      <c r="C448" s="79" t="s">
        <v>6</v>
      </c>
      <c r="D448" s="82">
        <v>56.81</v>
      </c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>
      <c r="A449" s="79" t="s">
        <v>1437</v>
      </c>
      <c r="B449" s="79" t="s">
        <v>1438</v>
      </c>
      <c r="C449" s="79" t="s">
        <v>6</v>
      </c>
      <c r="D449" s="82">
        <v>56.81</v>
      </c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>
      <c r="A450" s="79" t="s">
        <v>1439</v>
      </c>
      <c r="B450" s="79" t="s">
        <v>1440</v>
      </c>
      <c r="C450" s="79" t="s">
        <v>6</v>
      </c>
      <c r="D450" s="82">
        <v>61.14</v>
      </c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>
      <c r="A451" s="79" t="s">
        <v>1441</v>
      </c>
      <c r="B451" s="79" t="s">
        <v>1442</v>
      </c>
      <c r="C451" s="79" t="s">
        <v>6</v>
      </c>
      <c r="D451" s="82">
        <v>61.14</v>
      </c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>
      <c r="A452" s="79" t="s">
        <v>1443</v>
      </c>
      <c r="B452" s="79" t="s">
        <v>1444</v>
      </c>
      <c r="C452" s="79" t="s">
        <v>6</v>
      </c>
      <c r="D452" s="82">
        <v>52.47</v>
      </c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>
      <c r="A453" s="79" t="s">
        <v>365</v>
      </c>
      <c r="B453" s="79" t="s">
        <v>1445</v>
      </c>
      <c r="C453" s="79" t="s">
        <v>6</v>
      </c>
      <c r="D453" s="82">
        <v>44.58</v>
      </c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>
      <c r="A454" s="79" t="s">
        <v>1446</v>
      </c>
      <c r="B454" s="79" t="s">
        <v>1447</v>
      </c>
      <c r="C454" s="79" t="s">
        <v>6</v>
      </c>
      <c r="D454" s="82">
        <v>65.49</v>
      </c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>
      <c r="A455" s="79" t="s">
        <v>124</v>
      </c>
      <c r="B455" s="79" t="s">
        <v>1448</v>
      </c>
      <c r="C455" s="79" t="s">
        <v>6</v>
      </c>
      <c r="D455" s="82">
        <v>48.52</v>
      </c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>
      <c r="A456" s="79" t="s">
        <v>1449</v>
      </c>
      <c r="B456" s="79" t="s">
        <v>1450</v>
      </c>
      <c r="C456" s="79" t="s">
        <v>6</v>
      </c>
      <c r="D456" s="82">
        <v>53.25</v>
      </c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>
      <c r="A457" s="79" t="s">
        <v>1451</v>
      </c>
      <c r="B457" s="79" t="s">
        <v>1452</v>
      </c>
      <c r="C457" s="79" t="s">
        <v>6</v>
      </c>
      <c r="D457" s="82">
        <v>46.16</v>
      </c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>
      <c r="A458" s="79" t="s">
        <v>1453</v>
      </c>
      <c r="B458" s="79" t="s">
        <v>1454</v>
      </c>
      <c r="C458" s="79" t="s">
        <v>6</v>
      </c>
      <c r="D458" s="82">
        <v>56.41</v>
      </c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>
      <c r="A459" s="79" t="s">
        <v>505</v>
      </c>
      <c r="B459" s="79" t="s">
        <v>1455</v>
      </c>
      <c r="C459" s="79" t="s">
        <v>6</v>
      </c>
      <c r="D459" s="82">
        <v>48.13</v>
      </c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>
      <c r="A460" s="79" t="s">
        <v>1456</v>
      </c>
      <c r="B460" s="79" t="s">
        <v>1457</v>
      </c>
      <c r="C460" s="79" t="s">
        <v>6</v>
      </c>
      <c r="D460" s="82">
        <v>59.17</v>
      </c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>
      <c r="A461" s="79" t="s">
        <v>1458</v>
      </c>
      <c r="B461" s="79" t="s">
        <v>1459</v>
      </c>
      <c r="C461" s="79" t="s">
        <v>6</v>
      </c>
      <c r="D461" s="82">
        <v>59.17</v>
      </c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>
      <c r="A462" s="79" t="s">
        <v>1460</v>
      </c>
      <c r="B462" s="79" t="s">
        <v>1461</v>
      </c>
      <c r="C462" s="79" t="s">
        <v>6</v>
      </c>
      <c r="D462" s="82">
        <v>57.2</v>
      </c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>
      <c r="A463" s="79" t="s">
        <v>1462</v>
      </c>
      <c r="B463" s="79" t="s">
        <v>1463</v>
      </c>
      <c r="C463" s="79" t="s">
        <v>6</v>
      </c>
      <c r="D463" s="82">
        <v>57.2</v>
      </c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>
      <c r="A464" s="79" t="s">
        <v>1464</v>
      </c>
      <c r="B464" s="79" t="s">
        <v>1465</v>
      </c>
      <c r="C464" s="79" t="s">
        <v>6</v>
      </c>
      <c r="D464" s="82">
        <v>57.2</v>
      </c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>
      <c r="A465" s="79" t="s">
        <v>332</v>
      </c>
      <c r="B465" s="79" t="s">
        <v>1466</v>
      </c>
      <c r="C465" s="79" t="s">
        <v>6</v>
      </c>
      <c r="D465" s="82">
        <v>48.13</v>
      </c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>
      <c r="A466" s="79" t="s">
        <v>1467</v>
      </c>
      <c r="B466" s="79" t="s">
        <v>1468</v>
      </c>
      <c r="C466" s="79" t="s">
        <v>6</v>
      </c>
      <c r="D466" s="82">
        <v>52.47</v>
      </c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>
      <c r="A467" s="79" t="s">
        <v>682</v>
      </c>
      <c r="B467" s="79" t="s">
        <v>1469</v>
      </c>
      <c r="C467" s="79" t="s">
        <v>6</v>
      </c>
      <c r="D467" s="82">
        <v>45.76</v>
      </c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>
      <c r="A468" s="79" t="s">
        <v>1470</v>
      </c>
      <c r="B468" s="79" t="s">
        <v>1471</v>
      </c>
      <c r="C468" s="79" t="s">
        <v>6</v>
      </c>
      <c r="D468" s="82">
        <v>47.34</v>
      </c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>
      <c r="A469" s="79" t="s">
        <v>366</v>
      </c>
      <c r="B469" s="79" t="s">
        <v>1472</v>
      </c>
      <c r="C469" s="79" t="s">
        <v>6</v>
      </c>
      <c r="D469" s="82">
        <v>65.88</v>
      </c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>
      <c r="A470" s="79" t="s">
        <v>1473</v>
      </c>
      <c r="B470" s="79" t="s">
        <v>1474</v>
      </c>
      <c r="C470" s="79" t="s">
        <v>6</v>
      </c>
      <c r="D470" s="82">
        <v>47.34</v>
      </c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>
      <c r="A471" s="79" t="s">
        <v>1475</v>
      </c>
      <c r="B471" s="79" t="s">
        <v>1476</v>
      </c>
      <c r="C471" s="79" t="s">
        <v>6</v>
      </c>
      <c r="D471" s="82">
        <v>57.99</v>
      </c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>
      <c r="A472" s="79" t="s">
        <v>209</v>
      </c>
      <c r="B472" s="79" t="s">
        <v>1477</v>
      </c>
      <c r="C472" s="79" t="s">
        <v>6</v>
      </c>
      <c r="D472" s="82">
        <v>49.31</v>
      </c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>
      <c r="A473" s="79" t="s">
        <v>434</v>
      </c>
      <c r="B473" s="79" t="s">
        <v>1478</v>
      </c>
      <c r="C473" s="79" t="s">
        <v>6</v>
      </c>
      <c r="D473" s="82">
        <v>19.33</v>
      </c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>
      <c r="A474" s="79" t="s">
        <v>1479</v>
      </c>
      <c r="B474" s="79" t="s">
        <v>1480</v>
      </c>
      <c r="C474" s="79" t="s">
        <v>6</v>
      </c>
      <c r="D474" s="82">
        <v>27.61</v>
      </c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>
      <c r="A475" s="79" t="s">
        <v>1481</v>
      </c>
      <c r="B475" s="79" t="s">
        <v>1482</v>
      </c>
      <c r="C475" s="79" t="s">
        <v>6</v>
      </c>
      <c r="D475" s="82">
        <v>33.14</v>
      </c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>
      <c r="A476" s="79" t="s">
        <v>1483</v>
      </c>
      <c r="B476" s="79" t="s">
        <v>1484</v>
      </c>
      <c r="C476" s="79" t="s">
        <v>6</v>
      </c>
      <c r="D476" s="82">
        <v>29.98</v>
      </c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>
      <c r="A477" s="79" t="s">
        <v>1485</v>
      </c>
      <c r="B477" s="79" t="s">
        <v>1486</v>
      </c>
      <c r="C477" s="79" t="s">
        <v>6</v>
      </c>
      <c r="D477" s="82">
        <v>74.16</v>
      </c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>
      <c r="A478" s="79" t="s">
        <v>1487</v>
      </c>
      <c r="B478" s="79" t="s">
        <v>1488</v>
      </c>
      <c r="C478" s="79" t="s">
        <v>6</v>
      </c>
      <c r="D478" s="82">
        <v>74.16</v>
      </c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>
      <c r="A479" s="79" t="s">
        <v>386</v>
      </c>
      <c r="B479" s="79" t="s">
        <v>1489</v>
      </c>
      <c r="C479" s="79" t="s">
        <v>6</v>
      </c>
      <c r="D479" s="82">
        <v>24.46</v>
      </c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>
      <c r="A480" s="79" t="s">
        <v>324</v>
      </c>
      <c r="B480" s="79" t="s">
        <v>1490</v>
      </c>
      <c r="C480" s="79" t="s">
        <v>6</v>
      </c>
      <c r="D480" s="82">
        <v>14.99</v>
      </c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>
      <c r="A481" s="79" t="s">
        <v>1491</v>
      </c>
      <c r="B481" s="79" t="s">
        <v>1492</v>
      </c>
      <c r="C481" s="79" t="s">
        <v>6</v>
      </c>
      <c r="D481" s="82">
        <v>36.69</v>
      </c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>
      <c r="A482" s="79" t="s">
        <v>1493</v>
      </c>
      <c r="B482" s="79" t="s">
        <v>1494</v>
      </c>
      <c r="C482" s="79" t="s">
        <v>6</v>
      </c>
      <c r="D482" s="82">
        <v>37.08</v>
      </c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>
      <c r="A483" s="79" t="s">
        <v>1495</v>
      </c>
      <c r="B483" s="79" t="s">
        <v>1496</v>
      </c>
      <c r="C483" s="79" t="s">
        <v>6</v>
      </c>
      <c r="D483" s="82">
        <v>41.03</v>
      </c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>
      <c r="A484" s="79" t="s">
        <v>442</v>
      </c>
      <c r="B484" s="79" t="s">
        <v>1497</v>
      </c>
      <c r="C484" s="79" t="s">
        <v>6</v>
      </c>
      <c r="D484" s="82">
        <v>32.35</v>
      </c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>
      <c r="A485" s="79" t="s">
        <v>1498</v>
      </c>
      <c r="B485" s="79" t="s">
        <v>1499</v>
      </c>
      <c r="C485" s="79" t="s">
        <v>6</v>
      </c>
      <c r="D485" s="82">
        <v>41.42</v>
      </c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>
      <c r="A486" s="79" t="s">
        <v>1500</v>
      </c>
      <c r="B486" s="79" t="s">
        <v>1501</v>
      </c>
      <c r="C486" s="79" t="s">
        <v>6</v>
      </c>
      <c r="D486" s="82">
        <v>72.59</v>
      </c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>
      <c r="A487" s="79" t="s">
        <v>1502</v>
      </c>
      <c r="B487" s="79" t="s">
        <v>1503</v>
      </c>
      <c r="C487" s="79" t="s">
        <v>6</v>
      </c>
      <c r="D487" s="82">
        <v>116.37</v>
      </c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>
      <c r="A488" s="79" t="s">
        <v>1504</v>
      </c>
      <c r="B488" s="79" t="s">
        <v>1505</v>
      </c>
      <c r="C488" s="79" t="s">
        <v>6</v>
      </c>
      <c r="D488" s="82">
        <v>76.92</v>
      </c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>
      <c r="A489" s="79" t="s">
        <v>1506</v>
      </c>
      <c r="B489" s="79" t="s">
        <v>1507</v>
      </c>
      <c r="C489" s="79" t="s">
        <v>6</v>
      </c>
      <c r="D489" s="82">
        <v>176.34</v>
      </c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>
      <c r="A490" s="79" t="s">
        <v>1508</v>
      </c>
      <c r="B490" s="79" t="s">
        <v>1509</v>
      </c>
      <c r="C490" s="79" t="s">
        <v>6</v>
      </c>
      <c r="D490" s="82">
        <v>222.5</v>
      </c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>
      <c r="A491" s="79" t="s">
        <v>1510</v>
      </c>
      <c r="B491" s="79" t="s">
        <v>1511</v>
      </c>
      <c r="C491" s="79" t="s">
        <v>6</v>
      </c>
      <c r="D491" s="82">
        <v>229.99</v>
      </c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>
      <c r="A492" s="79" t="s">
        <v>1512</v>
      </c>
      <c r="B492" s="79" t="s">
        <v>1513</v>
      </c>
      <c r="C492" s="79" t="s">
        <v>6</v>
      </c>
      <c r="D492" s="82">
        <v>245.38</v>
      </c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>
      <c r="A493" s="79" t="s">
        <v>1514</v>
      </c>
      <c r="B493" s="79" t="s">
        <v>1515</v>
      </c>
      <c r="C493" s="79" t="s">
        <v>6</v>
      </c>
      <c r="D493" s="82">
        <v>314.42</v>
      </c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>
      <c r="A494" s="79" t="s">
        <v>1516</v>
      </c>
      <c r="B494" s="79" t="s">
        <v>1517</v>
      </c>
      <c r="C494" s="79" t="s">
        <v>6</v>
      </c>
      <c r="D494" s="82">
        <v>220.92</v>
      </c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>
      <c r="A495" s="79" t="s">
        <v>1518</v>
      </c>
      <c r="B495" s="79" t="s">
        <v>1519</v>
      </c>
      <c r="C495" s="79" t="s">
        <v>6</v>
      </c>
      <c r="D495" s="82">
        <v>89.16</v>
      </c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>
      <c r="A496" s="79" t="s">
        <v>1520</v>
      </c>
      <c r="B496" s="79" t="s">
        <v>1521</v>
      </c>
      <c r="C496" s="79" t="s">
        <v>6</v>
      </c>
      <c r="D496" s="82">
        <v>260.37</v>
      </c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>
      <c r="A497" s="79" t="s">
        <v>1522</v>
      </c>
      <c r="B497" s="79" t="s">
        <v>1523</v>
      </c>
      <c r="C497" s="79" t="s">
        <v>6</v>
      </c>
      <c r="D497" s="82">
        <v>194.09</v>
      </c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>
      <c r="A498" s="79" t="s">
        <v>1524</v>
      </c>
      <c r="B498" s="79" t="s">
        <v>1525</v>
      </c>
      <c r="C498" s="79" t="s">
        <v>6</v>
      </c>
      <c r="D498" s="82">
        <v>182.65</v>
      </c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>
      <c r="A499" s="79" t="s">
        <v>1526</v>
      </c>
      <c r="B499" s="79" t="s">
        <v>1527</v>
      </c>
      <c r="C499" s="79" t="s">
        <v>6</v>
      </c>
      <c r="D499" s="82">
        <v>12.62</v>
      </c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>
      <c r="A500" s="79" t="s">
        <v>1528</v>
      </c>
      <c r="B500" s="79" t="s">
        <v>1529</v>
      </c>
      <c r="C500" s="79" t="s">
        <v>6</v>
      </c>
      <c r="D500" s="82">
        <v>8.28</v>
      </c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>
      <c r="A501" s="79" t="s">
        <v>1530</v>
      </c>
      <c r="B501" s="79" t="s">
        <v>1531</v>
      </c>
      <c r="C501" s="79" t="s">
        <v>6</v>
      </c>
      <c r="D501" s="82">
        <v>14.99</v>
      </c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>
      <c r="A502" s="79" t="s">
        <v>1532</v>
      </c>
      <c r="B502" s="79" t="s">
        <v>1533</v>
      </c>
      <c r="C502" s="79" t="s">
        <v>6</v>
      </c>
      <c r="D502" s="82">
        <v>55.62</v>
      </c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>
      <c r="A503" s="79" t="s">
        <v>1534</v>
      </c>
      <c r="B503" s="79" t="s">
        <v>1535</v>
      </c>
      <c r="C503" s="79" t="s">
        <v>6</v>
      </c>
      <c r="D503" s="82">
        <v>79.29</v>
      </c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>
      <c r="A504" s="79" t="s">
        <v>1536</v>
      </c>
      <c r="B504" s="79" t="s">
        <v>1537</v>
      </c>
      <c r="C504" s="79" t="s">
        <v>6</v>
      </c>
      <c r="D504" s="82">
        <v>145.96</v>
      </c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>
      <c r="A505" s="79" t="s">
        <v>1538</v>
      </c>
      <c r="B505" s="79" t="s">
        <v>1539</v>
      </c>
      <c r="C505" s="79" t="s">
        <v>6</v>
      </c>
      <c r="D505" s="82">
        <v>199.22</v>
      </c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>
      <c r="A506" s="79" t="s">
        <v>1540</v>
      </c>
      <c r="B506" s="79" t="s">
        <v>1541</v>
      </c>
      <c r="C506" s="79" t="s">
        <v>6</v>
      </c>
      <c r="D506" s="82">
        <v>189.36</v>
      </c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>
      <c r="A507" s="79" t="s">
        <v>1542</v>
      </c>
      <c r="B507" s="79" t="s">
        <v>1543</v>
      </c>
      <c r="C507" s="79" t="s">
        <v>6</v>
      </c>
      <c r="D507" s="82">
        <v>80.87</v>
      </c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>
      <c r="A508" s="79" t="s">
        <v>1544</v>
      </c>
      <c r="B508" s="79" t="s">
        <v>1545</v>
      </c>
      <c r="C508" s="79" t="s">
        <v>6</v>
      </c>
      <c r="D508" s="82">
        <v>174.33</v>
      </c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>
      <c r="A509" s="79" t="s">
        <v>1546</v>
      </c>
      <c r="B509" s="79" t="s">
        <v>1547</v>
      </c>
      <c r="C509" s="79" t="s">
        <v>6</v>
      </c>
      <c r="D509" s="82">
        <v>232.36</v>
      </c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>
      <c r="A510" s="79" t="s">
        <v>1548</v>
      </c>
      <c r="B510" s="79" t="s">
        <v>1549</v>
      </c>
      <c r="C510" s="79" t="s">
        <v>6</v>
      </c>
      <c r="D510" s="82">
        <v>6.31</v>
      </c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>
      <c r="A511" s="79" t="s">
        <v>1550</v>
      </c>
      <c r="B511" s="79" t="s">
        <v>1551</v>
      </c>
      <c r="C511" s="79" t="s">
        <v>6</v>
      </c>
      <c r="D511" s="82">
        <v>51.68</v>
      </c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>
      <c r="A512" s="79" t="s">
        <v>1552</v>
      </c>
      <c r="B512" s="79" t="s">
        <v>1553</v>
      </c>
      <c r="C512" s="79" t="s">
        <v>6</v>
      </c>
      <c r="D512" s="82">
        <v>51.68</v>
      </c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>
      <c r="A513" s="79" t="s">
        <v>1554</v>
      </c>
      <c r="B513" s="79" t="s">
        <v>1555</v>
      </c>
      <c r="C513" s="79" t="s">
        <v>6</v>
      </c>
      <c r="D513" s="82">
        <v>55.23</v>
      </c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>
      <c r="A514" s="79" t="s">
        <v>1556</v>
      </c>
      <c r="B514" s="79" t="s">
        <v>1557</v>
      </c>
      <c r="C514" s="79" t="s">
        <v>6</v>
      </c>
      <c r="D514" s="82">
        <v>70.22</v>
      </c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>
      <c r="A515" s="79" t="s">
        <v>1558</v>
      </c>
      <c r="B515" s="79" t="s">
        <v>1559</v>
      </c>
      <c r="C515" s="79" t="s">
        <v>6</v>
      </c>
      <c r="D515" s="82">
        <v>64.7</v>
      </c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>
      <c r="A516" s="79" t="s">
        <v>1560</v>
      </c>
      <c r="B516" s="79" t="s">
        <v>1561</v>
      </c>
      <c r="C516" s="79" t="s">
        <v>6</v>
      </c>
      <c r="D516" s="82">
        <v>77.32</v>
      </c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>
      <c r="A517" s="79" t="s">
        <v>1562</v>
      </c>
      <c r="B517" s="79" t="s">
        <v>1563</v>
      </c>
      <c r="C517" s="79" t="s">
        <v>6</v>
      </c>
      <c r="D517" s="82">
        <v>23.27</v>
      </c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>
      <c r="A518" s="79" t="s">
        <v>1564</v>
      </c>
      <c r="B518" s="79" t="s">
        <v>1565</v>
      </c>
      <c r="C518" s="79" t="s">
        <v>6</v>
      </c>
      <c r="D518" s="82">
        <v>64.7</v>
      </c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>
      <c r="A519" s="79" t="s">
        <v>1566</v>
      </c>
      <c r="B519" s="79" t="s">
        <v>1567</v>
      </c>
      <c r="C519" s="79" t="s">
        <v>6</v>
      </c>
      <c r="D519" s="82">
        <v>59.96</v>
      </c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>
      <c r="A520" s="79" t="s">
        <v>1568</v>
      </c>
      <c r="B520" s="79" t="s">
        <v>1569</v>
      </c>
      <c r="C520" s="79" t="s">
        <v>6</v>
      </c>
      <c r="D520" s="82">
        <v>52.86</v>
      </c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>
      <c r="A521" s="79" t="s">
        <v>1570</v>
      </c>
      <c r="B521" s="79" t="s">
        <v>1571</v>
      </c>
      <c r="C521" s="79" t="s">
        <v>6</v>
      </c>
      <c r="D521" s="82">
        <v>68.64</v>
      </c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>
      <c r="A522" s="79" t="s">
        <v>1572</v>
      </c>
      <c r="B522" s="79" t="s">
        <v>1573</v>
      </c>
      <c r="C522" s="79" t="s">
        <v>6</v>
      </c>
      <c r="D522" s="82">
        <v>37.47</v>
      </c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>
      <c r="A523" s="79" t="s">
        <v>1574</v>
      </c>
      <c r="B523" s="79" t="s">
        <v>1575</v>
      </c>
      <c r="C523" s="79" t="s">
        <v>6</v>
      </c>
      <c r="D523" s="82">
        <v>62.33</v>
      </c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>
      <c r="A524" s="79" t="s">
        <v>1576</v>
      </c>
      <c r="B524" s="79" t="s">
        <v>1577</v>
      </c>
      <c r="C524" s="79" t="s">
        <v>6</v>
      </c>
      <c r="D524" s="82">
        <v>54.83</v>
      </c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>
      <c r="A525" s="79" t="s">
        <v>451</v>
      </c>
      <c r="B525" s="79" t="s">
        <v>1578</v>
      </c>
      <c r="C525" s="79" t="s">
        <v>6</v>
      </c>
      <c r="D525" s="82">
        <v>18.54</v>
      </c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>
      <c r="A526" s="79" t="s">
        <v>1579</v>
      </c>
      <c r="B526" s="79" t="s">
        <v>1580</v>
      </c>
      <c r="C526" s="79" t="s">
        <v>6</v>
      </c>
      <c r="D526" s="82">
        <v>14.2</v>
      </c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>
      <c r="A527" s="79" t="s">
        <v>1581</v>
      </c>
      <c r="B527" s="79" t="s">
        <v>1582</v>
      </c>
      <c r="C527" s="79" t="s">
        <v>6</v>
      </c>
      <c r="D527" s="82">
        <v>11.04</v>
      </c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>
      <c r="A528" s="79" t="s">
        <v>373</v>
      </c>
      <c r="B528" s="79" t="s">
        <v>1583</v>
      </c>
      <c r="C528" s="79" t="s">
        <v>6</v>
      </c>
      <c r="D528" s="82">
        <v>9.47</v>
      </c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>
      <c r="A529" s="79" t="s">
        <v>1584</v>
      </c>
      <c r="B529" s="79" t="s">
        <v>1585</v>
      </c>
      <c r="C529" s="79" t="s">
        <v>6</v>
      </c>
      <c r="D529" s="82">
        <v>62.33</v>
      </c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>
      <c r="A530" s="79" t="s">
        <v>1586</v>
      </c>
      <c r="B530" s="79" t="s">
        <v>1587</v>
      </c>
      <c r="C530" s="79" t="s">
        <v>6</v>
      </c>
      <c r="D530" s="82">
        <v>47.34</v>
      </c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>
      <c r="A531" s="79" t="s">
        <v>1588</v>
      </c>
      <c r="B531" s="79" t="s">
        <v>1589</v>
      </c>
      <c r="C531" s="79" t="s">
        <v>6</v>
      </c>
      <c r="D531" s="82">
        <v>57.6</v>
      </c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>
      <c r="A532" s="79" t="s">
        <v>1590</v>
      </c>
      <c r="B532" s="79" t="s">
        <v>1591</v>
      </c>
      <c r="C532" s="79" t="s">
        <v>6</v>
      </c>
      <c r="D532" s="82">
        <v>62.72</v>
      </c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>
      <c r="A533" s="79" t="s">
        <v>1592</v>
      </c>
      <c r="B533" s="79" t="s">
        <v>1593</v>
      </c>
      <c r="C533" s="79" t="s">
        <v>6</v>
      </c>
      <c r="D533" s="82">
        <v>57.6</v>
      </c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>
      <c r="A534" s="79" t="s">
        <v>1594</v>
      </c>
      <c r="B534" s="79" t="s">
        <v>1595</v>
      </c>
      <c r="C534" s="79" t="s">
        <v>6</v>
      </c>
      <c r="D534" s="82">
        <v>29.19</v>
      </c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>
      <c r="A535" s="79" t="s">
        <v>1596</v>
      </c>
      <c r="B535" s="79" t="s">
        <v>1597</v>
      </c>
      <c r="C535" s="79" t="s">
        <v>6</v>
      </c>
      <c r="D535" s="82">
        <v>37.08</v>
      </c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>
      <c r="A536" s="79" t="s">
        <v>417</v>
      </c>
      <c r="B536" s="79" t="s">
        <v>1598</v>
      </c>
      <c r="C536" s="79" t="s">
        <v>6</v>
      </c>
      <c r="D536" s="82">
        <v>37.08</v>
      </c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>
      <c r="A537" s="79" t="s">
        <v>1599</v>
      </c>
      <c r="B537" s="79" t="s">
        <v>1600</v>
      </c>
      <c r="C537" s="79" t="s">
        <v>6</v>
      </c>
      <c r="D537" s="82">
        <v>41.42</v>
      </c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>
      <c r="A538" s="79" t="s">
        <v>1601</v>
      </c>
      <c r="B538" s="79" t="s">
        <v>1602</v>
      </c>
      <c r="C538" s="79" t="s">
        <v>6</v>
      </c>
      <c r="D538" s="82">
        <v>61.14</v>
      </c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>
      <c r="A539" s="79" t="s">
        <v>1603</v>
      </c>
      <c r="B539" s="79" t="s">
        <v>1604</v>
      </c>
      <c r="C539" s="79" t="s">
        <v>6</v>
      </c>
      <c r="D539" s="82">
        <v>63.12</v>
      </c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>
      <c r="A540" s="79" t="s">
        <v>1605</v>
      </c>
      <c r="B540" s="79" t="s">
        <v>1606</v>
      </c>
      <c r="C540" s="79" t="s">
        <v>6</v>
      </c>
      <c r="D540" s="82">
        <v>47.34</v>
      </c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>
      <c r="A541" s="79" t="s">
        <v>368</v>
      </c>
      <c r="B541" s="79" t="s">
        <v>1607</v>
      </c>
      <c r="C541" s="79" t="s">
        <v>6</v>
      </c>
      <c r="D541" s="82">
        <v>35.5</v>
      </c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>
      <c r="A542" s="79" t="s">
        <v>593</v>
      </c>
      <c r="B542" s="79" t="s">
        <v>1608</v>
      </c>
      <c r="C542" s="79" t="s">
        <v>6</v>
      </c>
      <c r="D542" s="82">
        <v>29.58</v>
      </c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>
      <c r="A543" s="79" t="s">
        <v>1609</v>
      </c>
      <c r="B543" s="79" t="s">
        <v>1610</v>
      </c>
      <c r="C543" s="79" t="s">
        <v>6</v>
      </c>
      <c r="D543" s="82">
        <v>54.44</v>
      </c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>
      <c r="A544" s="79" t="s">
        <v>1611</v>
      </c>
      <c r="B544" s="79" t="s">
        <v>1612</v>
      </c>
      <c r="C544" s="79" t="s">
        <v>6</v>
      </c>
      <c r="D544" s="82">
        <v>54.44</v>
      </c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>
      <c r="A545" s="79" t="s">
        <v>1613</v>
      </c>
      <c r="B545" s="79" t="s">
        <v>1614</v>
      </c>
      <c r="C545" s="79" t="s">
        <v>6</v>
      </c>
      <c r="D545" s="82">
        <v>52.07</v>
      </c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>
      <c r="A546" s="79" t="s">
        <v>1615</v>
      </c>
      <c r="B546" s="79" t="s">
        <v>1616</v>
      </c>
      <c r="C546" s="79" t="s">
        <v>6</v>
      </c>
      <c r="D546" s="82">
        <v>58.38</v>
      </c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>
      <c r="A547" s="79" t="s">
        <v>1617</v>
      </c>
      <c r="B547" s="79" t="s">
        <v>1618</v>
      </c>
      <c r="C547" s="79" t="s">
        <v>6</v>
      </c>
      <c r="D547" s="82">
        <v>58.38</v>
      </c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>
      <c r="A548" s="79" t="s">
        <v>1619</v>
      </c>
      <c r="B548" s="79" t="s">
        <v>1620</v>
      </c>
      <c r="C548" s="79" t="s">
        <v>6</v>
      </c>
      <c r="D548" s="82">
        <v>48.13</v>
      </c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>
      <c r="A549" s="79" t="s">
        <v>1621</v>
      </c>
      <c r="B549" s="79" t="s">
        <v>1622</v>
      </c>
      <c r="C549" s="79" t="s">
        <v>6</v>
      </c>
      <c r="D549" s="82">
        <v>16.57</v>
      </c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>
      <c r="A550" s="79" t="s">
        <v>1623</v>
      </c>
      <c r="B550" s="79" t="s">
        <v>1624</v>
      </c>
      <c r="C550" s="79" t="s">
        <v>6</v>
      </c>
      <c r="D550" s="82">
        <v>14.99</v>
      </c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>
      <c r="A551" s="79" t="s">
        <v>1625</v>
      </c>
      <c r="B551" s="79" t="s">
        <v>1626</v>
      </c>
      <c r="C551" s="79" t="s">
        <v>6</v>
      </c>
      <c r="D551" s="82">
        <v>44.58</v>
      </c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>
      <c r="A552" s="79" t="s">
        <v>399</v>
      </c>
      <c r="B552" s="79" t="s">
        <v>1627</v>
      </c>
      <c r="C552" s="79" t="s">
        <v>6</v>
      </c>
      <c r="D552" s="82">
        <v>41.82</v>
      </c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>
      <c r="A553" s="79" t="s">
        <v>1628</v>
      </c>
      <c r="B553" s="79" t="s">
        <v>1629</v>
      </c>
      <c r="C553" s="79" t="s">
        <v>6</v>
      </c>
      <c r="D553" s="82">
        <v>21.69</v>
      </c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>
      <c r="A554" s="79" t="s">
        <v>1630</v>
      </c>
      <c r="B554" s="79" t="s">
        <v>1631</v>
      </c>
      <c r="C554" s="79" t="s">
        <v>6</v>
      </c>
      <c r="D554" s="82">
        <v>18.93</v>
      </c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>
      <c r="A555" s="79" t="s">
        <v>1632</v>
      </c>
      <c r="B555" s="79" t="s">
        <v>1633</v>
      </c>
      <c r="C555" s="79" t="s">
        <v>6</v>
      </c>
      <c r="D555" s="82">
        <v>18.93</v>
      </c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>
      <c r="A556" s="79" t="s">
        <v>1634</v>
      </c>
      <c r="B556" s="79" t="s">
        <v>1635</v>
      </c>
      <c r="C556" s="79" t="s">
        <v>6</v>
      </c>
      <c r="D556" s="82">
        <v>67.06</v>
      </c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>
      <c r="A557" s="79" t="s">
        <v>1636</v>
      </c>
      <c r="B557" s="79" t="s">
        <v>1637</v>
      </c>
      <c r="C557" s="79" t="s">
        <v>6</v>
      </c>
      <c r="D557" s="82">
        <v>48.52</v>
      </c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>
      <c r="A558" s="79" t="s">
        <v>1638</v>
      </c>
      <c r="B558" s="79" t="s">
        <v>1639</v>
      </c>
      <c r="C558" s="79" t="s">
        <v>6</v>
      </c>
      <c r="D558" s="82">
        <v>48.52</v>
      </c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>
      <c r="A559" s="79" t="s">
        <v>1640</v>
      </c>
      <c r="B559" s="79" t="s">
        <v>1641</v>
      </c>
      <c r="C559" s="79" t="s">
        <v>6</v>
      </c>
      <c r="D559" s="82">
        <v>74.56</v>
      </c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>
      <c r="A560" s="79" t="s">
        <v>1642</v>
      </c>
      <c r="B560" s="79" t="s">
        <v>1643</v>
      </c>
      <c r="C560" s="79" t="s">
        <v>6</v>
      </c>
      <c r="D560" s="82">
        <v>74.56</v>
      </c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>
      <c r="A561" s="79" t="s">
        <v>1644</v>
      </c>
      <c r="B561" s="79" t="s">
        <v>1645</v>
      </c>
      <c r="C561" s="79" t="s">
        <v>6</v>
      </c>
      <c r="D561" s="82">
        <v>67.85</v>
      </c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>
      <c r="A562" s="79" t="s">
        <v>1646</v>
      </c>
      <c r="B562" s="79" t="s">
        <v>1647</v>
      </c>
      <c r="C562" s="79" t="s">
        <v>6</v>
      </c>
      <c r="D562" s="82">
        <v>87.18</v>
      </c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>
      <c r="A563" s="79" t="s">
        <v>1648</v>
      </c>
      <c r="B563" s="79" t="s">
        <v>1649</v>
      </c>
      <c r="C563" s="79" t="s">
        <v>6</v>
      </c>
      <c r="D563" s="82">
        <v>26.43</v>
      </c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>
      <c r="A564" s="79" t="s">
        <v>1650</v>
      </c>
      <c r="B564" s="79" t="s">
        <v>1651</v>
      </c>
      <c r="C564" s="79" t="s">
        <v>6</v>
      </c>
      <c r="D564" s="82">
        <v>33.53</v>
      </c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>
      <c r="A565" s="79" t="s">
        <v>1652</v>
      </c>
      <c r="B565" s="79" t="s">
        <v>1653</v>
      </c>
      <c r="C565" s="79" t="s">
        <v>6</v>
      </c>
      <c r="D565" s="82">
        <v>58.78</v>
      </c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>
      <c r="A566" s="79" t="s">
        <v>1654</v>
      </c>
      <c r="B566" s="79" t="s">
        <v>1655</v>
      </c>
      <c r="C566" s="79" t="s">
        <v>6</v>
      </c>
      <c r="D566" s="82">
        <v>22.49</v>
      </c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>
      <c r="A567" s="79" t="s">
        <v>1656</v>
      </c>
      <c r="B567" s="79" t="s">
        <v>1657</v>
      </c>
      <c r="C567" s="79" t="s">
        <v>6</v>
      </c>
      <c r="D567" s="82">
        <v>25.25</v>
      </c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>
      <c r="A568" s="79" t="s">
        <v>1658</v>
      </c>
      <c r="B568" s="79" t="s">
        <v>1659</v>
      </c>
      <c r="C568" s="79" t="s">
        <v>6</v>
      </c>
      <c r="D568" s="82">
        <v>26.82</v>
      </c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>
      <c r="A569" s="79" t="s">
        <v>329</v>
      </c>
      <c r="B569" s="79" t="s">
        <v>1660</v>
      </c>
      <c r="C569" s="79" t="s">
        <v>6</v>
      </c>
      <c r="D569" s="82">
        <v>28.4</v>
      </c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>
      <c r="A570" s="79" t="s">
        <v>1661</v>
      </c>
      <c r="B570" s="79" t="s">
        <v>1662</v>
      </c>
      <c r="C570" s="79" t="s">
        <v>6</v>
      </c>
      <c r="D570" s="82">
        <v>57.6</v>
      </c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>
      <c r="A571" s="81"/>
      <c r="B571" s="81"/>
      <c r="C571" s="81"/>
      <c r="D571" s="80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>
      <c r="A572" s="81"/>
      <c r="B572" s="81"/>
      <c r="C572" s="81"/>
      <c r="D572" s="80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>
      <c r="A573" s="81"/>
      <c r="B573" s="81"/>
      <c r="C573" s="81"/>
      <c r="D573" s="80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>
      <c r="A574" s="81"/>
      <c r="B574" s="81"/>
      <c r="C574" s="81"/>
      <c r="D574" s="80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>
      <c r="A575" s="81"/>
      <c r="B575" s="81"/>
      <c r="C575" s="81"/>
      <c r="D575" s="80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>
      <c r="A576" s="81"/>
      <c r="B576" s="81"/>
      <c r="C576" s="81"/>
      <c r="D576" s="80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>
      <c r="A577" s="81"/>
      <c r="B577" s="81"/>
      <c r="C577" s="81"/>
      <c r="D577" s="80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>
      <c r="A578" s="81"/>
      <c r="B578" s="81"/>
      <c r="C578" s="81"/>
      <c r="D578" s="80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>
      <c r="A579" s="81"/>
      <c r="B579" s="81"/>
      <c r="C579" s="81"/>
      <c r="D579" s="80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>
      <c r="A580" s="81"/>
      <c r="B580" s="81"/>
      <c r="C580" s="81"/>
      <c r="D580" s="80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>
      <c r="A581" s="81"/>
      <c r="B581" s="81"/>
      <c r="C581" s="81"/>
      <c r="D581" s="80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>
      <c r="A582" s="81"/>
      <c r="B582" s="81"/>
      <c r="C582" s="81"/>
      <c r="D582" s="80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>
      <c r="A583" s="81"/>
      <c r="B583" s="81"/>
      <c r="C583" s="81"/>
      <c r="D583" s="80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>
      <c r="A584" s="81"/>
      <c r="B584" s="81"/>
      <c r="C584" s="81"/>
      <c r="D584" s="80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>
      <c r="A585" s="81"/>
      <c r="B585" s="81"/>
      <c r="C585" s="81"/>
      <c r="D585" s="80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>
      <c r="A586" s="81"/>
      <c r="B586" s="81"/>
      <c r="C586" s="81"/>
      <c r="D586" s="80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>
      <c r="A587" s="81"/>
      <c r="B587" s="81"/>
      <c r="C587" s="81"/>
      <c r="D587" s="80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>
      <c r="A588" s="81"/>
      <c r="B588" s="81"/>
      <c r="C588" s="81"/>
      <c r="D588" s="80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>
      <c r="A589" s="81"/>
      <c r="B589" s="81"/>
      <c r="C589" s="81"/>
      <c r="D589" s="80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>
      <c r="A590" s="81"/>
      <c r="B590" s="81"/>
      <c r="C590" s="81"/>
      <c r="D590" s="80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>
      <c r="A591" s="81"/>
      <c r="B591" s="81"/>
      <c r="C591" s="81"/>
      <c r="D591" s="80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>
      <c r="A592" s="81"/>
      <c r="B592" s="81"/>
      <c r="C592" s="81"/>
      <c r="D592" s="80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>
      <c r="A593" s="81"/>
      <c r="B593" s="81"/>
      <c r="C593" s="81"/>
      <c r="D593" s="80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>
      <c r="A594" s="81"/>
      <c r="B594" s="81"/>
      <c r="C594" s="81"/>
      <c r="D594" s="80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>
      <c r="A595" s="81"/>
      <c r="B595" s="81"/>
      <c r="C595" s="81"/>
      <c r="D595" s="80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>
      <c r="A596" s="81"/>
      <c r="B596" s="81"/>
      <c r="C596" s="81"/>
      <c r="D596" s="80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>
      <c r="A597" s="81"/>
      <c r="B597" s="81"/>
      <c r="C597" s="81"/>
      <c r="D597" s="80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>
      <c r="A598" s="81"/>
      <c r="B598" s="81"/>
      <c r="C598" s="81"/>
      <c r="D598" s="80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>
      <c r="A599" s="81"/>
      <c r="B599" s="81"/>
      <c r="C599" s="81"/>
      <c r="D599" s="80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>
      <c r="A600" s="81"/>
      <c r="B600" s="81"/>
      <c r="C600" s="81"/>
      <c r="D600" s="80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>
      <c r="A601" s="81"/>
      <c r="B601" s="81"/>
      <c r="C601" s="81"/>
      <c r="D601" s="80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>
      <c r="A602" s="81"/>
      <c r="B602" s="81"/>
      <c r="C602" s="81"/>
      <c r="D602" s="80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>
      <c r="A603" s="81"/>
      <c r="B603" s="81"/>
      <c r="C603" s="81"/>
      <c r="D603" s="80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>
      <c r="A604" s="81"/>
      <c r="B604" s="81"/>
      <c r="C604" s="81"/>
      <c r="D604" s="80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>
      <c r="A605" s="81"/>
      <c r="B605" s="81"/>
      <c r="C605" s="81"/>
      <c r="D605" s="80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>
      <c r="A606" s="81"/>
      <c r="B606" s="81"/>
      <c r="C606" s="81"/>
      <c r="D606" s="80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>
      <c r="A607" s="81"/>
      <c r="B607" s="81"/>
      <c r="C607" s="81"/>
      <c r="D607" s="80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>
      <c r="A608" s="81"/>
      <c r="B608" s="81"/>
      <c r="C608" s="81"/>
      <c r="D608" s="80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>
      <c r="A609" s="81"/>
      <c r="B609" s="81"/>
      <c r="C609" s="81"/>
      <c r="D609" s="80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>
      <c r="A610" s="81"/>
      <c r="B610" s="81"/>
      <c r="C610" s="81"/>
      <c r="D610" s="80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>
      <c r="A611" s="81"/>
      <c r="B611" s="81"/>
      <c r="C611" s="81"/>
      <c r="D611" s="80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>
      <c r="A612" s="81"/>
      <c r="B612" s="81"/>
      <c r="C612" s="81"/>
      <c r="D612" s="80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>
      <c r="A613" s="81"/>
      <c r="B613" s="81"/>
      <c r="C613" s="81"/>
      <c r="D613" s="80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>
      <c r="A614" s="81"/>
      <c r="B614" s="81"/>
      <c r="C614" s="81"/>
      <c r="D614" s="80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>
      <c r="A615" s="81"/>
      <c r="B615" s="81"/>
      <c r="C615" s="81"/>
      <c r="D615" s="80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>
      <c r="A616" s="81"/>
      <c r="B616" s="81"/>
      <c r="C616" s="81"/>
      <c r="D616" s="80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>
      <c r="A617" s="81"/>
      <c r="B617" s="81"/>
      <c r="C617" s="81"/>
      <c r="D617" s="80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>
      <c r="A618" s="81"/>
      <c r="B618" s="81"/>
      <c r="C618" s="81"/>
      <c r="D618" s="80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>
      <c r="A619" s="81"/>
      <c r="B619" s="81"/>
      <c r="C619" s="81"/>
      <c r="D619" s="80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>
      <c r="A620" s="81"/>
      <c r="B620" s="81"/>
      <c r="C620" s="81"/>
      <c r="D620" s="80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>
      <c r="A621" s="81"/>
      <c r="B621" s="81"/>
      <c r="C621" s="81"/>
      <c r="D621" s="80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>
      <c r="A622" s="81"/>
      <c r="B622" s="81"/>
      <c r="C622" s="81"/>
      <c r="D622" s="80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>
      <c r="A623" s="81"/>
      <c r="B623" s="81"/>
      <c r="C623" s="81"/>
      <c r="D623" s="80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>
      <c r="A624" s="81"/>
      <c r="B624" s="81"/>
      <c r="C624" s="81"/>
      <c r="D624" s="80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>
      <c r="A625" s="81"/>
      <c r="B625" s="81"/>
      <c r="C625" s="81"/>
      <c r="D625" s="80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>
      <c r="A626" s="81"/>
      <c r="B626" s="81"/>
      <c r="C626" s="81"/>
      <c r="D626" s="80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>
      <c r="A627" s="81"/>
      <c r="B627" s="81"/>
      <c r="C627" s="81"/>
      <c r="D627" s="80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>
      <c r="A628" s="81"/>
      <c r="B628" s="81"/>
      <c r="C628" s="81"/>
      <c r="D628" s="80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>
      <c r="A629" s="81"/>
      <c r="B629" s="81"/>
      <c r="C629" s="81"/>
      <c r="D629" s="80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>
      <c r="A630" s="81"/>
      <c r="B630" s="81"/>
      <c r="C630" s="81"/>
      <c r="D630" s="80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>
      <c r="A631" s="81"/>
      <c r="B631" s="81"/>
      <c r="C631" s="81"/>
      <c r="D631" s="80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>
      <c r="A632" s="81"/>
      <c r="B632" s="81"/>
      <c r="C632" s="81"/>
      <c r="D632" s="80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>
      <c r="A633" s="81"/>
      <c r="B633" s="81"/>
      <c r="C633" s="81"/>
      <c r="D633" s="80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>
      <c r="A634" s="81"/>
      <c r="B634" s="81"/>
      <c r="C634" s="81"/>
      <c r="D634" s="80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>
      <c r="A635" s="81"/>
      <c r="B635" s="81"/>
      <c r="C635" s="81"/>
      <c r="D635" s="80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>
      <c r="A636" s="81"/>
      <c r="B636" s="81"/>
      <c r="C636" s="81"/>
      <c r="D636" s="80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>
      <c r="A637" s="81"/>
      <c r="B637" s="81"/>
      <c r="C637" s="81"/>
      <c r="D637" s="80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>
      <c r="A638" s="81"/>
      <c r="B638" s="81"/>
      <c r="C638" s="81"/>
      <c r="D638" s="80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>
      <c r="A639" s="81"/>
      <c r="B639" s="81"/>
      <c r="C639" s="81"/>
      <c r="D639" s="80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>
      <c r="A640" s="81"/>
      <c r="B640" s="81"/>
      <c r="C640" s="81"/>
      <c r="D640" s="80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>
      <c r="A641" s="81"/>
      <c r="B641" s="81"/>
      <c r="C641" s="81"/>
      <c r="D641" s="80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>
      <c r="A642" s="81"/>
      <c r="B642" s="81"/>
      <c r="C642" s="81"/>
      <c r="D642" s="80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>
      <c r="A643" s="81"/>
      <c r="B643" s="81"/>
      <c r="C643" s="81"/>
      <c r="D643" s="80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>
      <c r="A644" s="81"/>
      <c r="B644" s="81"/>
      <c r="C644" s="81"/>
      <c r="D644" s="80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>
      <c r="A645" s="81"/>
      <c r="B645" s="81"/>
      <c r="C645" s="81"/>
      <c r="D645" s="80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>
      <c r="A646" s="81"/>
      <c r="B646" s="81"/>
      <c r="C646" s="81"/>
      <c r="D646" s="80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>
      <c r="A647" s="81"/>
      <c r="B647" s="81"/>
      <c r="C647" s="81"/>
      <c r="D647" s="80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>
      <c r="A648" s="81"/>
      <c r="B648" s="81"/>
      <c r="C648" s="81"/>
      <c r="D648" s="80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>
      <c r="A649" s="81"/>
      <c r="B649" s="81"/>
      <c r="C649" s="81"/>
      <c r="D649" s="80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>
      <c r="A650" s="81"/>
      <c r="B650" s="81"/>
      <c r="C650" s="81"/>
      <c r="D650" s="80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>
      <c r="A651" s="81"/>
      <c r="B651" s="81"/>
      <c r="C651" s="81"/>
      <c r="D651" s="80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>
      <c r="A652" s="81"/>
      <c r="B652" s="81"/>
      <c r="C652" s="81"/>
      <c r="D652" s="80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>
      <c r="A653" s="81"/>
      <c r="B653" s="81"/>
      <c r="C653" s="81"/>
      <c r="D653" s="80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>
      <c r="A654" s="81"/>
      <c r="B654" s="81"/>
      <c r="C654" s="81"/>
      <c r="D654" s="80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>
      <c r="A655" s="81"/>
      <c r="B655" s="81"/>
      <c r="C655" s="81"/>
      <c r="D655" s="80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>
      <c r="A656" s="81"/>
      <c r="B656" s="81"/>
      <c r="C656" s="81"/>
      <c r="D656" s="80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>
      <c r="A657" s="81"/>
      <c r="B657" s="81"/>
      <c r="C657" s="81"/>
      <c r="D657" s="80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>
      <c r="A658" s="81"/>
      <c r="B658" s="81"/>
      <c r="C658" s="81"/>
      <c r="D658" s="80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>
      <c r="A659" s="81"/>
      <c r="B659" s="81"/>
      <c r="C659" s="81"/>
      <c r="D659" s="80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>
      <c r="A660" s="81"/>
      <c r="B660" s="81"/>
      <c r="C660" s="81"/>
      <c r="D660" s="80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>
      <c r="A661" s="81"/>
      <c r="B661" s="81"/>
      <c r="C661" s="81"/>
      <c r="D661" s="80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>
      <c r="A662" s="81"/>
      <c r="B662" s="81"/>
      <c r="C662" s="81"/>
      <c r="D662" s="80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>
      <c r="A663" s="81"/>
      <c r="B663" s="81"/>
      <c r="C663" s="81"/>
      <c r="D663" s="80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>
      <c r="A664" s="81"/>
      <c r="B664" s="81"/>
      <c r="C664" s="81"/>
      <c r="D664" s="80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>
      <c r="A665" s="81"/>
      <c r="B665" s="81"/>
      <c r="C665" s="81"/>
      <c r="D665" s="80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>
      <c r="A666" s="81"/>
      <c r="B666" s="81"/>
      <c r="C666" s="81"/>
      <c r="D666" s="80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>
      <c r="A667" s="81"/>
      <c r="B667" s="81"/>
      <c r="C667" s="81"/>
      <c r="D667" s="80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>
      <c r="A668" s="81"/>
      <c r="B668" s="81"/>
      <c r="C668" s="81"/>
      <c r="D668" s="80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>
      <c r="A669" s="81"/>
      <c r="B669" s="81"/>
      <c r="C669" s="81"/>
      <c r="D669" s="80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>
      <c r="A670" s="81"/>
      <c r="B670" s="81"/>
      <c r="C670" s="81"/>
      <c r="D670" s="80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>
      <c r="A671" s="81"/>
      <c r="B671" s="81"/>
      <c r="C671" s="81"/>
      <c r="D671" s="80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>
      <c r="A672" s="81"/>
      <c r="B672" s="81"/>
      <c r="C672" s="81"/>
      <c r="D672" s="80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>
      <c r="A673" s="81"/>
      <c r="B673" s="81"/>
      <c r="C673" s="81"/>
      <c r="D673" s="80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>
      <c r="A674" s="81"/>
      <c r="B674" s="81"/>
      <c r="C674" s="81"/>
      <c r="D674" s="80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>
      <c r="A675" s="81"/>
      <c r="B675" s="81"/>
      <c r="C675" s="81"/>
      <c r="D675" s="80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>
      <c r="A676" s="81"/>
      <c r="B676" s="81"/>
      <c r="C676" s="81"/>
      <c r="D676" s="80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>
      <c r="A677" s="81"/>
      <c r="B677" s="81"/>
      <c r="C677" s="81"/>
      <c r="D677" s="80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>
      <c r="A678" s="81"/>
      <c r="B678" s="81"/>
      <c r="C678" s="81"/>
      <c r="D678" s="80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>
      <c r="A679" s="81"/>
      <c r="B679" s="81"/>
      <c r="C679" s="81"/>
      <c r="D679" s="80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>
      <c r="A680" s="81"/>
      <c r="B680" s="81"/>
      <c r="C680" s="81"/>
      <c r="D680" s="80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>
      <c r="A681" s="81"/>
      <c r="B681" s="81"/>
      <c r="C681" s="81"/>
      <c r="D681" s="80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>
      <c r="A682" s="81"/>
      <c r="B682" s="81"/>
      <c r="C682" s="81"/>
      <c r="D682" s="80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>
      <c r="A683" s="81"/>
      <c r="B683" s="81"/>
      <c r="C683" s="81"/>
      <c r="D683" s="80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>
      <c r="A684" s="81"/>
      <c r="B684" s="81"/>
      <c r="C684" s="81"/>
      <c r="D684" s="80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>
      <c r="A685" s="81"/>
      <c r="B685" s="81"/>
      <c r="C685" s="81"/>
      <c r="D685" s="80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>
      <c r="A686" s="81"/>
      <c r="B686" s="81"/>
      <c r="C686" s="81"/>
      <c r="D686" s="80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>
      <c r="A687" s="81"/>
      <c r="B687" s="81"/>
      <c r="C687" s="81"/>
      <c r="D687" s="80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>
      <c r="A688" s="81"/>
      <c r="B688" s="81"/>
      <c r="C688" s="81"/>
      <c r="D688" s="80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>
      <c r="A689" s="81"/>
      <c r="B689" s="81"/>
      <c r="C689" s="81"/>
      <c r="D689" s="80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>
      <c r="A690" s="81"/>
      <c r="B690" s="81"/>
      <c r="C690" s="81"/>
      <c r="D690" s="80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>
      <c r="A691" s="81"/>
      <c r="B691" s="81"/>
      <c r="C691" s="81"/>
      <c r="D691" s="80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>
      <c r="A692" s="81"/>
      <c r="B692" s="81"/>
      <c r="C692" s="81"/>
      <c r="D692" s="80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>
      <c r="A693" s="81"/>
      <c r="B693" s="81"/>
      <c r="C693" s="81"/>
      <c r="D693" s="80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>
      <c r="A694" s="81"/>
      <c r="B694" s="81"/>
      <c r="C694" s="81"/>
      <c r="D694" s="80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>
      <c r="A695" s="81"/>
      <c r="B695" s="81"/>
      <c r="C695" s="81"/>
      <c r="D695" s="80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>
      <c r="A696" s="81"/>
      <c r="B696" s="81"/>
      <c r="C696" s="81"/>
      <c r="D696" s="80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>
      <c r="A697" s="81"/>
      <c r="B697" s="81"/>
      <c r="C697" s="81"/>
      <c r="D697" s="80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>
      <c r="A698" s="81"/>
      <c r="B698" s="81"/>
      <c r="C698" s="81"/>
      <c r="D698" s="80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>
      <c r="A699" s="81"/>
      <c r="B699" s="81"/>
      <c r="C699" s="81"/>
      <c r="D699" s="80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>
      <c r="A700" s="81"/>
      <c r="B700" s="81"/>
      <c r="C700" s="81"/>
      <c r="D700" s="80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>
      <c r="A701" s="81"/>
      <c r="B701" s="81"/>
      <c r="C701" s="81"/>
      <c r="D701" s="80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>
      <c r="A702" s="81"/>
      <c r="B702" s="81"/>
      <c r="C702" s="81"/>
      <c r="D702" s="80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>
      <c r="A703" s="81"/>
      <c r="B703" s="81"/>
      <c r="C703" s="81"/>
      <c r="D703" s="80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>
      <c r="A704" s="81"/>
      <c r="B704" s="81"/>
      <c r="C704" s="81"/>
      <c r="D704" s="80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>
      <c r="A705" s="81"/>
      <c r="B705" s="81"/>
      <c r="C705" s="81"/>
      <c r="D705" s="80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>
      <c r="A706" s="81"/>
      <c r="B706" s="81"/>
      <c r="C706" s="81"/>
      <c r="D706" s="80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>
      <c r="A707" s="81"/>
      <c r="B707" s="81"/>
      <c r="C707" s="81"/>
      <c r="D707" s="80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>
      <c r="A708" s="81"/>
      <c r="B708" s="81"/>
      <c r="C708" s="81"/>
      <c r="D708" s="80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>
      <c r="A709" s="81"/>
      <c r="B709" s="81"/>
      <c r="C709" s="81"/>
      <c r="D709" s="80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>
      <c r="A710" s="81"/>
      <c r="B710" s="81"/>
      <c r="C710" s="81"/>
      <c r="D710" s="80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>
      <c r="A711" s="81"/>
      <c r="B711" s="81"/>
      <c r="C711" s="81"/>
      <c r="D711" s="80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>
      <c r="A712" s="81"/>
      <c r="B712" s="81"/>
      <c r="C712" s="81"/>
      <c r="D712" s="80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>
      <c r="A713" s="81"/>
      <c r="B713" s="81"/>
      <c r="C713" s="81"/>
      <c r="D713" s="80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>
      <c r="A714" s="81"/>
      <c r="B714" s="81"/>
      <c r="C714" s="81"/>
      <c r="D714" s="80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>
      <c r="A715" s="81"/>
      <c r="B715" s="81"/>
      <c r="C715" s="81"/>
      <c r="D715" s="80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>
      <c r="A716" s="81"/>
      <c r="B716" s="81"/>
      <c r="C716" s="81"/>
      <c r="D716" s="80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>
      <c r="A717" s="81"/>
      <c r="B717" s="81"/>
      <c r="C717" s="81"/>
      <c r="D717" s="80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>
      <c r="A718" s="81"/>
      <c r="B718" s="81"/>
      <c r="C718" s="81"/>
      <c r="D718" s="80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>
      <c r="A719" s="81"/>
      <c r="B719" s="81"/>
      <c r="C719" s="81"/>
      <c r="D719" s="80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>
      <c r="A720" s="81"/>
      <c r="B720" s="81"/>
      <c r="C720" s="81"/>
      <c r="D720" s="80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>
      <c r="A721" s="81"/>
      <c r="B721" s="81"/>
      <c r="C721" s="81"/>
      <c r="D721" s="80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>
      <c r="A722" s="81"/>
      <c r="B722" s="81"/>
      <c r="C722" s="81"/>
      <c r="D722" s="80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>
      <c r="A723" s="81"/>
      <c r="B723" s="81"/>
      <c r="C723" s="81"/>
      <c r="D723" s="80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>
      <c r="A724" s="81"/>
      <c r="B724" s="81"/>
      <c r="C724" s="81"/>
      <c r="D724" s="80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>
      <c r="A725" s="81"/>
      <c r="B725" s="81"/>
      <c r="C725" s="81"/>
      <c r="D725" s="80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>
      <c r="A726" s="81"/>
      <c r="B726" s="81"/>
      <c r="C726" s="81"/>
      <c r="D726" s="80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>
      <c r="A727" s="81"/>
      <c r="B727" s="81"/>
      <c r="C727" s="81"/>
      <c r="D727" s="80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>
      <c r="A728" s="81"/>
      <c r="B728" s="81"/>
      <c r="C728" s="81"/>
      <c r="D728" s="80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>
      <c r="A729" s="81"/>
      <c r="B729" s="81"/>
      <c r="C729" s="81"/>
      <c r="D729" s="80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>
      <c r="A730" s="81"/>
      <c r="B730" s="81"/>
      <c r="C730" s="81"/>
      <c r="D730" s="80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>
      <c r="A731" s="81"/>
      <c r="B731" s="81"/>
      <c r="C731" s="81"/>
      <c r="D731" s="80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>
      <c r="A732" s="81"/>
      <c r="B732" s="81"/>
      <c r="C732" s="81"/>
      <c r="D732" s="80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>
      <c r="A733" s="81"/>
      <c r="B733" s="81"/>
      <c r="C733" s="81"/>
      <c r="D733" s="80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>
      <c r="A734" s="81"/>
      <c r="B734" s="81"/>
      <c r="C734" s="81"/>
      <c r="D734" s="80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>
      <c r="A735" s="81"/>
      <c r="B735" s="81"/>
      <c r="C735" s="81"/>
      <c r="D735" s="80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>
      <c r="A736" s="81"/>
      <c r="B736" s="81"/>
      <c r="C736" s="81"/>
      <c r="D736" s="80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>
      <c r="A737" s="81"/>
      <c r="B737" s="81"/>
      <c r="C737" s="81"/>
      <c r="D737" s="80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>
      <c r="A738" s="81"/>
      <c r="B738" s="81"/>
      <c r="C738" s="81"/>
      <c r="D738" s="80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>
      <c r="A739" s="81"/>
      <c r="B739" s="81"/>
      <c r="C739" s="81"/>
      <c r="D739" s="80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>
      <c r="A740" s="81"/>
      <c r="B740" s="81"/>
      <c r="C740" s="81"/>
      <c r="D740" s="80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>
      <c r="A741" s="81"/>
      <c r="B741" s="81"/>
      <c r="C741" s="81"/>
      <c r="D741" s="80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>
      <c r="A742" s="81"/>
      <c r="B742" s="81"/>
      <c r="C742" s="81"/>
      <c r="D742" s="80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>
      <c r="A743" s="81"/>
      <c r="B743" s="81"/>
      <c r="C743" s="81"/>
      <c r="D743" s="80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>
      <c r="A744" s="81"/>
      <c r="B744" s="81"/>
      <c r="C744" s="81"/>
      <c r="D744" s="80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>
      <c r="A745" s="81"/>
      <c r="B745" s="81"/>
      <c r="C745" s="81"/>
      <c r="D745" s="80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>
      <c r="A746" s="81"/>
      <c r="B746" s="81"/>
      <c r="C746" s="81"/>
      <c r="D746" s="80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>
      <c r="A747" s="81"/>
      <c r="B747" s="81"/>
      <c r="C747" s="81"/>
      <c r="D747" s="80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>
      <c r="A748" s="81"/>
      <c r="B748" s="81"/>
      <c r="C748" s="81"/>
      <c r="D748" s="80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>
      <c r="A749" s="81"/>
      <c r="B749" s="81"/>
      <c r="C749" s="81"/>
      <c r="D749" s="80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>
      <c r="A750" s="81"/>
      <c r="B750" s="81"/>
      <c r="C750" s="81"/>
      <c r="D750" s="80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>
      <c r="A751" s="81"/>
      <c r="B751" s="81"/>
      <c r="C751" s="81"/>
      <c r="D751" s="80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>
      <c r="A752" s="81"/>
      <c r="B752" s="81"/>
      <c r="C752" s="81"/>
      <c r="D752" s="80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>
      <c r="A753" s="81"/>
      <c r="B753" s="81"/>
      <c r="C753" s="81"/>
      <c r="D753" s="80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>
      <c r="A754" s="81"/>
      <c r="B754" s="81"/>
      <c r="C754" s="81"/>
      <c r="D754" s="80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>
      <c r="A755" s="81"/>
      <c r="B755" s="81"/>
      <c r="C755" s="81"/>
      <c r="D755" s="80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>
      <c r="A756" s="81"/>
      <c r="B756" s="81"/>
      <c r="C756" s="81"/>
      <c r="D756" s="80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>
      <c r="A757" s="81"/>
      <c r="B757" s="81"/>
      <c r="C757" s="81"/>
      <c r="D757" s="80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>
      <c r="A758" s="81"/>
      <c r="B758" s="81"/>
      <c r="C758" s="81"/>
      <c r="D758" s="80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>
      <c r="A759" s="81"/>
      <c r="B759" s="81"/>
      <c r="C759" s="81"/>
      <c r="D759" s="80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>
      <c r="A760" s="81"/>
      <c r="B760" s="81"/>
      <c r="C760" s="81"/>
      <c r="D760" s="80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>
      <c r="A761" s="81"/>
      <c r="B761" s="81"/>
      <c r="C761" s="81"/>
      <c r="D761" s="80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>
      <c r="A762" s="81"/>
      <c r="B762" s="81"/>
      <c r="C762" s="81"/>
      <c r="D762" s="80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>
      <c r="A763" s="81"/>
      <c r="B763" s="81"/>
      <c r="C763" s="81"/>
      <c r="D763" s="80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>
      <c r="A764" s="81"/>
      <c r="B764" s="81"/>
      <c r="C764" s="81"/>
      <c r="D764" s="80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>
      <c r="A765" s="81"/>
      <c r="B765" s="81"/>
      <c r="C765" s="81"/>
      <c r="D765" s="80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>
      <c r="A766" s="81"/>
      <c r="B766" s="81"/>
      <c r="C766" s="81"/>
      <c r="D766" s="80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>
      <c r="A767" s="81"/>
      <c r="B767" s="81"/>
      <c r="C767" s="81"/>
      <c r="D767" s="80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>
      <c r="A768" s="81"/>
      <c r="B768" s="81"/>
      <c r="C768" s="81"/>
      <c r="D768" s="80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>
      <c r="A769" s="81"/>
      <c r="B769" s="81"/>
      <c r="C769" s="81"/>
      <c r="D769" s="80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>
      <c r="A770" s="81"/>
      <c r="B770" s="81"/>
      <c r="C770" s="81"/>
      <c r="D770" s="80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>
      <c r="A771" s="81"/>
      <c r="B771" s="81"/>
      <c r="C771" s="81"/>
      <c r="D771" s="80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>
      <c r="A772" s="81"/>
      <c r="B772" s="81"/>
      <c r="C772" s="81"/>
      <c r="D772" s="80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>
      <c r="A773" s="81"/>
      <c r="B773" s="81"/>
      <c r="C773" s="81"/>
      <c r="D773" s="80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>
      <c r="A774" s="81"/>
      <c r="B774" s="81"/>
      <c r="C774" s="81"/>
      <c r="D774" s="80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>
      <c r="A775" s="81"/>
      <c r="B775" s="81"/>
      <c r="C775" s="81"/>
      <c r="D775" s="80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>
      <c r="A776" s="81"/>
      <c r="B776" s="81"/>
      <c r="C776" s="81"/>
      <c r="D776" s="80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>
      <c r="A777" s="81"/>
      <c r="B777" s="81"/>
      <c r="C777" s="81"/>
      <c r="D777" s="80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>
      <c r="A778" s="81"/>
      <c r="B778" s="81"/>
      <c r="C778" s="81"/>
      <c r="D778" s="80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>
      <c r="A779" s="81"/>
      <c r="B779" s="81"/>
      <c r="C779" s="81"/>
      <c r="D779" s="80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>
      <c r="A780" s="81"/>
      <c r="B780" s="81"/>
      <c r="C780" s="81"/>
      <c r="D780" s="80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>
      <c r="A781" s="81"/>
      <c r="B781" s="81"/>
      <c r="C781" s="81"/>
      <c r="D781" s="80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>
      <c r="A782" s="81"/>
      <c r="B782" s="81"/>
      <c r="C782" s="81"/>
      <c r="D782" s="80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>
      <c r="A783" s="81"/>
      <c r="B783" s="81"/>
      <c r="C783" s="81"/>
      <c r="D783" s="80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>
      <c r="A784" s="81"/>
      <c r="B784" s="81"/>
      <c r="C784" s="81"/>
      <c r="D784" s="80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>
      <c r="A785" s="81"/>
      <c r="B785" s="81"/>
      <c r="C785" s="81"/>
      <c r="D785" s="80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>
      <c r="A786" s="81"/>
      <c r="B786" s="81"/>
      <c r="C786" s="81"/>
      <c r="D786" s="80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>
      <c r="A787" s="81"/>
      <c r="B787" s="81"/>
      <c r="C787" s="81"/>
      <c r="D787" s="80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>
      <c r="A788" s="81"/>
      <c r="B788" s="81"/>
      <c r="C788" s="81"/>
      <c r="D788" s="80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>
      <c r="A789" s="81"/>
      <c r="B789" s="81"/>
      <c r="C789" s="81"/>
      <c r="D789" s="80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>
      <c r="A790" s="81"/>
      <c r="B790" s="81"/>
      <c r="C790" s="81"/>
      <c r="D790" s="80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>
      <c r="A791" s="81"/>
      <c r="B791" s="81"/>
      <c r="C791" s="81"/>
      <c r="D791" s="80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>
      <c r="A792" s="81"/>
      <c r="B792" s="81"/>
      <c r="C792" s="81"/>
      <c r="D792" s="80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>
      <c r="A793" s="81"/>
      <c r="B793" s="81"/>
      <c r="C793" s="81"/>
      <c r="D793" s="80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>
      <c r="A794" s="81"/>
      <c r="B794" s="81"/>
      <c r="C794" s="81"/>
      <c r="D794" s="80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>
      <c r="A795" s="81"/>
      <c r="B795" s="81"/>
      <c r="C795" s="81"/>
      <c r="D795" s="80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>
      <c r="A796" s="81"/>
      <c r="B796" s="81"/>
      <c r="C796" s="81"/>
      <c r="D796" s="80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>
      <c r="A797" s="81"/>
      <c r="B797" s="81"/>
      <c r="C797" s="81"/>
      <c r="D797" s="80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>
      <c r="A798" s="81"/>
      <c r="B798" s="81"/>
      <c r="C798" s="81"/>
      <c r="D798" s="80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>
      <c r="A799" s="81"/>
      <c r="B799" s="81"/>
      <c r="C799" s="81"/>
      <c r="D799" s="80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>
      <c r="A800" s="81"/>
      <c r="B800" s="81"/>
      <c r="C800" s="81"/>
      <c r="D800" s="80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>
      <c r="A801" s="81"/>
      <c r="B801" s="81"/>
      <c r="C801" s="81"/>
      <c r="D801" s="80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>
      <c r="A802" s="81"/>
      <c r="B802" s="81"/>
      <c r="C802" s="81"/>
      <c r="D802" s="80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>
      <c r="A803" s="81"/>
      <c r="B803" s="81"/>
      <c r="C803" s="81"/>
      <c r="D803" s="80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>
      <c r="A804" s="81"/>
      <c r="B804" s="81"/>
      <c r="C804" s="81"/>
      <c r="D804" s="80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>
      <c r="A805" s="81"/>
      <c r="B805" s="81"/>
      <c r="C805" s="81"/>
      <c r="D805" s="80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>
      <c r="A806" s="81"/>
      <c r="B806" s="81"/>
      <c r="C806" s="81"/>
      <c r="D806" s="80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>
      <c r="A807" s="81"/>
      <c r="B807" s="81"/>
      <c r="C807" s="81"/>
      <c r="D807" s="80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>
      <c r="A808" s="81"/>
      <c r="B808" s="81"/>
      <c r="C808" s="81"/>
      <c r="D808" s="80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>
      <c r="A809" s="81"/>
      <c r="B809" s="81"/>
      <c r="C809" s="81"/>
      <c r="D809" s="80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>
      <c r="A810" s="81"/>
      <c r="B810" s="81"/>
      <c r="C810" s="81"/>
      <c r="D810" s="80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>
      <c r="A811" s="81"/>
      <c r="B811" s="81"/>
      <c r="C811" s="81"/>
      <c r="D811" s="80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>
      <c r="A812" s="81"/>
      <c r="B812" s="81"/>
      <c r="C812" s="81"/>
      <c r="D812" s="80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>
      <c r="A813" s="81"/>
      <c r="B813" s="81"/>
      <c r="C813" s="81"/>
      <c r="D813" s="80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>
      <c r="A814" s="81"/>
      <c r="B814" s="81"/>
      <c r="C814" s="81"/>
      <c r="D814" s="80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>
      <c r="A815" s="81"/>
      <c r="B815" s="81"/>
      <c r="C815" s="81"/>
      <c r="D815" s="80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>
      <c r="A816" s="81"/>
      <c r="B816" s="81"/>
      <c r="C816" s="81"/>
      <c r="D816" s="80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>
      <c r="A817" s="81"/>
      <c r="B817" s="81"/>
      <c r="C817" s="81"/>
      <c r="D817" s="80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>
      <c r="A818" s="81"/>
      <c r="B818" s="81"/>
      <c r="C818" s="81"/>
      <c r="D818" s="80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>
      <c r="A819" s="81"/>
      <c r="B819" s="81"/>
      <c r="C819" s="81"/>
      <c r="D819" s="80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>
      <c r="A820" s="81"/>
      <c r="B820" s="81"/>
      <c r="C820" s="81"/>
      <c r="D820" s="80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>
      <c r="A821" s="81"/>
      <c r="B821" s="81"/>
      <c r="C821" s="81"/>
      <c r="D821" s="80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>
      <c r="A822" s="81"/>
      <c r="B822" s="81"/>
      <c r="C822" s="81"/>
      <c r="D822" s="80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>
      <c r="A823" s="81"/>
      <c r="B823" s="81"/>
      <c r="C823" s="81"/>
      <c r="D823" s="80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>
      <c r="A824" s="81"/>
      <c r="B824" s="81"/>
      <c r="C824" s="81"/>
      <c r="D824" s="80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>
      <c r="A825" s="81"/>
      <c r="B825" s="81"/>
      <c r="C825" s="81"/>
      <c r="D825" s="80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>
      <c r="A826" s="81"/>
      <c r="B826" s="81"/>
      <c r="C826" s="81"/>
      <c r="D826" s="80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>
      <c r="A827" s="81"/>
      <c r="B827" s="81"/>
      <c r="C827" s="81"/>
      <c r="D827" s="80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>
      <c r="A828" s="81"/>
      <c r="B828" s="81"/>
      <c r="C828" s="81"/>
      <c r="D828" s="80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>
      <c r="A829" s="81"/>
      <c r="B829" s="81"/>
      <c r="C829" s="81"/>
      <c r="D829" s="80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>
      <c r="A830" s="81"/>
      <c r="B830" s="81"/>
      <c r="C830" s="81"/>
      <c r="D830" s="80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>
      <c r="A831" s="81"/>
      <c r="B831" s="81"/>
      <c r="C831" s="81"/>
      <c r="D831" s="80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>
      <c r="A832" s="81"/>
      <c r="B832" s="81"/>
      <c r="C832" s="81"/>
      <c r="D832" s="80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>
      <c r="A833" s="81"/>
      <c r="B833" s="81"/>
      <c r="C833" s="81"/>
      <c r="D833" s="80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>
      <c r="A834" s="81"/>
      <c r="B834" s="81"/>
      <c r="C834" s="81"/>
      <c r="D834" s="80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>
      <c r="A835" s="81"/>
      <c r="B835" s="81"/>
      <c r="C835" s="81"/>
      <c r="D835" s="80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>
      <c r="A836" s="81"/>
      <c r="B836" s="81"/>
      <c r="C836" s="81"/>
      <c r="D836" s="80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>
      <c r="A837" s="81"/>
      <c r="B837" s="81"/>
      <c r="C837" s="81"/>
      <c r="D837" s="80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>
      <c r="A838" s="81"/>
      <c r="B838" s="81"/>
      <c r="C838" s="81"/>
      <c r="D838" s="80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>
      <c r="A839" s="81"/>
      <c r="B839" s="81"/>
      <c r="C839" s="81"/>
      <c r="D839" s="80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>
      <c r="A840" s="81"/>
      <c r="B840" s="81"/>
      <c r="C840" s="81"/>
      <c r="D840" s="80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>
      <c r="A841" s="81"/>
      <c r="B841" s="81"/>
      <c r="C841" s="81"/>
      <c r="D841" s="80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>
      <c r="A842" s="81"/>
      <c r="B842" s="81"/>
      <c r="C842" s="81"/>
      <c r="D842" s="80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>
      <c r="A843" s="81"/>
      <c r="B843" s="81"/>
      <c r="C843" s="81"/>
      <c r="D843" s="80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>
      <c r="A844" s="81"/>
      <c r="B844" s="81"/>
      <c r="C844" s="81"/>
      <c r="D844" s="80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>
      <c r="A845" s="81"/>
      <c r="B845" s="81"/>
      <c r="C845" s="81"/>
      <c r="D845" s="80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>
      <c r="A846" s="81"/>
      <c r="B846" s="81"/>
      <c r="C846" s="81"/>
      <c r="D846" s="80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>
      <c r="A847" s="81"/>
      <c r="B847" s="81"/>
      <c r="C847" s="81"/>
      <c r="D847" s="80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>
      <c r="A848" s="81"/>
      <c r="B848" s="81"/>
      <c r="C848" s="81"/>
      <c r="D848" s="80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>
      <c r="A849" s="81"/>
      <c r="B849" s="81"/>
      <c r="C849" s="81"/>
      <c r="D849" s="80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>
      <c r="A850" s="81"/>
      <c r="B850" s="81"/>
      <c r="C850" s="81"/>
      <c r="D850" s="80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>
      <c r="A851" s="81"/>
      <c r="B851" s="81"/>
      <c r="C851" s="81"/>
      <c r="D851" s="80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>
      <c r="A852" s="81"/>
      <c r="B852" s="81"/>
      <c r="C852" s="81"/>
      <c r="D852" s="80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>
      <c r="A853" s="81"/>
      <c r="B853" s="81"/>
      <c r="C853" s="81"/>
      <c r="D853" s="80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>
      <c r="A854" s="81"/>
      <c r="B854" s="81"/>
      <c r="C854" s="81"/>
      <c r="D854" s="80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>
      <c r="A855" s="81"/>
      <c r="B855" s="81"/>
      <c r="C855" s="81"/>
      <c r="D855" s="80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>
      <c r="A856" s="81"/>
      <c r="B856" s="81"/>
      <c r="C856" s="81"/>
      <c r="D856" s="80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>
      <c r="A857" s="81"/>
      <c r="B857" s="81"/>
      <c r="C857" s="81"/>
      <c r="D857" s="80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>
      <c r="A858" s="81"/>
      <c r="B858" s="81"/>
      <c r="C858" s="81"/>
      <c r="D858" s="80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>
      <c r="A859" s="81"/>
      <c r="B859" s="81"/>
      <c r="C859" s="81"/>
      <c r="D859" s="80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>
      <c r="A860" s="81"/>
      <c r="B860" s="81"/>
      <c r="C860" s="81"/>
      <c r="D860" s="80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>
      <c r="A861" s="81"/>
      <c r="B861" s="81"/>
      <c r="C861" s="81"/>
      <c r="D861" s="80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>
      <c r="A862" s="81"/>
      <c r="B862" s="81"/>
      <c r="C862" s="81"/>
      <c r="D862" s="80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>
      <c r="A863" s="81"/>
      <c r="B863" s="81"/>
      <c r="C863" s="81"/>
      <c r="D863" s="80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>
      <c r="A864" s="81"/>
      <c r="B864" s="81"/>
      <c r="C864" s="81"/>
      <c r="D864" s="80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>
      <c r="A865" s="81"/>
      <c r="B865" s="81"/>
      <c r="C865" s="81"/>
      <c r="D865" s="80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>
      <c r="A866" s="81"/>
      <c r="B866" s="81"/>
      <c r="C866" s="81"/>
      <c r="D866" s="80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>
      <c r="A867" s="81"/>
      <c r="B867" s="81"/>
      <c r="C867" s="81"/>
      <c r="D867" s="80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>
      <c r="A868" s="81"/>
      <c r="B868" s="81"/>
      <c r="C868" s="81"/>
      <c r="D868" s="80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>
      <c r="A869" s="81"/>
      <c r="B869" s="81"/>
      <c r="C869" s="81"/>
      <c r="D869" s="80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>
      <c r="A870" s="81"/>
      <c r="B870" s="81"/>
      <c r="C870" s="81"/>
      <c r="D870" s="80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>
      <c r="A871" s="81"/>
      <c r="B871" s="81"/>
      <c r="C871" s="81"/>
      <c r="D871" s="80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>
      <c r="A872" s="81"/>
      <c r="B872" s="81"/>
      <c r="C872" s="81"/>
      <c r="D872" s="80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>
      <c r="A873" s="81"/>
      <c r="B873" s="81"/>
      <c r="C873" s="81"/>
      <c r="D873" s="80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>
      <c r="A874" s="81"/>
      <c r="B874" s="81"/>
      <c r="C874" s="81"/>
      <c r="D874" s="80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>
      <c r="A875" s="81"/>
      <c r="B875" s="81"/>
      <c r="C875" s="81"/>
      <c r="D875" s="80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>
      <c r="A876" s="81"/>
      <c r="B876" s="81"/>
      <c r="C876" s="81"/>
      <c r="D876" s="80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>
      <c r="A877" s="81"/>
      <c r="B877" s="81"/>
      <c r="C877" s="81"/>
      <c r="D877" s="80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>
      <c r="A878" s="81"/>
      <c r="B878" s="81"/>
      <c r="C878" s="81"/>
      <c r="D878" s="80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>
      <c r="A879" s="81"/>
      <c r="B879" s="81"/>
      <c r="C879" s="81"/>
      <c r="D879" s="80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>
      <c r="A880" s="81"/>
      <c r="B880" s="81"/>
      <c r="C880" s="81"/>
      <c r="D880" s="80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>
      <c r="A881" s="81"/>
      <c r="B881" s="81"/>
      <c r="C881" s="81"/>
      <c r="D881" s="80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>
      <c r="A882" s="81"/>
      <c r="B882" s="81"/>
      <c r="C882" s="81"/>
      <c r="D882" s="80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>
      <c r="A883" s="81"/>
      <c r="B883" s="81"/>
      <c r="C883" s="81"/>
      <c r="D883" s="80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>
      <c r="A884" s="81"/>
      <c r="B884" s="81"/>
      <c r="C884" s="81"/>
      <c r="D884" s="80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>
      <c r="A885" s="81"/>
      <c r="B885" s="81"/>
      <c r="C885" s="81"/>
      <c r="D885" s="80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>
      <c r="A886" s="81"/>
      <c r="B886" s="81"/>
      <c r="C886" s="81"/>
      <c r="D886" s="80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>
      <c r="A887" s="81"/>
      <c r="B887" s="81"/>
      <c r="C887" s="81"/>
      <c r="D887" s="80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>
      <c r="A888" s="81"/>
      <c r="B888" s="81"/>
      <c r="C888" s="81"/>
      <c r="D888" s="80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>
      <c r="A889" s="81"/>
      <c r="B889" s="81"/>
      <c r="C889" s="81"/>
      <c r="D889" s="80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>
      <c r="A890" s="81"/>
      <c r="B890" s="81"/>
      <c r="C890" s="81"/>
      <c r="D890" s="80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>
      <c r="A891" s="81"/>
      <c r="B891" s="81"/>
      <c r="C891" s="81"/>
      <c r="D891" s="80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>
      <c r="A892" s="81"/>
      <c r="B892" s="81"/>
      <c r="C892" s="81"/>
      <c r="D892" s="80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>
      <c r="A893" s="81"/>
      <c r="B893" s="81"/>
      <c r="C893" s="81"/>
      <c r="D893" s="80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>
      <c r="A894" s="81"/>
      <c r="B894" s="81"/>
      <c r="C894" s="81"/>
      <c r="D894" s="80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>
      <c r="A895" s="81"/>
      <c r="B895" s="81"/>
      <c r="C895" s="81"/>
      <c r="D895" s="80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>
      <c r="A896" s="81"/>
      <c r="B896" s="81"/>
      <c r="C896" s="81"/>
      <c r="D896" s="80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>
      <c r="A897" s="81"/>
      <c r="B897" s="81"/>
      <c r="C897" s="81"/>
      <c r="D897" s="80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>
      <c r="A898" s="81"/>
      <c r="B898" s="81"/>
      <c r="C898" s="81"/>
      <c r="D898" s="80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>
      <c r="A899" s="81"/>
      <c r="B899" s="81"/>
      <c r="C899" s="81"/>
      <c r="D899" s="80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>
      <c r="A900" s="81"/>
      <c r="B900" s="81"/>
      <c r="C900" s="81"/>
      <c r="D900" s="80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>
      <c r="A901" s="81"/>
      <c r="B901" s="81"/>
      <c r="C901" s="81"/>
      <c r="D901" s="80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>
      <c r="A902" s="81"/>
      <c r="B902" s="81"/>
      <c r="C902" s="81"/>
      <c r="D902" s="80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>
      <c r="A903" s="81"/>
      <c r="B903" s="81"/>
      <c r="C903" s="81"/>
      <c r="D903" s="80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>
      <c r="A904" s="81"/>
      <c r="B904" s="81"/>
      <c r="C904" s="81"/>
      <c r="D904" s="80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>
      <c r="A905" s="81"/>
      <c r="B905" s="81"/>
      <c r="C905" s="81"/>
      <c r="D905" s="80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>
      <c r="A906" s="81"/>
      <c r="B906" s="81"/>
      <c r="C906" s="81"/>
      <c r="D906" s="80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>
      <c r="A907" s="81"/>
      <c r="B907" s="81"/>
      <c r="C907" s="81"/>
      <c r="D907" s="80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>
      <c r="A908" s="81"/>
      <c r="B908" s="81"/>
      <c r="C908" s="81"/>
      <c r="D908" s="80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>
      <c r="A909" s="81"/>
      <c r="B909" s="81"/>
      <c r="C909" s="81"/>
      <c r="D909" s="80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>
      <c r="A910" s="81"/>
      <c r="B910" s="81"/>
      <c r="C910" s="81"/>
      <c r="D910" s="80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>
      <c r="A911" s="81"/>
      <c r="B911" s="81"/>
      <c r="C911" s="81"/>
      <c r="D911" s="80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>
      <c r="A912" s="81"/>
      <c r="B912" s="81"/>
      <c r="C912" s="81"/>
      <c r="D912" s="80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>
      <c r="A913" s="81"/>
      <c r="B913" s="81"/>
      <c r="C913" s="81"/>
      <c r="D913" s="80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>
      <c r="A914" s="81"/>
      <c r="B914" s="81"/>
      <c r="C914" s="81"/>
      <c r="D914" s="80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>
      <c r="A915" s="81"/>
      <c r="B915" s="81"/>
      <c r="C915" s="81"/>
      <c r="D915" s="80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>
      <c r="A916" s="81"/>
      <c r="B916" s="81"/>
      <c r="C916" s="81"/>
      <c r="D916" s="80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>
      <c r="A917" s="81"/>
      <c r="B917" s="81"/>
      <c r="C917" s="81"/>
      <c r="D917" s="80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>
      <c r="A918" s="81"/>
      <c r="B918" s="81"/>
      <c r="C918" s="81"/>
      <c r="D918" s="80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>
      <c r="A919" s="81"/>
      <c r="B919" s="81"/>
      <c r="C919" s="81"/>
      <c r="D919" s="80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>
      <c r="A920" s="81"/>
      <c r="B920" s="81"/>
      <c r="C920" s="81"/>
      <c r="D920" s="80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>
      <c r="A921" s="81"/>
      <c r="B921" s="81"/>
      <c r="C921" s="81"/>
      <c r="D921" s="80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>
      <c r="A922" s="81"/>
      <c r="B922" s="81"/>
      <c r="C922" s="81"/>
      <c r="D922" s="80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>
      <c r="A923" s="81"/>
      <c r="B923" s="81"/>
      <c r="C923" s="81"/>
      <c r="D923" s="80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>
      <c r="A924" s="81"/>
      <c r="B924" s="81"/>
      <c r="C924" s="81"/>
      <c r="D924" s="80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>
      <c r="A925" s="81"/>
      <c r="B925" s="81"/>
      <c r="C925" s="81"/>
      <c r="D925" s="80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>
      <c r="A926" s="81"/>
      <c r="B926" s="81"/>
      <c r="C926" s="81"/>
      <c r="D926" s="80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>
      <c r="A927" s="81"/>
      <c r="B927" s="81"/>
      <c r="C927" s="81"/>
      <c r="D927" s="80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>
      <c r="A928" s="81"/>
      <c r="B928" s="81"/>
      <c r="C928" s="81"/>
      <c r="D928" s="80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>
      <c r="A929" s="81"/>
      <c r="B929" s="81"/>
      <c r="C929" s="81"/>
      <c r="D929" s="80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>
      <c r="A930" s="81"/>
      <c r="B930" s="81"/>
      <c r="C930" s="81"/>
      <c r="D930" s="80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>
      <c r="A931" s="81"/>
      <c r="B931" s="81"/>
      <c r="C931" s="81"/>
      <c r="D931" s="80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>
      <c r="A932" s="81"/>
      <c r="B932" s="81"/>
      <c r="C932" s="81"/>
      <c r="D932" s="80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>
      <c r="A933" s="81"/>
      <c r="B933" s="81"/>
      <c r="C933" s="81"/>
      <c r="D933" s="80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>
      <c r="A934" s="81"/>
      <c r="B934" s="81"/>
      <c r="C934" s="81"/>
      <c r="D934" s="80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>
      <c r="A935" s="81"/>
      <c r="B935" s="81"/>
      <c r="C935" s="81"/>
      <c r="D935" s="80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>
      <c r="A936" s="81"/>
      <c r="B936" s="81"/>
      <c r="C936" s="81"/>
      <c r="D936" s="80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>
      <c r="A937" s="81"/>
      <c r="B937" s="81"/>
      <c r="C937" s="81"/>
      <c r="D937" s="80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>
      <c r="A938" s="81"/>
      <c r="B938" s="81"/>
      <c r="C938" s="81"/>
      <c r="D938" s="80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>
      <c r="A939" s="81"/>
      <c r="B939" s="81"/>
      <c r="C939" s="81"/>
      <c r="D939" s="80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>
      <c r="A940" s="81"/>
      <c r="B940" s="81"/>
      <c r="C940" s="81"/>
      <c r="D940" s="80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>
      <c r="A941" s="81"/>
      <c r="B941" s="81"/>
      <c r="C941" s="81"/>
      <c r="D941" s="80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>
      <c r="A942" s="81"/>
      <c r="B942" s="81"/>
      <c r="C942" s="81"/>
      <c r="D942" s="80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>
      <c r="A943" s="81"/>
      <c r="B943" s="81"/>
      <c r="C943" s="81"/>
      <c r="D943" s="80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>
      <c r="A944" s="81"/>
      <c r="B944" s="81"/>
      <c r="C944" s="81"/>
      <c r="D944" s="80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>
      <c r="A945" s="81"/>
      <c r="B945" s="81"/>
      <c r="C945" s="81"/>
      <c r="D945" s="80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>
      <c r="A946" s="81"/>
      <c r="B946" s="81"/>
      <c r="C946" s="81"/>
      <c r="D946" s="80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>
      <c r="A947" s="81"/>
      <c r="B947" s="81"/>
      <c r="C947" s="81"/>
      <c r="D947" s="80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>
      <c r="A948" s="81"/>
      <c r="B948" s="81"/>
      <c r="C948" s="81"/>
      <c r="D948" s="80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>
      <c r="A949" s="81"/>
      <c r="B949" s="81"/>
      <c r="C949" s="81"/>
      <c r="D949" s="80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>
      <c r="A950" s="81"/>
      <c r="B950" s="81"/>
      <c r="C950" s="81"/>
      <c r="D950" s="80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>
      <c r="A951" s="81"/>
      <c r="B951" s="81"/>
      <c r="C951" s="81"/>
      <c r="D951" s="80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>
      <c r="A952" s="81"/>
      <c r="B952" s="81"/>
      <c r="C952" s="81"/>
      <c r="D952" s="80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>
      <c r="A953" s="81"/>
      <c r="B953" s="81"/>
      <c r="C953" s="81"/>
      <c r="D953" s="80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>
      <c r="A954" s="81"/>
      <c r="B954" s="81"/>
      <c r="C954" s="81"/>
      <c r="D954" s="80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>
      <c r="A955" s="81"/>
      <c r="B955" s="81"/>
      <c r="C955" s="81"/>
      <c r="D955" s="80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>
      <c r="A956" s="81"/>
      <c r="B956" s="81"/>
      <c r="C956" s="81"/>
      <c r="D956" s="80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>
      <c r="A957" s="81"/>
      <c r="B957" s="81"/>
      <c r="C957" s="81"/>
      <c r="D957" s="80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>
      <c r="A958" s="81"/>
      <c r="B958" s="81"/>
      <c r="C958" s="81"/>
      <c r="D958" s="80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>
      <c r="A959" s="81"/>
      <c r="B959" s="81"/>
      <c r="C959" s="81"/>
      <c r="D959" s="80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>
      <c r="A960" s="81"/>
      <c r="B960" s="81"/>
      <c r="C960" s="81"/>
      <c r="D960" s="80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>
      <c r="A961" s="81"/>
      <c r="B961" s="81"/>
      <c r="C961" s="81"/>
      <c r="D961" s="80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>
      <c r="A962" s="81"/>
      <c r="B962" s="81"/>
      <c r="C962" s="81"/>
      <c r="D962" s="80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>
      <c r="A963" s="81"/>
      <c r="B963" s="81"/>
      <c r="C963" s="81"/>
      <c r="D963" s="80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>
      <c r="A964" s="81"/>
      <c r="B964" s="81"/>
      <c r="C964" s="81"/>
      <c r="D964" s="80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>
      <c r="A965" s="81"/>
      <c r="B965" s="81"/>
      <c r="C965" s="81"/>
      <c r="D965" s="80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>
      <c r="A966" s="81"/>
      <c r="B966" s="81"/>
      <c r="C966" s="81"/>
      <c r="D966" s="80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>
      <c r="A967" s="81"/>
      <c r="B967" s="81"/>
      <c r="C967" s="81"/>
      <c r="D967" s="80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>
      <c r="A968" s="81"/>
      <c r="B968" s="81"/>
      <c r="C968" s="81"/>
      <c r="D968" s="80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>
      <c r="A969" s="81"/>
      <c r="B969" s="81"/>
      <c r="C969" s="81"/>
      <c r="D969" s="80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>
      <c r="A970" s="81"/>
      <c r="B970" s="81"/>
      <c r="C970" s="81"/>
      <c r="D970" s="80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>
      <c r="A971" s="81"/>
      <c r="B971" s="81"/>
      <c r="C971" s="81"/>
      <c r="D971" s="80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>
      <c r="A972" s="81"/>
      <c r="B972" s="81"/>
      <c r="C972" s="81"/>
      <c r="D972" s="80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>
      <c r="A973" s="81"/>
      <c r="B973" s="81"/>
      <c r="C973" s="81"/>
      <c r="D973" s="80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>
      <c r="A974" s="81"/>
      <c r="B974" s="81"/>
      <c r="C974" s="81"/>
      <c r="D974" s="80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>
      <c r="A975" s="81"/>
      <c r="B975" s="81"/>
      <c r="C975" s="81"/>
      <c r="D975" s="80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>
      <c r="A976" s="81"/>
      <c r="B976" s="81"/>
      <c r="C976" s="81"/>
      <c r="D976" s="80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>
      <c r="A977" s="81"/>
      <c r="B977" s="81"/>
      <c r="C977" s="81"/>
      <c r="D977" s="80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>
      <c r="A978" s="81"/>
      <c r="B978" s="81"/>
      <c r="C978" s="81"/>
      <c r="D978" s="80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>
      <c r="A979" s="81"/>
      <c r="B979" s="81"/>
      <c r="C979" s="81"/>
      <c r="D979" s="80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>
      <c r="A980" s="81"/>
      <c r="B980" s="81"/>
      <c r="C980" s="81"/>
      <c r="D980" s="80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>
      <c r="A981" s="81"/>
      <c r="B981" s="81"/>
      <c r="C981" s="81"/>
      <c r="D981" s="80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>
      <c r="A982" s="81"/>
      <c r="B982" s="81"/>
      <c r="C982" s="81"/>
      <c r="D982" s="80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>
      <c r="A983" s="81"/>
      <c r="B983" s="81"/>
      <c r="C983" s="81"/>
      <c r="D983" s="80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>
      <c r="A984" s="81"/>
      <c r="B984" s="81"/>
      <c r="C984" s="81"/>
      <c r="D984" s="80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>
      <c r="A985" s="81"/>
      <c r="B985" s="81"/>
      <c r="C985" s="81"/>
      <c r="D985" s="80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>
      <c r="A986" s="81"/>
      <c r="B986" s="81"/>
      <c r="C986" s="81"/>
      <c r="D986" s="80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>
      <c r="A987" s="81"/>
      <c r="B987" s="81"/>
      <c r="C987" s="81"/>
      <c r="D987" s="80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>
      <c r="A988" s="81"/>
      <c r="B988" s="81"/>
      <c r="C988" s="81"/>
      <c r="D988" s="80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>
      <c r="A989" s="81"/>
      <c r="B989" s="81"/>
      <c r="C989" s="81"/>
      <c r="D989" s="80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>
      <c r="A990" s="81"/>
      <c r="B990" s="81"/>
      <c r="C990" s="81"/>
      <c r="D990" s="80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>
      <c r="A991" s="81"/>
      <c r="B991" s="81"/>
      <c r="C991" s="81"/>
      <c r="D991" s="80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>
      <c r="A992" s="81"/>
      <c r="B992" s="81"/>
      <c r="C992" s="81"/>
      <c r="D992" s="80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>
      <c r="A993" s="81"/>
      <c r="B993" s="81"/>
      <c r="C993" s="81"/>
      <c r="D993" s="80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>
      <c r="A994" s="81"/>
      <c r="B994" s="81"/>
      <c r="C994" s="81"/>
      <c r="D994" s="80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>
      <c r="A995" s="81"/>
      <c r="B995" s="81"/>
      <c r="C995" s="81"/>
      <c r="D995" s="80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>
      <c r="A996" s="81"/>
      <c r="B996" s="81"/>
      <c r="C996" s="81"/>
      <c r="D996" s="80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>
      <c r="A997" s="81"/>
      <c r="B997" s="81"/>
      <c r="C997" s="81"/>
      <c r="D997" s="80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>
      <c r="A998" s="81"/>
      <c r="B998" s="81"/>
      <c r="C998" s="81"/>
      <c r="D998" s="80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>
      <c r="A999" s="81"/>
      <c r="B999" s="81"/>
      <c r="C999" s="81"/>
      <c r="D999" s="80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>
      <c r="A1000" s="81"/>
      <c r="B1000" s="81"/>
      <c r="C1000" s="81"/>
      <c r="D1000" s="80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drawing r:id="rId1"/>
</worksheet>
</file>